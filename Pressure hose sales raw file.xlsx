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9.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user\OneDrive\Desktop\New folder\FOREX VIDEOS\Movies\Forex Pdf Files\INDICATORS\AI\DATA CLASS\"/>
    </mc:Choice>
  </mc:AlternateContent>
  <xr:revisionPtr revIDLastSave="0" documentId="8_{0C839EDB-1580-4AAF-8610-48D8EEF8BEEF}" xr6:coauthVersionLast="47" xr6:coauthVersionMax="47" xr10:uidLastSave="{00000000-0000-0000-0000-000000000000}"/>
  <bookViews>
    <workbookView xWindow="-110" yWindow="-110" windowWidth="19420" windowHeight="10560" firstSheet="9" activeTab="11" xr2:uid="{00000000-000D-0000-FFFF-FFFF00000000}"/>
  </bookViews>
  <sheets>
    <sheet name="Task" sheetId="15" r:id="rId1"/>
    <sheet name="Sales Performance by Reps" sheetId="19" r:id="rId2"/>
    <sheet name="Top 10 Customers" sheetId="22" r:id="rId3"/>
    <sheet name="Sales Trend Report" sheetId="25" r:id="rId4"/>
    <sheet name="Sales Product by Category" sheetId="26" r:id="rId5"/>
    <sheet name="Performance by States" sheetId="29" r:id="rId6"/>
    <sheet name="Performance by States (2)" sheetId="36" r:id="rId7"/>
    <sheet name="Transation by Amount" sheetId="28" r:id="rId8"/>
    <sheet name="Top 5 cities" sheetId="27" r:id="rId9"/>
    <sheet name="Sheet2" sheetId="31" r:id="rId10"/>
    <sheet name=" Top 6 Ship Cities by Revenue" sheetId="30" r:id="rId11"/>
    <sheet name="Dashboard" sheetId="32" r:id="rId12"/>
    <sheet name="In- Analysis " sheetId="24" r:id="rId13"/>
    <sheet name="Data (2)" sheetId="17" r:id="rId14"/>
    <sheet name="Pivot Table Diagram" sheetId="4" r:id="rId15"/>
    <sheet name="Pre Analysis Dashboard" sheetId="18" r:id="rId16"/>
    <sheet name="Post Analysis Observation" sheetId="34" r:id="rId17"/>
    <sheet name="Post Analysis  Recommendation" sheetId="35" r:id="rId18"/>
    <sheet name="Sheet1" sheetId="33" r:id="rId19"/>
  </sheets>
  <definedNames>
    <definedName name="_xlnm._FilterDatabase" localSheetId="13" hidden="1">'Data (2)'!$A$1:$Z$370</definedName>
    <definedName name="_xlchart.v5.0" hidden="1">'Performance by States'!$D$3</definedName>
    <definedName name="_xlchart.v5.1" hidden="1">'Performance by States'!$D$4:$D$15</definedName>
    <definedName name="_xlchart.v5.10" hidden="1">'Performance by States (2)'!#REF!</definedName>
    <definedName name="_xlchart.v5.11" hidden="1">'Performance by States'!$D$3</definedName>
    <definedName name="_xlchart.v5.12" hidden="1">'Performance by States'!$D$4:$D$15</definedName>
    <definedName name="_xlchart.v5.13" hidden="1">'Performance by States'!$E$3</definedName>
    <definedName name="_xlchart.v5.14" hidden="1">'Performance by States'!$E$4:$E$15</definedName>
    <definedName name="_xlchart.v5.15" hidden="1">'Performance by States (2)'!$D$4</definedName>
    <definedName name="_xlchart.v5.16" hidden="1">'Performance by States (2)'!$D$5:$D$16</definedName>
    <definedName name="_xlchart.v5.17" hidden="1">'Performance by States (2)'!$E$5:$E$16</definedName>
    <definedName name="_xlchart.v5.18" hidden="1">'Performance by States (2)'!$D$4</definedName>
    <definedName name="_xlchart.v5.19" hidden="1">'Performance by States (2)'!$D$5:$D$16</definedName>
    <definedName name="_xlchart.v5.2" hidden="1">'Performance by States'!$E$3</definedName>
    <definedName name="_xlchart.v5.20" hidden="1">'Performance by States (2)'!$E$5:$E$16</definedName>
    <definedName name="_xlchart.v5.3" hidden="1">'Performance by States'!$E$4:$E$15</definedName>
    <definedName name="_xlchart.v5.4" hidden="1">'Performance by States (2)'!$D$4</definedName>
    <definedName name="_xlchart.v5.5" hidden="1">'Performance by States (2)'!$D$5:$D$16</definedName>
    <definedName name="_xlchart.v5.6" hidden="1">'Performance by States (2)'!$E$5:$E$16</definedName>
    <definedName name="_xlchart.v5.7" hidden="1">'Performance by States (2)'!#REF!</definedName>
    <definedName name="_xlchart.v5.8" hidden="1">'Performance by States (2)'!#REF!</definedName>
    <definedName name="_xlchart.v5.9" hidden="1">'Performance by States (2)'!#REF!</definedName>
    <definedName name="Slicer_City">#N/A</definedName>
    <definedName name="Slicer_Customer_Name">#N/A</definedName>
    <definedName name="Slicer_Region">#N/A</definedName>
    <definedName name="Slicer_Salesperson">#N/A</definedName>
  </definedNames>
  <calcPr calcId="152511"/>
  <pivotCaches>
    <pivotCache cacheId="0" r:id="rId20"/>
  </pivotCaches>
  <extLs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<sst xmlns="http://schemas.openxmlformats.org/spreadsheetml/2006/main" count="6471" uniqueCount="193">
  <si>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</si>
  <si>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</si>
  <si>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</si>
  <si>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</si>
  <si>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</si>
  <si>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</si>
  <si>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</si>
  <si>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</si>
  <si>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</si>
  <si>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</si>
  <si>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</si>
  <si>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</si>
  <si>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</si>
  <si>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</si>
  <si>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</si>
  <si>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</si>
  <si>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</si>
  <si>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</si>
  <si>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</si>
  <si>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</si>
  <si>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</si>
  <si>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</si>
  <si>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</si>
  <si>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</si>
  <si>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</si>
  <si>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</si>
  <si>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</si>
  <si>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</si>
  <si>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</si>
  <si>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</si>
  <si>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</si>
  <si>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</si>
  <si>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</si>
  <si>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</si>
  <si>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</si>
  <si>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</si>
  <si>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</si>
  <si>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</si>
  <si>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</si>
  <si>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</si>
  <si>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</si>
  <si>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</si>
  <si>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</si>
  <si>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</si>
  <si>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</si>
  <si>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</si>
  <si>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</si>
  <si>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</si>
  <si>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</si>
  <si>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</si>
  <si>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</si>
  <si>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</si>
  <si>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</si>
  <si>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</si>
  <si>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</si>
  <si>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</si>
  <si>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</si>
  <si>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</si>
  <si>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</si>
  <si>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</si>
  <si>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</si>
  <si>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</si>
  <si>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</si>
  <si>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</si>
  <si>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</si>
  <si>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</si>
  <si>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</si>
  <si>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</si>
  <si>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</si>
  <si>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</si>
  <si>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</si>
  <si>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</si>
  <si>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</si>
  <si>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</si>
  <si>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</si>
  <si>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</si>
  <si>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</si>
  <si>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</si>
  <si>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</si>
  <si>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</si>
  <si>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</si>
  <si>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</si>
  <si>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</si>
  <si>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</si>
  <si>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</si>
  <si>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</si>
  <si>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</si>
  <si>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</si>
  <si>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</si>
  <si>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</si>
  <si>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</si>
  <si>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</si>
  <si>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</si>
  <si>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</si>
  <si>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</si>
  <si>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</si>
  <si>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</si>
  <si>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</si>
  <si>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</si>
  <si>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</si>
  <si>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</si>
  <si>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</si>
  <si>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</si>
  <si>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</si>
  <si>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</si>
  <si>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</si>
  <si>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</si>
  <si>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</si>
  <si>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</si>
  <si>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</si>
  <si>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</si>
  <si>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</si>
  <si>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</si>
  <si>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</si>
  <si>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</si>
  <si>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</si>
  <si>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</si>
  <si>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</si>
  <si>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</si>
  <si>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</si>
  <si>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</si>
  <si>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</si>
  <si>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</si>
  <si>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</si>
  <si>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</si>
  <si>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</si>
  <si>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</si>
  <si>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</si>
  <si>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</si>
  <si>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</si>
  <si>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</si>
  <si>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</si>
  <si>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</si>
  <si>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</si>
  <si>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</si>
  <si>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</si>
  <si>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</si>
  <si>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</si>
  <si>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</si>
  <si>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</si>
  <si>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</si>
  <si>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</si>
  <si>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</si>
  <si>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</si>
  <si>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</si>
  <si>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</si>
  <si>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</si>
  <si>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</si>
  <si>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</si>
  <si>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</si>
  <si>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</si>
  <si>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</si>
  <si>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</si>
  <si>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</si>
  <si>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</si>
  <si>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</si>
  <si>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</si>
  <si>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</si>
  <si>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</si>
  <si>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</si>
  <si>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</si>
  <si>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</si>
  <si>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</si>
  <si>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</si>
  <si>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</si>
  <si>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</si>
  <si>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</si>
  <si>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</si>
  <si>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</si>
  <si>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</si>
  <si>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Jan</t>
  </si>
  <si>
    <t>Feb</t>
  </si>
  <si>
    <t>Mar</t>
  </si>
  <si>
    <t>Apr</t>
  </si>
  <si>
    <t>May</t>
  </si>
  <si>
    <t>Jun</t>
  </si>
  <si>
    <t>Jul</t>
  </si>
  <si>
    <t>Aug</t>
  </si>
  <si>
    <t>Sep</t>
  </si>
  <si>
    <t>Oct</t>
  </si>
  <si>
    <t>Nov</t>
  </si>
  <si>
    <t>Dec</t>
  </si>
  <si>
    <t>10-1010</t>
  </si>
  <si>
    <t>1010-2010</t>
  </si>
  <si>
    <t>2010-3010</t>
  </si>
  <si>
    <t>3010-4010</t>
  </si>
  <si>
    <t>4010-5010</t>
  </si>
  <si>
    <t>6010-7010</t>
  </si>
  <si>
    <t>7010-8010</t>
  </si>
  <si>
    <t>Count of Revenue</t>
  </si>
  <si>
    <t>STATE</t>
  </si>
  <si>
    <t>REVENUE</t>
  </si>
  <si>
    <t>Nancy. Freehafer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</si>
</sst>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m/dd/yy;@"/>
    <numFmt numFmtId="165" formatCode="&quot;$&quot;#,##0.00"/>
  </numFmts>
  <fonts count="8"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
      <sz val="11"/>
      <color theme="0"/>
      <name val="Calibri"/>
      <family val="2"/>
      <scheme val="minor"/>
    </font>
    <font>
      <sz val="11"/>
      <color theme="8" tint="-0.499984740745262"/>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18">
    <xf numFmtId="0" fontId="0" fillId="0" borderId="0" xfId="0"/>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164" fontId="0" fillId="0" borderId="0" xfId="0" applyNumberFormat="1" applyAlignment="1">
      <alignment horizontal="left"/>
    </xf>
    <xf numFmtId="165" fontId="0" fillId="0" borderId="0" xfId="0" applyNumberFormat="1" applyAlignment="1">
      <alignment horizontal="left"/>
    </xf>
    <xf numFmtId="1" fontId="0" fillId="0" borderId="0" xfId="0" applyNumberFormat="1"/>
    <xf numFmtId="0" fontId="6" fillId="5" borderId="0" xfId="0" applyFont="1" applyFill="1"/>
    <xf numFmtId="14" fontId="0" fillId="0" borderId="0" xfId="0" applyNumberFormat="1"/>
    <xf numFmtId="0" fontId="7" fillId="5" borderId="0" xfId="0" applyFont="1" applyFill="1"/>
  </cellXfs>
  <cellStyles count="3">
    <cellStyle name="Currency" xfId="1" builtinId="4"/>
    <cellStyle name="Hyperlink" xfId="2" builtinId="8"/>
    <cellStyle name="Normal" xfId="0" builtinId="0"/>
  </cellStyles>
  <dxfs count="17">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9" formatCode="m/d/yyyy"/>
    </dxf>
    <dxf>
      <numFmt numFmtId="19" formatCode="m/d/yyyy"/>
    </dxf>
    <dxf>
      <numFmt numFmtId="165" formatCode="&quot;$&quot;#,##0.00"/>
    </dxf>
    <dxf>
      <numFmt numFmtId="1" formatCode="0"/>
    </dxf>
    <dxf>
      <numFmt numFmtId="165" formatCode="&quot;$&quot;#,##0.00"/>
    </dxf>
    <dxf>
      <numFmt numFmtId="165" formatCode="&quot;$&quot;#,##0.00"/>
    </dxf>
    <dxf>
      <numFmt numFmtId="165" formatCode="&quot;$&quot;#,##0.00"/>
    </dxf>
    <dxf>
      <numFmt numFmtId="165" formatCode="&quot;$&quot;#,##0.00"/>
    </dxf>
    <dxf>
      <numFmt numFmtId="165"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DOC.xlsx]Sales Performance by Reps!PivotTable1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Sales Performance Analysis by Reps</a:t>
            </a:r>
          </a:p>
          <a:p>
            <a:pPr algn="ctr">
              <a:defRPr/>
            </a:pPr>
            <a:endParaRPr lang="en-US" sz="1400">
              <a:latin typeface="Agency FB" panose="020B0503020202020204" pitchFamily="34" charset="0"/>
            </a:endParaRPr>
          </a:p>
        </c:rich>
      </c:tx>
      <c:layout>
        <c:manualLayout>
          <c:xMode val="edge"/>
          <c:yMode val="edge"/>
          <c:x val="0.27629855643044621"/>
          <c:y val="7.40740740740740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s>
    <c:plotArea>
      <c:layout>
        <c:manualLayout>
          <c:layoutTarget val="inner"/>
          <c:xMode val="edge"/>
          <c:yMode val="edge"/>
          <c:x val="0.20716513560804897"/>
          <c:y val="0.24148148148148149"/>
          <c:w val="0.75116819772528431"/>
          <c:h val="0.70296296296296301"/>
        </c:manualLayout>
      </c:layout>
      <c:barChart>
        <c:barDir val="bar"/>
        <c:grouping val="clustered"/>
        <c:varyColors val="0"/>
        <c:ser>
          <c:idx val="0"/>
          <c:order val="0"/>
          <c:tx>
            <c:strRef>
              <c:f>'Sales Performance by Reps'!$B$3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81AC-40A2-896F-EC6651B08AAC}"/>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81AC-40A2-896F-EC6651B08AA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81AC-40A2-896F-EC6651B08AAC}"/>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81AC-40A2-896F-EC6651B08AAC}"/>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81AC-40A2-896F-EC6651B08AAC}"/>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B-81AC-40A2-896F-EC6651B08AAC}"/>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81AC-40A2-896F-EC6651B08AAC}"/>
              </c:ext>
            </c:extLst>
          </c:dPt>
          <c:dPt>
            <c:idx val="7"/>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F-81AC-40A2-896F-EC6651B08A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Reps'!$A$4:$A$12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Performance by Reps'!$B$4:$B$12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10-81AC-40A2-896F-EC6651B08AAC}"/>
            </c:ext>
          </c:extLst>
        </c:ser>
        <c:dLbls>
          <c:dLblPos val="outEnd"/>
          <c:showLegendKey val="0"/>
          <c:showVal val="1"/>
          <c:showCatName val="0"/>
          <c:showSerName val="0"/>
          <c:showPercent val="0"/>
          <c:showBubbleSize val="0"/>
        </c:dLbls>
        <c:gapWidth val="22"/>
        <c:axId val="1299461824"/>
        <c:axId val="1299458560"/>
      </c:barChart>
      <c:catAx>
        <c:axId val="12994618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458560"/>
        <c:crosses val="autoZero"/>
        <c:auto val="1"/>
        <c:lblAlgn val="ctr"/>
        <c:lblOffset val="100"/>
        <c:noMultiLvlLbl val="0"/>
      </c:catAx>
      <c:valAx>
        <c:axId val="1299458560"/>
        <c:scaling>
          <c:orientation val="minMax"/>
        </c:scaling>
        <c:delete val="1"/>
        <c:axPos val="t"/>
        <c:numFmt formatCode="&quot;$&quot;#,##0.00" sourceLinked="1"/>
        <c:majorTickMark val="none"/>
        <c:minorTickMark val="none"/>
        <c:tickLblPos val="nextTo"/>
        <c:crossAx val="1299461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DOC.xlsx]Top 10 Customers!PivotTable1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Top</a:t>
            </a:r>
            <a:r>
              <a:rPr lang="en-US" sz="1400" baseline="0">
                <a:latin typeface="Agency FB" panose="020B0503020202020204" pitchFamily="34" charset="0"/>
              </a:rPr>
              <a:t> 10 Customers</a:t>
            </a:r>
          </a:p>
          <a:p>
            <a:pPr algn="ctr">
              <a:defRPr/>
            </a:pPr>
            <a:endParaRPr lang="en-US" sz="1400">
              <a:latin typeface="Agency FB" panose="020B0503020202020204" pitchFamily="34" charset="0"/>
            </a:endParaRPr>
          </a:p>
        </c:rich>
      </c:tx>
      <c:layout>
        <c:manualLayout>
          <c:xMode val="edge"/>
          <c:yMode val="edge"/>
          <c:x val="0.38911130129088406"/>
          <c:y val="2.77777777777777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s>
    <c:plotArea>
      <c:layout>
        <c:manualLayout>
          <c:layoutTarget val="inner"/>
          <c:xMode val="edge"/>
          <c:yMode val="edge"/>
          <c:x val="0.27416989357240834"/>
          <c:y val="0.22759259259259254"/>
          <c:w val="0.43753340693557158"/>
          <c:h val="0.61499999999999999"/>
        </c:manualLayout>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2E5A-445D-B8B1-28AA2D593083}"/>
              </c:ext>
            </c:extLst>
          </c:dPt>
          <c:dPt>
            <c:idx val="1"/>
            <c:invertIfNegative val="0"/>
            <c:bubble3D val="0"/>
            <c:extLst>
              <c:ext xmlns:c16="http://schemas.microsoft.com/office/drawing/2014/chart" uri="{C3380CC4-5D6E-409C-BE32-E72D297353CC}">
                <c16:uniqueId val="{00000003-2E5A-445D-B8B1-28AA2D593083}"/>
              </c:ext>
            </c:extLst>
          </c:dPt>
          <c:dPt>
            <c:idx val="2"/>
            <c:invertIfNegative val="0"/>
            <c:bubble3D val="0"/>
            <c:extLst>
              <c:ext xmlns:c16="http://schemas.microsoft.com/office/drawing/2014/chart" uri="{C3380CC4-5D6E-409C-BE32-E72D297353CC}">
                <c16:uniqueId val="{00000005-2E5A-445D-B8B1-28AA2D593083}"/>
              </c:ext>
            </c:extLst>
          </c:dPt>
          <c:dPt>
            <c:idx val="3"/>
            <c:invertIfNegative val="0"/>
            <c:bubble3D val="0"/>
            <c:extLst>
              <c:ext xmlns:c16="http://schemas.microsoft.com/office/drawing/2014/chart" uri="{C3380CC4-5D6E-409C-BE32-E72D297353CC}">
                <c16:uniqueId val="{00000007-2E5A-445D-B8B1-28AA2D593083}"/>
              </c:ext>
            </c:extLst>
          </c:dPt>
          <c:dPt>
            <c:idx val="4"/>
            <c:invertIfNegative val="0"/>
            <c:bubble3D val="0"/>
            <c:extLst>
              <c:ext xmlns:c16="http://schemas.microsoft.com/office/drawing/2014/chart" uri="{C3380CC4-5D6E-409C-BE32-E72D297353CC}">
                <c16:uniqueId val="{00000009-2E5A-445D-B8B1-28AA2D593083}"/>
              </c:ext>
            </c:extLst>
          </c:dPt>
          <c:dPt>
            <c:idx val="5"/>
            <c:invertIfNegative val="0"/>
            <c:bubble3D val="0"/>
            <c:extLst>
              <c:ext xmlns:c16="http://schemas.microsoft.com/office/drawing/2014/chart" uri="{C3380CC4-5D6E-409C-BE32-E72D297353CC}">
                <c16:uniqueId val="{0000000B-2E5A-445D-B8B1-28AA2D593083}"/>
              </c:ext>
            </c:extLst>
          </c:dPt>
          <c:dPt>
            <c:idx val="6"/>
            <c:invertIfNegative val="0"/>
            <c:bubble3D val="0"/>
            <c:extLst>
              <c:ext xmlns:c16="http://schemas.microsoft.com/office/drawing/2014/chart" uri="{C3380CC4-5D6E-409C-BE32-E72D297353CC}">
                <c16:uniqueId val="{0000000D-2E5A-445D-B8B1-28AA2D593083}"/>
              </c:ext>
            </c:extLst>
          </c:dPt>
          <c:dPt>
            <c:idx val="7"/>
            <c:invertIfNegative val="0"/>
            <c:bubble3D val="0"/>
            <c:extLst>
              <c:ext xmlns:c16="http://schemas.microsoft.com/office/drawing/2014/chart" uri="{C3380CC4-5D6E-409C-BE32-E72D297353CC}">
                <c16:uniqueId val="{0000000F-2E5A-445D-B8B1-28AA2D593083}"/>
              </c:ext>
            </c:extLst>
          </c:dPt>
          <c:dPt>
            <c:idx val="8"/>
            <c:invertIfNegative val="0"/>
            <c:bubble3D val="0"/>
            <c:extLst>
              <c:ext xmlns:c16="http://schemas.microsoft.com/office/drawing/2014/chart" uri="{C3380CC4-5D6E-409C-BE32-E72D297353CC}">
                <c16:uniqueId val="{00000011-2E5A-445D-B8B1-28AA2D593083}"/>
              </c:ext>
            </c:extLst>
          </c:dPt>
          <c:dPt>
            <c:idx val="9"/>
            <c:invertIfNegative val="0"/>
            <c:bubble3D val="0"/>
            <c:extLst>
              <c:ext xmlns:c16="http://schemas.microsoft.com/office/drawing/2014/chart" uri="{C3380CC4-5D6E-409C-BE32-E72D297353CC}">
                <c16:uniqueId val="{00000012-2E5A-445D-B8B1-28AA2D5930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10-2E5A-445D-B8B1-28AA2D593083}"/>
            </c:ext>
          </c:extLst>
        </c:ser>
        <c:dLbls>
          <c:dLblPos val="outEnd"/>
          <c:showLegendKey val="0"/>
          <c:showVal val="1"/>
          <c:showCatName val="0"/>
          <c:showSerName val="0"/>
          <c:showPercent val="0"/>
          <c:showBubbleSize val="0"/>
        </c:dLbls>
        <c:gapWidth val="30"/>
        <c:axId val="1932984927"/>
        <c:axId val="1932987807"/>
      </c:barChart>
      <c:valAx>
        <c:axId val="1932987807"/>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932984927"/>
        <c:crosses val="autoZero"/>
        <c:crossBetween val="between"/>
      </c:valAx>
      <c:catAx>
        <c:axId val="193298492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987807"/>
        <c:crosses val="autoZero"/>
        <c:auto val="1"/>
        <c:lblAlgn val="ctr"/>
        <c:lblOffset val="100"/>
        <c:noMultiLvlLbl val="0"/>
      </c:cat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DOC.xlsx]Sales Trend Report!PivotTable1</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Sales Trend</a:t>
            </a:r>
            <a:r>
              <a:rPr lang="en-US" sz="1400" baseline="0">
                <a:latin typeface="Agency FB" panose="020B0503020202020204" pitchFamily="34" charset="0"/>
              </a:rPr>
              <a:t> Report</a:t>
            </a:r>
            <a:endParaRPr lang="en-US" sz="1400">
              <a:latin typeface="Agency FB" panose="020B0503020202020204" pitchFamily="34" charset="0"/>
            </a:endParaRPr>
          </a:p>
        </c:rich>
      </c:tx>
      <c:layout>
        <c:manualLayout>
          <c:xMode val="edge"/>
          <c:yMode val="edge"/>
          <c:x val="0.39185341552189967"/>
          <c:y val="6.944444444444444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11493179557839E-2"/>
          <c:y val="0.18592592592592591"/>
          <c:w val="0.78234526373356783"/>
          <c:h val="0.69370370370370382"/>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72E0-4FDB-9CAC-02D84417C314}"/>
            </c:ext>
          </c:extLst>
        </c:ser>
        <c:dLbls>
          <c:showLegendKey val="0"/>
          <c:showVal val="0"/>
          <c:showCatName val="0"/>
          <c:showSerName val="0"/>
          <c:showPercent val="0"/>
          <c:showBubbleSize val="0"/>
        </c:dLbls>
        <c:smooth val="0"/>
        <c:axId val="1297045328"/>
        <c:axId val="1297042064"/>
      </c:lineChart>
      <c:catAx>
        <c:axId val="129704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42064"/>
        <c:crosses val="autoZero"/>
        <c:auto val="1"/>
        <c:lblAlgn val="ctr"/>
        <c:lblOffset val="100"/>
        <c:noMultiLvlLbl val="0"/>
      </c:catAx>
      <c:valAx>
        <c:axId val="129704206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97045328"/>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DOC.xlsx]Sales Product by Category!PivotTable1</c:name>
    <c:fmtId val="1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Product</a:t>
            </a:r>
            <a:r>
              <a:rPr lang="en-US" sz="1400" baseline="0">
                <a:latin typeface="Agency FB" panose="020B0503020202020204" pitchFamily="34" charset="0"/>
              </a:rPr>
              <a:t> Category Performance Per Time</a:t>
            </a:r>
            <a:endParaRPr lang="en-US" sz="1400">
              <a:latin typeface="Agency FB" panose="020B0503020202020204" pitchFamily="34" charset="0"/>
            </a:endParaRPr>
          </a:p>
        </c:rich>
      </c:tx>
      <c:layout>
        <c:manualLayout>
          <c:xMode val="edge"/>
          <c:yMode val="edge"/>
          <c:x val="0.39185341552189967"/>
          <c:y val="6.944444444444444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w="28575" cap="rnd">
            <a:solidFill>
              <a:schemeClr val="accent5">
                <a:lumMod val="50000"/>
              </a:schemeClr>
            </a:solidFill>
            <a:round/>
          </a:ln>
          <a:effectLst/>
        </c:spPr>
        <c:marker>
          <c:symbol val="none"/>
        </c:marker>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75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s>
    <c:plotArea>
      <c:layout>
        <c:manualLayout>
          <c:layoutTarget val="inner"/>
          <c:xMode val="edge"/>
          <c:yMode val="edge"/>
          <c:x val="9.9711493179557839E-2"/>
          <c:y val="0.18592592592592591"/>
          <c:w val="0.78234526373356783"/>
          <c:h val="0.69370370370370382"/>
        </c:manualLayout>
      </c:layout>
      <c:barChart>
        <c:barDir val="bar"/>
        <c:grouping val="clustered"/>
        <c:varyColors val="0"/>
        <c:ser>
          <c:idx val="0"/>
          <c:order val="0"/>
          <c:tx>
            <c:strRef>
              <c:f>'Sales Product by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1-1CAA-466D-8C57-2B4972AD243C}"/>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1CAA-466D-8C57-2B4972AD243C}"/>
              </c:ext>
            </c:extLst>
          </c:dPt>
          <c:dPt>
            <c:idx val="2"/>
            <c:invertIfNegative val="0"/>
            <c:bubble3D val="0"/>
            <c:extLst>
              <c:ext xmlns:c16="http://schemas.microsoft.com/office/drawing/2014/chart" uri="{C3380CC4-5D6E-409C-BE32-E72D297353CC}">
                <c16:uniqueId val="{00000005-1CAA-466D-8C57-2B4972AD243C}"/>
              </c:ext>
            </c:extLst>
          </c:dPt>
          <c:dPt>
            <c:idx val="3"/>
            <c:invertIfNegative val="0"/>
            <c:bubble3D val="0"/>
            <c:extLst>
              <c:ext xmlns:c16="http://schemas.microsoft.com/office/drawing/2014/chart" uri="{C3380CC4-5D6E-409C-BE32-E72D297353CC}">
                <c16:uniqueId val="{00000007-1CAA-466D-8C57-2B4972AD243C}"/>
              </c:ext>
            </c:extLst>
          </c:dPt>
          <c:dPt>
            <c:idx val="4"/>
            <c:invertIfNegative val="0"/>
            <c:bubble3D val="0"/>
            <c:extLst>
              <c:ext xmlns:c16="http://schemas.microsoft.com/office/drawing/2014/chart" uri="{C3380CC4-5D6E-409C-BE32-E72D297353CC}">
                <c16:uniqueId val="{00000009-1CAA-466D-8C57-2B4972AD243C}"/>
              </c:ext>
            </c:extLst>
          </c:dPt>
          <c:dPt>
            <c:idx val="5"/>
            <c:invertIfNegative val="0"/>
            <c:bubble3D val="0"/>
            <c:extLst>
              <c:ext xmlns:c16="http://schemas.microsoft.com/office/drawing/2014/chart" uri="{C3380CC4-5D6E-409C-BE32-E72D297353CC}">
                <c16:uniqueId val="{0000000B-1CAA-466D-8C57-2B4972AD24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Product by Category'!$A$4:$A$10</c:f>
              <c:strCache>
                <c:ptCount val="6"/>
                <c:pt idx="0">
                  <c:v>Beverages</c:v>
                </c:pt>
                <c:pt idx="1">
                  <c:v>Sauces</c:v>
                </c:pt>
                <c:pt idx="2">
                  <c:v>Jams, Preserves</c:v>
                </c:pt>
                <c:pt idx="3">
                  <c:v>Dairy Products</c:v>
                </c:pt>
                <c:pt idx="4">
                  <c:v>Dried Fruit &amp; Nuts</c:v>
                </c:pt>
                <c:pt idx="5">
                  <c:v>Canned Meat</c:v>
                </c:pt>
              </c:strCache>
            </c:strRef>
          </c:cat>
          <c:val>
            <c:numRef>
              <c:f>'Sales Product by Category'!$B$4:$B$10</c:f>
              <c:numCache>
                <c:formatCode>"$"#,##0.00</c:formatCode>
                <c:ptCount val="6"/>
                <c:pt idx="0">
                  <c:v>110577.10999999999</c:v>
                </c:pt>
                <c:pt idx="1">
                  <c:v>69000</c:v>
                </c:pt>
                <c:pt idx="2">
                  <c:v>51541</c:v>
                </c:pt>
                <c:pt idx="3">
                  <c:v>33129.600000000006</c:v>
                </c:pt>
                <c:pt idx="4">
                  <c:v>27999.5</c:v>
                </c:pt>
                <c:pt idx="5">
                  <c:v>25465.599999999999</c:v>
                </c:pt>
              </c:numCache>
            </c:numRef>
          </c:val>
          <c:extLst>
            <c:ext xmlns:c16="http://schemas.microsoft.com/office/drawing/2014/chart" uri="{C3380CC4-5D6E-409C-BE32-E72D297353CC}">
              <c16:uniqueId val="{0000000C-1CAA-466D-8C57-2B4972AD243C}"/>
            </c:ext>
          </c:extLst>
        </c:ser>
        <c:dLbls>
          <c:showLegendKey val="0"/>
          <c:showVal val="0"/>
          <c:showCatName val="0"/>
          <c:showSerName val="0"/>
          <c:showPercent val="0"/>
          <c:showBubbleSize val="0"/>
        </c:dLbls>
        <c:gapWidth val="30"/>
        <c:axId val="1299454752"/>
        <c:axId val="1299457472"/>
      </c:barChart>
      <c:catAx>
        <c:axId val="129945475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457472"/>
        <c:crosses val="autoZero"/>
        <c:auto val="1"/>
        <c:lblAlgn val="ctr"/>
        <c:lblOffset val="100"/>
        <c:noMultiLvlLbl val="0"/>
      </c:catAx>
      <c:valAx>
        <c:axId val="1299457472"/>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99454752"/>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DOC.xlsx]Transation by Amount!PivotTable1</c:name>
    <c:fmtId val="1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Transation</a:t>
            </a:r>
            <a:r>
              <a:rPr lang="en-US" sz="1400" baseline="0">
                <a:latin typeface="Agency FB" panose="020B0503020202020204" pitchFamily="34" charset="0"/>
              </a:rPr>
              <a:t> Distribution by Amount</a:t>
            </a:r>
            <a:endParaRPr lang="en-US" sz="1400">
              <a:latin typeface="Agency FB" panose="020B0503020202020204" pitchFamily="34" charset="0"/>
            </a:endParaRPr>
          </a:p>
        </c:rich>
      </c:tx>
      <c:layout>
        <c:manualLayout>
          <c:xMode val="edge"/>
          <c:yMode val="edge"/>
          <c:x val="0.34519221965508379"/>
          <c:y val="6.429705969491705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w="28575" cap="rnd">
            <a:solidFill>
              <a:schemeClr val="accent5">
                <a:lumMod val="50000"/>
              </a:schemeClr>
            </a:solidFill>
            <a:round/>
          </a:ln>
          <a:effectLst/>
        </c:spPr>
        <c:marker>
          <c:symbol val="none"/>
        </c:marker>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c:spPr>
      </c:pivotFmt>
      <c:pivotFmt>
        <c:idx val="34"/>
        <c:spPr>
          <a:solidFill>
            <a:schemeClr val="accent5">
              <a:lumMod val="75000"/>
            </a:schemeClr>
          </a:solidFill>
          <a:ln>
            <a:noFill/>
          </a:ln>
          <a:effectLst/>
        </c:spPr>
      </c:pivotFmt>
      <c:pivotFmt>
        <c:idx val="35"/>
        <c:spPr>
          <a:solidFill>
            <a:schemeClr val="accent5">
              <a:lumMod val="75000"/>
            </a:schemeClr>
          </a:solidFill>
          <a:ln>
            <a:noFill/>
          </a:ln>
          <a:effectLst/>
        </c:spPr>
      </c:pivotFmt>
      <c:pivotFmt>
        <c:idx val="36"/>
        <c:spPr>
          <a:solidFill>
            <a:schemeClr val="accent5">
              <a:lumMod val="60000"/>
              <a:lumOff val="4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50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20000"/>
              <a:lumOff val="80000"/>
            </a:schemeClr>
          </a:solidFill>
          <a:ln>
            <a:noFill/>
          </a:ln>
          <a:effectLst/>
        </c:spPr>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20000"/>
              <a:lumOff val="80000"/>
            </a:schemeClr>
          </a:solidFill>
          <a:ln>
            <a:noFill/>
          </a:ln>
          <a:effectLst/>
        </c:spPr>
      </c:pivotFmt>
      <c:pivotFmt>
        <c:idx val="52"/>
        <c:spPr>
          <a:solidFill>
            <a:schemeClr val="accent5">
              <a:lumMod val="20000"/>
              <a:lumOff val="80000"/>
            </a:schemeClr>
          </a:solidFill>
          <a:ln>
            <a:noFill/>
          </a:ln>
          <a:effectLst/>
        </c:spPr>
      </c:pivotFmt>
    </c:pivotFmts>
    <c:plotArea>
      <c:layout>
        <c:manualLayout>
          <c:layoutTarget val="inner"/>
          <c:xMode val="edge"/>
          <c:yMode val="edge"/>
          <c:x val="9.9711493179557839E-2"/>
          <c:y val="0.18592592592592591"/>
          <c:w val="0.78234526373356783"/>
          <c:h val="0.69370370370370382"/>
        </c:manualLayout>
      </c:layout>
      <c:barChart>
        <c:barDir val="col"/>
        <c:grouping val="clustered"/>
        <c:varyColors val="0"/>
        <c:ser>
          <c:idx val="0"/>
          <c:order val="0"/>
          <c:tx>
            <c:strRef>
              <c:f>'Transation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A243-4BFB-B06D-536CBFFB7E9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A243-4BFB-B06D-536CBFFB7E9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A243-4BFB-B06D-536CBFFB7E9E}"/>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A243-4BFB-B06D-536CBFFB7E9E}"/>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A243-4BFB-B06D-536CBFFB7E9E}"/>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A243-4BFB-B06D-536CBFFB7E9E}"/>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D-A243-4BFB-B06D-536CBFFB7E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'Transation by Amount'!$A$4:$A$11</c:f>
              <c:strCache>
                <c:ptCount val="7"/>
                <c:pt idx="0">
                  <c:v>10-1010</c:v>
                </c:pt>
                <c:pt idx="1">
                  <c:v>1010-2010</c:v>
                </c:pt>
                <c:pt idx="2">
                  <c:v>2010-3010</c:v>
                </c:pt>
                <c:pt idx="3">
                  <c:v>3010-4010</c:v>
                </c:pt>
                <c:pt idx="4">
                  <c:v>4010-5010</c:v>
                </c:pt>
                <c:pt idx="5">
                  <c:v>6010-7010</c:v>
                </c:pt>
                <c:pt idx="6">
                  <c:v>7010-8010</c:v>
                </c:pt>
              </c:strCache>
            </c:strRef>
          </c:cat>
          <c:val>
            <c:numRef>
              <c:f>'Transation by Amount'!$B$4:$B$11</c:f>
              <c:numCache>
                <c:formatCode>0</c:formatCode>
                <c:ptCount val="7"/>
                <c:pt idx="0">
                  <c:v>221</c:v>
                </c:pt>
                <c:pt idx="1">
                  <c:v>82</c:v>
                </c:pt>
                <c:pt idx="2">
                  <c:v>32</c:v>
                </c:pt>
                <c:pt idx="3">
                  <c:v>23</c:v>
                </c:pt>
                <c:pt idx="4">
                  <c:v>8</c:v>
                </c:pt>
                <c:pt idx="5">
                  <c:v>2</c:v>
                </c:pt>
                <c:pt idx="6">
                  <c:v>1</c:v>
                </c:pt>
              </c:numCache>
            </c:numRef>
          </c:val>
          <c:extLst>
            <c:ext xmlns:c16="http://schemas.microsoft.com/office/drawing/2014/chart" uri="{C3380CC4-5D6E-409C-BE32-E72D297353CC}">
              <c16:uniqueId val="{0000000E-A243-4BFB-B06D-536CBFFB7E9E}"/>
            </c:ext>
          </c:extLst>
        </c:ser>
        <c:dLbls>
          <c:showLegendKey val="0"/>
          <c:showVal val="0"/>
          <c:showCatName val="0"/>
          <c:showSerName val="0"/>
          <c:showPercent val="0"/>
          <c:showBubbleSize val="0"/>
        </c:dLbls>
        <c:gapWidth val="30"/>
        <c:axId val="1358794272"/>
        <c:axId val="1358790464"/>
      </c:barChart>
      <c:catAx>
        <c:axId val="1358794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790464"/>
        <c:crosses val="autoZero"/>
        <c:auto val="1"/>
        <c:lblAlgn val="ctr"/>
        <c:lblOffset val="100"/>
        <c:noMultiLvlLbl val="0"/>
      </c:catAx>
      <c:valAx>
        <c:axId val="135879046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58794272"/>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DOC.xlsx]Top 5 cities!PivotTable1</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Top</a:t>
            </a:r>
            <a:r>
              <a:rPr lang="en-US" sz="1400" baseline="0">
                <a:latin typeface="Agency FB" panose="020B0503020202020204" pitchFamily="34" charset="0"/>
              </a:rPr>
              <a:t> 5 Cities by Revenue</a:t>
            </a:r>
          </a:p>
          <a:p>
            <a:pPr algn="ctr">
              <a:defRPr/>
            </a:pPr>
            <a:endParaRPr lang="en-US" sz="1400">
              <a:latin typeface="Agency FB" panose="020B0503020202020204" pitchFamily="34" charset="0"/>
            </a:endParaRPr>
          </a:p>
        </c:rich>
      </c:tx>
      <c:layout>
        <c:manualLayout>
          <c:xMode val="edge"/>
          <c:yMode val="edge"/>
          <c:x val="0.33772716392006868"/>
          <c:y val="4.6296296296296294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pivotFmt>
      <c:pivotFmt>
        <c:idx val="29"/>
        <c:spPr>
          <a:solidFill>
            <a:schemeClr val="accent5">
              <a:lumMod val="60000"/>
              <a:lumOff val="40000"/>
            </a:schemeClr>
          </a:solidFill>
          <a:ln>
            <a:noFill/>
          </a:ln>
          <a:effectLst/>
        </c:spPr>
      </c:pivotFmt>
      <c:pivotFmt>
        <c:idx val="30"/>
        <c:spPr>
          <a:solidFill>
            <a:schemeClr val="accent5">
              <a:lumMod val="40000"/>
              <a:lumOff val="6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5">
              <a:lumMod val="50000"/>
            </a:schemeClr>
          </a:solidFill>
          <a:ln>
            <a:noFill/>
          </a:ln>
          <a:effectLst/>
        </c:spPr>
      </c:pivotFmt>
      <c:pivotFmt>
        <c:idx val="33"/>
        <c:spPr>
          <a:solidFill>
            <a:schemeClr val="accent5">
              <a:lumMod val="50000"/>
            </a:schemeClr>
          </a:solidFill>
          <a:ln>
            <a:noFill/>
          </a:ln>
          <a:effectLst/>
        </c:spPr>
      </c:pivotFmt>
    </c:pivotFmts>
    <c:plotArea>
      <c:layout>
        <c:manualLayout>
          <c:layoutTarget val="inner"/>
          <c:xMode val="edge"/>
          <c:yMode val="edge"/>
          <c:x val="0.27416989357240834"/>
          <c:y val="0.22759259259259254"/>
          <c:w val="0.43753340693557158"/>
          <c:h val="0.61499999999999999"/>
        </c:manualLayout>
      </c:layout>
      <c:pieChart>
        <c:varyColors val="1"/>
        <c:ser>
          <c:idx val="0"/>
          <c:order val="0"/>
          <c:tx>
            <c:strRef>
              <c:f>'Top 5 cities'!$B$3</c:f>
              <c:strCache>
                <c:ptCount val="1"/>
                <c:pt idx="0">
                  <c:v>Total</c:v>
                </c:pt>
              </c:strCache>
            </c:strRef>
          </c:tx>
          <c:spPr>
            <a:solidFill>
              <a:schemeClr val="accent5">
                <a:lumMod val="50000"/>
              </a:schemeClr>
            </a:solidFill>
          </c:spPr>
          <c:dPt>
            <c:idx val="0"/>
            <c:bubble3D val="0"/>
            <c:spPr>
              <a:solidFill>
                <a:schemeClr val="accent5">
                  <a:lumMod val="50000"/>
                </a:schemeClr>
              </a:solidFill>
              <a:ln>
                <a:noFill/>
              </a:ln>
              <a:effectLst/>
            </c:spPr>
            <c:extLst>
              <c:ext xmlns:c16="http://schemas.microsoft.com/office/drawing/2014/chart" uri="{C3380CC4-5D6E-409C-BE32-E72D297353CC}">
                <c16:uniqueId val="{00000001-3085-4D10-96CB-FDFEA78ED749}"/>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1-BA03-4A3F-9EC6-730833D66C0A}"/>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2-BA03-4A3F-9EC6-730833D66C0A}"/>
              </c:ext>
            </c:extLst>
          </c:dPt>
          <c:dPt>
            <c:idx val="3"/>
            <c:bubble3D val="0"/>
            <c:spPr>
              <a:solidFill>
                <a:schemeClr val="accent5">
                  <a:lumMod val="40000"/>
                  <a:lumOff val="60000"/>
                </a:schemeClr>
              </a:solidFill>
              <a:ln>
                <a:noFill/>
              </a:ln>
              <a:effectLst/>
            </c:spPr>
            <c:extLst>
              <c:ext xmlns:c16="http://schemas.microsoft.com/office/drawing/2014/chart" uri="{C3380CC4-5D6E-409C-BE32-E72D297353CC}">
                <c16:uniqueId val="{00000003-BA03-4A3F-9EC6-730833D66C0A}"/>
              </c:ext>
            </c:extLst>
          </c:dPt>
          <c:dPt>
            <c:idx val="4"/>
            <c:bubble3D val="0"/>
            <c:spPr>
              <a:solidFill>
                <a:schemeClr val="accent5">
                  <a:lumMod val="20000"/>
                  <a:lumOff val="80000"/>
                </a:schemeClr>
              </a:solidFill>
              <a:ln>
                <a:noFill/>
              </a:ln>
              <a:effectLst/>
            </c:spPr>
            <c:extLst>
              <c:ext xmlns:c16="http://schemas.microsoft.com/office/drawing/2014/chart" uri="{C3380CC4-5D6E-409C-BE32-E72D297353CC}">
                <c16:uniqueId val="{00000004-BA03-4A3F-9EC6-730833D66C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cities'!$A$4:$A$9</c:f>
              <c:strCache>
                <c:ptCount val="5"/>
                <c:pt idx="0">
                  <c:v>New York</c:v>
                </c:pt>
                <c:pt idx="1">
                  <c:v>Portland</c:v>
                </c:pt>
                <c:pt idx="2">
                  <c:v>Miami</c:v>
                </c:pt>
                <c:pt idx="3">
                  <c:v>Memphis</c:v>
                </c:pt>
                <c:pt idx="4">
                  <c:v>Chicago</c:v>
                </c:pt>
              </c:strCache>
            </c:strRef>
          </c:cat>
          <c:val>
            <c:numRef>
              <c:f>'Top 5 cities'!$B$4:$B$9</c:f>
              <c:numCache>
                <c:formatCode>"$"#,##0.00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0-BA03-4A3F-9EC6-730833D66C0A}"/>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 Top 6 Ship Cities by Revenue!PivotTable1</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latin typeface="Agency FB" panose="020B0503020202020204" pitchFamily="34" charset="0"/>
              </a:rPr>
              <a:t>Top</a:t>
            </a:r>
            <a:r>
              <a:rPr lang="en-US" sz="1400" baseline="0">
                <a:latin typeface="Agency FB" panose="020B0503020202020204" pitchFamily="34" charset="0"/>
              </a:rPr>
              <a:t> 6 Ship Cities by Revenue</a:t>
            </a:r>
          </a:p>
          <a:p>
            <a:pPr algn="ctr">
              <a:defRPr/>
            </a:pPr>
            <a:endParaRPr lang="en-US" sz="1400">
              <a:latin typeface="Agency FB" panose="020B0503020202020204" pitchFamily="34" charset="0"/>
            </a:endParaRPr>
          </a:p>
        </c:rich>
      </c:tx>
      <c:layout>
        <c:manualLayout>
          <c:xMode val="edge"/>
          <c:yMode val="edge"/>
          <c:x val="0.33772716392006868"/>
          <c:y val="4.6296296296296294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50000"/>
            </a:schemeClr>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s>
    <c:plotArea>
      <c:layout>
        <c:manualLayout>
          <c:layoutTarget val="inner"/>
          <c:xMode val="edge"/>
          <c:yMode val="edge"/>
          <c:x val="0.27416989357240834"/>
          <c:y val="0.22759259259259254"/>
          <c:w val="0.43753340693557158"/>
          <c:h val="0.61499999999999999"/>
        </c:manualLayout>
      </c:layout>
      <c:barChart>
        <c:barDir val="bar"/>
        <c:grouping val="clustered"/>
        <c:varyColors val="0"/>
        <c:ser>
          <c:idx val="0"/>
          <c:order val="0"/>
          <c:tx>
            <c:strRef>
              <c:f>' Top 6 Ship Cities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0360-4A7B-9D8A-6DB3C9BEFFB3}"/>
              </c:ext>
            </c:extLst>
          </c:dPt>
          <c:dPt>
            <c:idx val="1"/>
            <c:invertIfNegative val="0"/>
            <c:bubble3D val="0"/>
            <c:extLst>
              <c:ext xmlns:c16="http://schemas.microsoft.com/office/drawing/2014/chart" uri="{C3380CC4-5D6E-409C-BE32-E72D297353CC}">
                <c16:uniqueId val="{00000002-0360-4A7B-9D8A-6DB3C9BEFFB3}"/>
              </c:ext>
            </c:extLst>
          </c:dPt>
          <c:dPt>
            <c:idx val="2"/>
            <c:invertIfNegative val="0"/>
            <c:bubble3D val="0"/>
            <c:extLst>
              <c:ext xmlns:c16="http://schemas.microsoft.com/office/drawing/2014/chart" uri="{C3380CC4-5D6E-409C-BE32-E72D297353CC}">
                <c16:uniqueId val="{00000003-0360-4A7B-9D8A-6DB3C9BEFFB3}"/>
              </c:ext>
            </c:extLst>
          </c:dPt>
          <c:dPt>
            <c:idx val="3"/>
            <c:invertIfNegative val="0"/>
            <c:bubble3D val="0"/>
            <c:extLst>
              <c:ext xmlns:c16="http://schemas.microsoft.com/office/drawing/2014/chart" uri="{C3380CC4-5D6E-409C-BE32-E72D297353CC}">
                <c16:uniqueId val="{00000004-0360-4A7B-9D8A-6DB3C9BEFFB3}"/>
              </c:ext>
            </c:extLst>
          </c:dPt>
          <c:dPt>
            <c:idx val="4"/>
            <c:invertIfNegative val="0"/>
            <c:bubble3D val="0"/>
            <c:extLst>
              <c:ext xmlns:c16="http://schemas.microsoft.com/office/drawing/2014/chart" uri="{C3380CC4-5D6E-409C-BE32-E72D297353CC}">
                <c16:uniqueId val="{00000005-0360-4A7B-9D8A-6DB3C9BEFFB3}"/>
              </c:ext>
            </c:extLst>
          </c:dPt>
          <c:dPt>
            <c:idx val="5"/>
            <c:invertIfNegative val="0"/>
            <c:bubble3D val="0"/>
            <c:extLst>
              <c:ext xmlns:c16="http://schemas.microsoft.com/office/drawing/2014/chart" uri="{C3380CC4-5D6E-409C-BE32-E72D297353CC}">
                <c16:uniqueId val="{00000006-0360-4A7B-9D8A-6DB3C9BEFF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Top 6 Ship Cities by Revenue'!$A$4:$A$10</c:f>
              <c:strCache>
                <c:ptCount val="6"/>
                <c:pt idx="0">
                  <c:v>New York</c:v>
                </c:pt>
                <c:pt idx="1">
                  <c:v>Portland</c:v>
                </c:pt>
                <c:pt idx="2">
                  <c:v>Miami</c:v>
                </c:pt>
                <c:pt idx="3">
                  <c:v>Memphis</c:v>
                </c:pt>
                <c:pt idx="4">
                  <c:v>Chicago</c:v>
                </c:pt>
                <c:pt idx="5">
                  <c:v>Milwaukee</c:v>
                </c:pt>
              </c:strCache>
            </c:strRef>
          </c:cat>
          <c:val>
            <c:numRef>
              <c:f>' Top 6 Ship Cities by Revenue'!$B$4:$B$10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0-0360-4A7B-9D8A-6DB3C9BEFFB3}"/>
            </c:ext>
          </c:extLst>
        </c:ser>
        <c:dLbls>
          <c:showLegendKey val="0"/>
          <c:showVal val="0"/>
          <c:showCatName val="0"/>
          <c:showSerName val="0"/>
          <c:showPercent val="0"/>
          <c:showBubbleSize val="0"/>
        </c:dLbls>
        <c:gapWidth val="20"/>
        <c:axId val="1299459648"/>
        <c:axId val="1299456384"/>
      </c:barChart>
      <c:valAx>
        <c:axId val="129945638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99459648"/>
        <c:crosses val="autoZero"/>
        <c:crossBetween val="between"/>
      </c:valAx>
      <c:catAx>
        <c:axId val="129945964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456384"/>
        <c:crosses val="autoZero"/>
        <c:auto val="1"/>
        <c:lblAlgn val="ctr"/>
        <c:lblOffset val="100"/>
        <c:noMultiLvlLbl val="0"/>
      </c:cat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DOC.xlsx]Sales Trend Report!PivotTable1</c:name>
    <c:fmtId val="1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0">
                <a:solidFill>
                  <a:schemeClr val="accent3">
                    <a:lumMod val="50000"/>
                  </a:schemeClr>
                </a:solidFill>
                <a:latin typeface="Arial Narrow" panose="020B0606020202030204" pitchFamily="34" charset="0"/>
              </a:rPr>
              <a:t>Sales Trend</a:t>
            </a:r>
            <a:r>
              <a:rPr lang="en-US" sz="1400" b="0" baseline="0">
                <a:solidFill>
                  <a:schemeClr val="accent3">
                    <a:lumMod val="50000"/>
                  </a:schemeClr>
                </a:solidFill>
                <a:latin typeface="Arial Narrow" panose="020B0606020202030204" pitchFamily="34" charset="0"/>
              </a:rPr>
              <a:t> Report</a:t>
            </a:r>
            <a:endParaRPr lang="en-US" sz="1400" b="0">
              <a:solidFill>
                <a:schemeClr val="accent3">
                  <a:lumMod val="50000"/>
                </a:schemeClr>
              </a:solidFill>
              <a:latin typeface="Arial Narrow" panose="020B0606020202030204" pitchFamily="34" charset="0"/>
            </a:endParaRPr>
          </a:p>
        </c:rich>
      </c:tx>
      <c:layout>
        <c:manualLayout>
          <c:xMode val="edge"/>
          <c:yMode val="edge"/>
          <c:x val="0.39830496994327313"/>
          <c:y val="2.795046884699578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11493179557839E-2"/>
          <c:y val="0.18592592592592591"/>
          <c:w val="0.78234526373356783"/>
          <c:h val="0.69370370370370382"/>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7856-4891-9F52-167C0625A90C}"/>
            </c:ext>
          </c:extLst>
        </c:ser>
        <c:dLbls>
          <c:showLegendKey val="0"/>
          <c:showVal val="0"/>
          <c:showCatName val="0"/>
          <c:showSerName val="0"/>
          <c:showPercent val="0"/>
          <c:showBubbleSize val="0"/>
        </c:dLbls>
        <c:smooth val="0"/>
        <c:axId val="1297045328"/>
        <c:axId val="1297042064"/>
      </c:lineChart>
      <c:catAx>
        <c:axId val="129704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42064"/>
        <c:crosses val="autoZero"/>
        <c:auto val="1"/>
        <c:lblAlgn val="ctr"/>
        <c:lblOffset val="100"/>
        <c:noMultiLvlLbl val="0"/>
      </c:catAx>
      <c:valAx>
        <c:axId val="129704206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97045328"/>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 Top 6 Ship Cities by Revenue!PivotTable1</c:name>
    <c:fmtId val="1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solidFill>
                  <a:schemeClr val="accent3">
                    <a:lumMod val="50000"/>
                  </a:schemeClr>
                </a:solidFill>
                <a:latin typeface="Arial Narrow" panose="020B0606020202030204" pitchFamily="34" charset="0"/>
              </a:rPr>
              <a:t>Top</a:t>
            </a:r>
            <a:r>
              <a:rPr lang="en-US" sz="1400" baseline="0">
                <a:solidFill>
                  <a:schemeClr val="accent3">
                    <a:lumMod val="50000"/>
                  </a:schemeClr>
                </a:solidFill>
                <a:latin typeface="Arial Narrow" panose="020B0606020202030204" pitchFamily="34" charset="0"/>
              </a:rPr>
              <a:t> 6 Ship Cities by Revenue</a:t>
            </a:r>
          </a:p>
          <a:p>
            <a:pPr algn="ctr">
              <a:defRPr/>
            </a:pPr>
            <a:endParaRPr lang="en-US" sz="1400">
              <a:latin typeface="Agency FB" panose="020B0503020202020204" pitchFamily="34" charset="0"/>
            </a:endParaRPr>
          </a:p>
        </c:rich>
      </c:tx>
      <c:layout>
        <c:manualLayout>
          <c:xMode val="edge"/>
          <c:yMode val="edge"/>
          <c:x val="0.33772716392006868"/>
          <c:y val="4.6296296296296294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5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60000"/>
              <a:lumOff val="40000"/>
            </a:schemeClr>
          </a:solidFill>
          <a:ln>
            <a:noFill/>
          </a:ln>
          <a:effectLst/>
        </c:spPr>
      </c:pivotFmt>
      <c:pivotFmt>
        <c:idx val="31"/>
        <c:spPr>
          <a:solidFill>
            <a:schemeClr val="accent5">
              <a:lumMod val="40000"/>
              <a:lumOff val="60000"/>
            </a:schemeClr>
          </a:solidFill>
          <a:ln>
            <a:noFill/>
          </a:ln>
          <a:effectLst/>
        </c:spPr>
      </c:pivotFmt>
      <c:pivotFmt>
        <c:idx val="32"/>
        <c:spPr>
          <a:solidFill>
            <a:schemeClr val="accent5">
              <a:lumMod val="40000"/>
              <a:lumOff val="6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lumMod val="50000"/>
            </a:schemeClr>
          </a:solidFill>
          <a:ln>
            <a:noFill/>
          </a:ln>
          <a:effectLst/>
        </c:spPr>
      </c:pivotFmt>
      <c:pivotFmt>
        <c:idx val="36"/>
        <c:spPr>
          <a:solidFill>
            <a:schemeClr val="accent5">
              <a:lumMod val="75000"/>
            </a:schemeClr>
          </a:solidFill>
          <a:ln>
            <a:noFill/>
          </a:ln>
          <a:effectLst/>
        </c:spPr>
      </c:pivotFmt>
      <c:pivotFmt>
        <c:idx val="37"/>
        <c:spPr>
          <a:solidFill>
            <a:schemeClr val="accent5">
              <a:lumMod val="60000"/>
              <a:lumOff val="40000"/>
            </a:schemeClr>
          </a:solidFill>
          <a:ln>
            <a:noFill/>
          </a:ln>
          <a:effectLst/>
        </c:spPr>
      </c:pivotFmt>
      <c:pivotFmt>
        <c:idx val="38"/>
        <c:spPr>
          <a:solidFill>
            <a:schemeClr val="accent5">
              <a:lumMod val="40000"/>
              <a:lumOff val="60000"/>
            </a:schemeClr>
          </a:solidFill>
          <a:ln>
            <a:noFill/>
          </a:ln>
          <a:effectLst/>
        </c:spPr>
      </c:pivotFmt>
      <c:pivotFmt>
        <c:idx val="39"/>
        <c:spPr>
          <a:solidFill>
            <a:schemeClr val="accent5">
              <a:lumMod val="40000"/>
              <a:lumOff val="60000"/>
            </a:schemeClr>
          </a:solidFill>
          <a:ln>
            <a:noFill/>
          </a:ln>
          <a:effectLst/>
        </c:spPr>
      </c:pivotFmt>
      <c:pivotFmt>
        <c:idx val="40"/>
        <c:spPr>
          <a:solidFill>
            <a:schemeClr val="accent5">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lumMod val="50000"/>
            </a:schemeClr>
          </a:solidFill>
          <a:ln>
            <a:noFill/>
          </a:ln>
          <a:effectLst/>
        </c:spPr>
      </c:pivotFmt>
      <c:pivotFmt>
        <c:idx val="43"/>
        <c:spPr>
          <a:solidFill>
            <a:schemeClr val="accent5">
              <a:lumMod val="75000"/>
            </a:schemeClr>
          </a:solidFill>
          <a:ln>
            <a:noFill/>
          </a:ln>
          <a:effectLst/>
        </c:spPr>
      </c:pivotFmt>
      <c:pivotFmt>
        <c:idx val="44"/>
        <c:spPr>
          <a:solidFill>
            <a:schemeClr val="accent5">
              <a:lumMod val="60000"/>
              <a:lumOff val="40000"/>
            </a:schemeClr>
          </a:solidFill>
          <a:ln>
            <a:noFill/>
          </a:ln>
          <a:effectLst/>
        </c:spPr>
      </c:pivotFmt>
      <c:pivotFmt>
        <c:idx val="45"/>
        <c:spPr>
          <a:solidFill>
            <a:schemeClr val="accent5">
              <a:lumMod val="40000"/>
              <a:lumOff val="60000"/>
            </a:schemeClr>
          </a:solidFill>
          <a:ln>
            <a:noFill/>
          </a:ln>
          <a:effectLst/>
        </c:spPr>
      </c:pivotFmt>
      <c:pivotFmt>
        <c:idx val="46"/>
        <c:spPr>
          <a:solidFill>
            <a:schemeClr val="accent5">
              <a:lumMod val="40000"/>
              <a:lumOff val="60000"/>
            </a:schemeClr>
          </a:solidFill>
          <a:ln>
            <a:noFill/>
          </a:ln>
          <a:effectLst/>
        </c:spPr>
      </c:pivotFmt>
      <c:pivotFmt>
        <c:idx val="47"/>
        <c:spPr>
          <a:solidFill>
            <a:schemeClr val="accent5">
              <a:lumMod val="20000"/>
              <a:lumOff val="80000"/>
            </a:schemeClr>
          </a:solidFill>
          <a:ln>
            <a:noFill/>
          </a:ln>
          <a:effectLst/>
        </c:spPr>
      </c:pivotFmt>
    </c:pivotFmts>
    <c:plotArea>
      <c:layout>
        <c:manualLayout>
          <c:layoutTarget val="inner"/>
          <c:xMode val="edge"/>
          <c:yMode val="edge"/>
          <c:x val="0.27416989357240834"/>
          <c:y val="0.22759259259259254"/>
          <c:w val="0.43753340693557158"/>
          <c:h val="0.61499999999999999"/>
        </c:manualLayout>
      </c:layout>
      <c:barChart>
        <c:barDir val="bar"/>
        <c:grouping val="clustered"/>
        <c:varyColors val="0"/>
        <c:ser>
          <c:idx val="0"/>
          <c:order val="0"/>
          <c:tx>
            <c:strRef>
              <c:f>' Top 6 Ship Cities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B2F0-43F1-A8CD-C8488B23DA5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B2F0-43F1-A8CD-C8488B23DA5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2F0-43F1-A8CD-C8488B23DA53}"/>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B2F0-43F1-A8CD-C8488B23DA53}"/>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B2F0-43F1-A8CD-C8488B23DA53}"/>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B2F0-43F1-A8CD-C8488B23DA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Top 6 Ship Cities by Revenue'!$A$4:$A$10</c:f>
              <c:strCache>
                <c:ptCount val="6"/>
                <c:pt idx="0">
                  <c:v>New York</c:v>
                </c:pt>
                <c:pt idx="1">
                  <c:v>Portland</c:v>
                </c:pt>
                <c:pt idx="2">
                  <c:v>Miami</c:v>
                </c:pt>
                <c:pt idx="3">
                  <c:v>Memphis</c:v>
                </c:pt>
                <c:pt idx="4">
                  <c:v>Chicago</c:v>
                </c:pt>
                <c:pt idx="5">
                  <c:v>Milwaukee</c:v>
                </c:pt>
              </c:strCache>
            </c:strRef>
          </c:cat>
          <c:val>
            <c:numRef>
              <c:f>' Top 6 Ship Cities by Revenue'!$B$4:$B$10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C-B2F0-43F1-A8CD-C8488B23DA53}"/>
            </c:ext>
          </c:extLst>
        </c:ser>
        <c:dLbls>
          <c:showLegendKey val="0"/>
          <c:showVal val="0"/>
          <c:showCatName val="0"/>
          <c:showSerName val="0"/>
          <c:showPercent val="0"/>
          <c:showBubbleSize val="0"/>
        </c:dLbls>
        <c:gapWidth val="20"/>
        <c:axId val="1299459648"/>
        <c:axId val="1299456384"/>
      </c:barChart>
      <c:valAx>
        <c:axId val="129945638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99459648"/>
        <c:crosses val="autoZero"/>
        <c:crossBetween val="between"/>
      </c:valAx>
      <c:catAx>
        <c:axId val="129945964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456384"/>
        <c:crosses val="autoZero"/>
        <c:auto val="1"/>
        <c:lblAlgn val="ctr"/>
        <c:lblOffset val="100"/>
        <c:noMultiLvlLbl val="0"/>
      </c:cat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DOC.xlsx]Sales Product by Category!PivotTable1</c:name>
    <c:fmtId val="2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solidFill>
                  <a:schemeClr val="accent3">
                    <a:lumMod val="50000"/>
                  </a:schemeClr>
                </a:solidFill>
                <a:latin typeface="Arial Narrow" panose="020B0606020202030204" pitchFamily="34" charset="0"/>
              </a:rPr>
              <a:t>Product</a:t>
            </a:r>
            <a:r>
              <a:rPr lang="en-US" sz="1400" baseline="0">
                <a:solidFill>
                  <a:schemeClr val="accent3">
                    <a:lumMod val="50000"/>
                  </a:schemeClr>
                </a:solidFill>
                <a:latin typeface="Arial Narrow" panose="020B0606020202030204" pitchFamily="34" charset="0"/>
              </a:rPr>
              <a:t> Category Performance Per Time</a:t>
            </a:r>
            <a:endParaRPr lang="en-US" sz="1400">
              <a:solidFill>
                <a:schemeClr val="accent3">
                  <a:lumMod val="50000"/>
                </a:schemeClr>
              </a:solidFill>
              <a:latin typeface="Arial Narrow" panose="020B0606020202030204" pitchFamily="34" charset="0"/>
            </a:endParaRPr>
          </a:p>
        </c:rich>
      </c:tx>
      <c:layout>
        <c:manualLayout>
          <c:xMode val="edge"/>
          <c:yMode val="edge"/>
          <c:x val="0.27508895244738796"/>
          <c:y val="6.944451232392741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w="28575" cap="rnd">
            <a:solidFill>
              <a:schemeClr val="accent5">
                <a:lumMod val="50000"/>
              </a:schemeClr>
            </a:solidFill>
            <a:round/>
          </a:ln>
          <a:effectLst/>
        </c:spPr>
        <c:marker>
          <c:symbol val="none"/>
        </c:marker>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c:spPr>
      </c:pivotFmt>
      <c:pivotFmt>
        <c:idx val="34"/>
        <c:spPr>
          <a:solidFill>
            <a:schemeClr val="accent5">
              <a:lumMod val="75000"/>
            </a:schemeClr>
          </a:solidFill>
          <a:ln>
            <a:noFill/>
          </a:ln>
          <a:effectLst/>
        </c:spPr>
      </c:pivotFmt>
      <c:pivotFmt>
        <c:idx val="35"/>
        <c:spPr>
          <a:solidFill>
            <a:schemeClr val="accent5">
              <a:lumMod val="75000"/>
            </a:schemeClr>
          </a:solidFill>
          <a:ln>
            <a:noFill/>
          </a:ln>
          <a:effectLst/>
        </c:spPr>
      </c:pivotFmt>
      <c:pivotFmt>
        <c:idx val="36"/>
        <c:spPr>
          <a:solidFill>
            <a:schemeClr val="accent5">
              <a:lumMod val="60000"/>
              <a:lumOff val="4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50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20000"/>
              <a:lumOff val="80000"/>
            </a:schemeClr>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lumMod val="50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75000"/>
            </a:schemeClr>
          </a:solidFill>
          <a:ln>
            <a:noFill/>
          </a:ln>
          <a:effectLst/>
        </c:spPr>
      </c:pivotFmt>
      <c:pivotFmt>
        <c:idx val="50"/>
        <c:spPr>
          <a:solidFill>
            <a:schemeClr val="accent5">
              <a:lumMod val="60000"/>
              <a:lumOff val="40000"/>
            </a:schemeClr>
          </a:solidFill>
          <a:ln>
            <a:noFill/>
          </a:ln>
          <a:effectLst/>
        </c:spPr>
      </c:pivotFmt>
      <c:pivotFmt>
        <c:idx val="51"/>
        <c:spPr>
          <a:solidFill>
            <a:schemeClr val="accent5">
              <a:lumMod val="40000"/>
              <a:lumOff val="60000"/>
            </a:schemeClr>
          </a:solidFill>
          <a:ln>
            <a:noFill/>
          </a:ln>
          <a:effectLst/>
        </c:spPr>
      </c:pivotFmt>
      <c:pivotFmt>
        <c:idx val="52"/>
        <c:spPr>
          <a:solidFill>
            <a:schemeClr val="accent5">
              <a:lumMod val="20000"/>
              <a:lumOff val="80000"/>
            </a:schemeClr>
          </a:solidFill>
          <a:ln>
            <a:noFill/>
          </a:ln>
          <a:effectLst/>
        </c:spPr>
      </c:pivotFmt>
    </c:pivotFmts>
    <c:plotArea>
      <c:layout>
        <c:manualLayout>
          <c:layoutTarget val="inner"/>
          <c:xMode val="edge"/>
          <c:yMode val="edge"/>
          <c:x val="8.4852999576140314E-2"/>
          <c:y val="0.30592606065903122"/>
          <c:w val="0.78234526373356783"/>
          <c:h val="0.69370370370370382"/>
        </c:manualLayout>
      </c:layout>
      <c:barChart>
        <c:barDir val="bar"/>
        <c:grouping val="clustered"/>
        <c:varyColors val="0"/>
        <c:ser>
          <c:idx val="0"/>
          <c:order val="0"/>
          <c:tx>
            <c:strRef>
              <c:f>'Sales Product by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26DA-4B0C-8F62-E830BFFFDB1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26DA-4B0C-8F62-E830BFFFDB13}"/>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26DA-4B0C-8F62-E830BFFFDB13}"/>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26DA-4B0C-8F62-E830BFFFDB13}"/>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26DA-4B0C-8F62-E830BFFFDB13}"/>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26DA-4B0C-8F62-E830BFFFDB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Product by Category'!$A$4:$A$10</c:f>
              <c:strCache>
                <c:ptCount val="6"/>
                <c:pt idx="0">
                  <c:v>Beverages</c:v>
                </c:pt>
                <c:pt idx="1">
                  <c:v>Sauces</c:v>
                </c:pt>
                <c:pt idx="2">
                  <c:v>Jams, Preserves</c:v>
                </c:pt>
                <c:pt idx="3">
                  <c:v>Dairy Products</c:v>
                </c:pt>
                <c:pt idx="4">
                  <c:v>Dried Fruit &amp; Nuts</c:v>
                </c:pt>
                <c:pt idx="5">
                  <c:v>Canned Meat</c:v>
                </c:pt>
              </c:strCache>
            </c:strRef>
          </c:cat>
          <c:val>
            <c:numRef>
              <c:f>'Sales Product by Category'!$B$4:$B$10</c:f>
              <c:numCache>
                <c:formatCode>"$"#,##0.00</c:formatCode>
                <c:ptCount val="6"/>
                <c:pt idx="0">
                  <c:v>110577.10999999999</c:v>
                </c:pt>
                <c:pt idx="1">
                  <c:v>69000</c:v>
                </c:pt>
                <c:pt idx="2">
                  <c:v>51541</c:v>
                </c:pt>
                <c:pt idx="3">
                  <c:v>33129.600000000006</c:v>
                </c:pt>
                <c:pt idx="4">
                  <c:v>27999.5</c:v>
                </c:pt>
                <c:pt idx="5">
                  <c:v>25465.599999999999</c:v>
                </c:pt>
              </c:numCache>
            </c:numRef>
          </c:val>
          <c:extLst>
            <c:ext xmlns:c16="http://schemas.microsoft.com/office/drawing/2014/chart" uri="{C3380CC4-5D6E-409C-BE32-E72D297353CC}">
              <c16:uniqueId val="{0000000C-26DA-4B0C-8F62-E830BFFFDB13}"/>
            </c:ext>
          </c:extLst>
        </c:ser>
        <c:dLbls>
          <c:showLegendKey val="0"/>
          <c:showVal val="0"/>
          <c:showCatName val="0"/>
          <c:showSerName val="0"/>
          <c:showPercent val="0"/>
          <c:showBubbleSize val="0"/>
        </c:dLbls>
        <c:gapWidth val="30"/>
        <c:axId val="1299454752"/>
        <c:axId val="1299457472"/>
      </c:barChart>
      <c:catAx>
        <c:axId val="129945475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457472"/>
        <c:crosses val="autoZero"/>
        <c:auto val="1"/>
        <c:lblAlgn val="ctr"/>
        <c:lblOffset val="100"/>
        <c:noMultiLvlLbl val="0"/>
      </c:catAx>
      <c:valAx>
        <c:axId val="1299457472"/>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299454752"/>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DOC.xlsx]Top 5 cities!PivotTable1</c:name>
    <c:fmtId val="1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solidFill>
                  <a:schemeClr val="accent3">
                    <a:lumMod val="50000"/>
                  </a:schemeClr>
                </a:solidFill>
                <a:latin typeface="Arial Narrow" panose="020B0606020202030204" pitchFamily="34" charset="0"/>
              </a:rPr>
              <a:t>Top</a:t>
            </a:r>
            <a:r>
              <a:rPr lang="en-US" sz="1400" baseline="0">
                <a:solidFill>
                  <a:schemeClr val="accent3">
                    <a:lumMod val="50000"/>
                  </a:schemeClr>
                </a:solidFill>
                <a:latin typeface="Arial Narrow" panose="020B0606020202030204" pitchFamily="34" charset="0"/>
              </a:rPr>
              <a:t> 5 Cities by Revenue</a:t>
            </a:r>
          </a:p>
          <a:p>
            <a:pPr algn="ctr">
              <a:defRPr/>
            </a:pPr>
            <a:endParaRPr lang="en-US" sz="1400">
              <a:latin typeface="Agency FB" panose="020B0503020202020204" pitchFamily="34" charset="0"/>
            </a:endParaRPr>
          </a:p>
        </c:rich>
      </c:tx>
      <c:layout>
        <c:manualLayout>
          <c:xMode val="edge"/>
          <c:yMode val="edge"/>
          <c:x val="0.33772716392006868"/>
          <c:y val="4.6296296296296294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pivotFmt>
      <c:pivotFmt>
        <c:idx val="29"/>
        <c:spPr>
          <a:solidFill>
            <a:schemeClr val="accent5">
              <a:lumMod val="60000"/>
              <a:lumOff val="40000"/>
            </a:schemeClr>
          </a:solidFill>
          <a:ln>
            <a:noFill/>
          </a:ln>
          <a:effectLst/>
        </c:spPr>
      </c:pivotFmt>
      <c:pivotFmt>
        <c:idx val="30"/>
        <c:spPr>
          <a:solidFill>
            <a:schemeClr val="accent5">
              <a:lumMod val="40000"/>
              <a:lumOff val="6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c:spPr>
      </c:pivotFmt>
      <c:pivotFmt>
        <c:idx val="34"/>
        <c:spPr>
          <a:solidFill>
            <a:schemeClr val="accent5">
              <a:lumMod val="75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20000"/>
              <a:lumOff val="80000"/>
            </a:schemeClr>
          </a:solidFill>
          <a:ln>
            <a:noFill/>
          </a:ln>
          <a:effectLst/>
        </c:spPr>
      </c:pivotFmt>
      <c:pivotFmt>
        <c:idx val="3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40000"/>
              <a:lumOff val="60000"/>
            </a:schemeClr>
          </a:solidFill>
          <a:ln>
            <a:noFill/>
          </a:ln>
          <a:effectLst/>
        </c:spPr>
      </c:pivotFmt>
      <c:pivotFmt>
        <c:idx val="43"/>
        <c:spPr>
          <a:solidFill>
            <a:schemeClr val="accent5">
              <a:lumMod val="20000"/>
              <a:lumOff val="80000"/>
            </a:schemeClr>
          </a:solidFill>
          <a:ln>
            <a:noFill/>
          </a:ln>
          <a:effectLst/>
        </c:spPr>
      </c:pivotFmt>
    </c:pivotFmts>
    <c:plotArea>
      <c:layout>
        <c:manualLayout>
          <c:layoutTarget val="inner"/>
          <c:xMode val="edge"/>
          <c:yMode val="edge"/>
          <c:x val="0.27416989357240834"/>
          <c:y val="0.22759259259259254"/>
          <c:w val="0.43753340693557158"/>
          <c:h val="0.61499999999999999"/>
        </c:manualLayout>
      </c:layout>
      <c:pieChart>
        <c:varyColors val="1"/>
        <c:ser>
          <c:idx val="0"/>
          <c:order val="0"/>
          <c:tx>
            <c:strRef>
              <c:f>'Top 5 cities'!$B$3</c:f>
              <c:strCache>
                <c:ptCount val="1"/>
                <c:pt idx="0">
                  <c:v>Total</c:v>
                </c:pt>
              </c:strCache>
            </c:strRef>
          </c:tx>
          <c:spPr>
            <a:solidFill>
              <a:schemeClr val="accent5">
                <a:lumMod val="50000"/>
              </a:schemeClr>
            </a:solidFill>
          </c:spPr>
          <c:dPt>
            <c:idx val="0"/>
            <c:bubble3D val="0"/>
            <c:spPr>
              <a:solidFill>
                <a:schemeClr val="accent5">
                  <a:lumMod val="50000"/>
                </a:schemeClr>
              </a:solidFill>
              <a:ln>
                <a:noFill/>
              </a:ln>
              <a:effectLst/>
            </c:spPr>
            <c:extLst>
              <c:ext xmlns:c16="http://schemas.microsoft.com/office/drawing/2014/chart" uri="{C3380CC4-5D6E-409C-BE32-E72D297353CC}">
                <c16:uniqueId val="{00000001-C1B5-4AD4-BBFF-33B9F9667255}"/>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C1B5-4AD4-BBFF-33B9F9667255}"/>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C1B5-4AD4-BBFF-33B9F9667255}"/>
              </c:ext>
            </c:extLst>
          </c:dPt>
          <c:dPt>
            <c:idx val="3"/>
            <c:bubble3D val="0"/>
            <c:spPr>
              <a:solidFill>
                <a:schemeClr val="accent5">
                  <a:lumMod val="40000"/>
                  <a:lumOff val="60000"/>
                </a:schemeClr>
              </a:solidFill>
              <a:ln>
                <a:noFill/>
              </a:ln>
              <a:effectLst/>
            </c:spPr>
            <c:extLst>
              <c:ext xmlns:c16="http://schemas.microsoft.com/office/drawing/2014/chart" uri="{C3380CC4-5D6E-409C-BE32-E72D297353CC}">
                <c16:uniqueId val="{00000007-C1B5-4AD4-BBFF-33B9F9667255}"/>
              </c:ext>
            </c:extLst>
          </c:dPt>
          <c:dPt>
            <c:idx val="4"/>
            <c:bubble3D val="0"/>
            <c:spPr>
              <a:solidFill>
                <a:schemeClr val="accent5">
                  <a:lumMod val="20000"/>
                  <a:lumOff val="80000"/>
                </a:schemeClr>
              </a:solidFill>
              <a:ln>
                <a:noFill/>
              </a:ln>
              <a:effectLst/>
            </c:spPr>
            <c:extLst>
              <c:ext xmlns:c16="http://schemas.microsoft.com/office/drawing/2014/chart" uri="{C3380CC4-5D6E-409C-BE32-E72D297353CC}">
                <c16:uniqueId val="{00000009-C1B5-4AD4-BBFF-33B9F96672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cities'!$A$4:$A$9</c:f>
              <c:strCache>
                <c:ptCount val="5"/>
                <c:pt idx="0">
                  <c:v>New York</c:v>
                </c:pt>
                <c:pt idx="1">
                  <c:v>Portland</c:v>
                </c:pt>
                <c:pt idx="2">
                  <c:v>Miami</c:v>
                </c:pt>
                <c:pt idx="3">
                  <c:v>Memphis</c:v>
                </c:pt>
                <c:pt idx="4">
                  <c:v>Chicago</c:v>
                </c:pt>
              </c:strCache>
            </c:strRef>
          </c:cat>
          <c:val>
            <c:numRef>
              <c:f>'Top 5 cities'!$B$4:$B$9</c:f>
              <c:numCache>
                <c:formatCode>"$"#,##0.00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A-C1B5-4AD4-BBFF-33B9F9667255}"/>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DOC.xlsx]Transation by Amount!PivotTable1</c:name>
    <c:fmtId val="2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solidFill>
                  <a:schemeClr val="accent3">
                    <a:lumMod val="50000"/>
                  </a:schemeClr>
                </a:solidFill>
                <a:latin typeface="Arial Narrow" panose="020B0606020202030204" pitchFamily="34" charset="0"/>
              </a:rPr>
              <a:t>Transation</a:t>
            </a:r>
            <a:r>
              <a:rPr lang="en-US" sz="1400" baseline="0">
                <a:solidFill>
                  <a:schemeClr val="accent3">
                    <a:lumMod val="50000"/>
                  </a:schemeClr>
                </a:solidFill>
                <a:latin typeface="Arial Narrow" panose="020B0606020202030204" pitchFamily="34" charset="0"/>
              </a:rPr>
              <a:t> Distribution by Amount</a:t>
            </a:r>
            <a:endParaRPr lang="en-US" sz="1400">
              <a:solidFill>
                <a:schemeClr val="accent3">
                  <a:lumMod val="50000"/>
                </a:schemeClr>
              </a:solidFill>
              <a:latin typeface="Arial Narrow" panose="020B0606020202030204" pitchFamily="34" charset="0"/>
            </a:endParaRPr>
          </a:p>
        </c:rich>
      </c:tx>
      <c:layout>
        <c:manualLayout>
          <c:xMode val="edge"/>
          <c:yMode val="edge"/>
          <c:x val="0.32852544368448022"/>
          <c:y val="3.601437301240880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1"/>
          </a:solidFill>
          <a:ln w="28575" cap="rnd">
            <a:solidFill>
              <a:schemeClr val="accent5">
                <a:lumMod val="50000"/>
              </a:schemeClr>
            </a:solidFill>
            <a:round/>
          </a:ln>
          <a:effectLst/>
        </c:spPr>
        <c:marker>
          <c:symbol val="none"/>
        </c:marker>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3.6404491161241163E-2"/>
              <c:y val="5.166472279842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7.4156440148411083E-17"/>
              <c:y val="2.0665889119368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c:spPr>
      </c:pivotFmt>
      <c:pivotFmt>
        <c:idx val="34"/>
        <c:spPr>
          <a:solidFill>
            <a:schemeClr val="accent5">
              <a:lumMod val="75000"/>
            </a:schemeClr>
          </a:solidFill>
          <a:ln>
            <a:noFill/>
          </a:ln>
          <a:effectLst/>
        </c:spPr>
      </c:pivotFmt>
      <c:pivotFmt>
        <c:idx val="35"/>
        <c:spPr>
          <a:solidFill>
            <a:schemeClr val="accent5">
              <a:lumMod val="75000"/>
            </a:schemeClr>
          </a:solidFill>
          <a:ln>
            <a:noFill/>
          </a:ln>
          <a:effectLst/>
        </c:spPr>
      </c:pivotFmt>
      <c:pivotFmt>
        <c:idx val="36"/>
        <c:spPr>
          <a:solidFill>
            <a:schemeClr val="accent5">
              <a:lumMod val="60000"/>
              <a:lumOff val="4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50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40000"/>
              <a:lumOff val="60000"/>
            </a:schemeClr>
          </a:solidFill>
          <a:ln>
            <a:noFill/>
          </a:ln>
          <a:effectLst/>
        </c:spPr>
      </c:pivotFmt>
      <c:pivotFmt>
        <c:idx val="45"/>
        <c:spPr>
          <a:solidFill>
            <a:schemeClr val="accent5">
              <a:lumMod val="20000"/>
              <a:lumOff val="80000"/>
            </a:schemeClr>
          </a:solidFill>
          <a:ln>
            <a:noFill/>
          </a:ln>
          <a:effectLst/>
        </c:spPr>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20000"/>
              <a:lumOff val="80000"/>
            </a:schemeClr>
          </a:solidFill>
          <a:ln>
            <a:noFill/>
          </a:ln>
          <a:effectLst/>
        </c:spPr>
      </c:pivotFmt>
      <c:pivotFmt>
        <c:idx val="52"/>
        <c:spPr>
          <a:solidFill>
            <a:schemeClr val="accent5">
              <a:lumMod val="20000"/>
              <a:lumOff val="80000"/>
            </a:schemeClr>
          </a:solidFill>
          <a:ln>
            <a:noFill/>
          </a:ln>
          <a:effectLst/>
        </c:spPr>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5">
              <a:lumMod val="50000"/>
            </a:schemeClr>
          </a:solidFill>
          <a:ln>
            <a:noFill/>
          </a:ln>
          <a:effectLst/>
        </c:spPr>
      </c:pivotFmt>
      <c:pivotFmt>
        <c:idx val="55"/>
        <c:spPr>
          <a:solidFill>
            <a:schemeClr val="accent5">
              <a:lumMod val="75000"/>
            </a:schemeClr>
          </a:solidFill>
          <a:ln>
            <a:noFill/>
          </a:ln>
          <a:effectLst/>
        </c:spPr>
      </c:pivotFmt>
      <c:pivotFmt>
        <c:idx val="56"/>
        <c:spPr>
          <a:solidFill>
            <a:schemeClr val="accent5">
              <a:lumMod val="75000"/>
            </a:schemeClr>
          </a:solidFill>
          <a:ln>
            <a:noFill/>
          </a:ln>
          <a:effectLst/>
        </c:spPr>
      </c:pivotFmt>
      <c:pivotFmt>
        <c:idx val="57"/>
        <c:spPr>
          <a:solidFill>
            <a:schemeClr val="accent5">
              <a:lumMod val="60000"/>
              <a:lumOff val="40000"/>
            </a:schemeClr>
          </a:solidFill>
          <a:ln>
            <a:noFill/>
          </a:ln>
          <a:effectLst/>
        </c:spPr>
      </c:pivotFmt>
      <c:pivotFmt>
        <c:idx val="58"/>
        <c:spPr>
          <a:solidFill>
            <a:schemeClr val="accent5">
              <a:lumMod val="40000"/>
              <a:lumOff val="60000"/>
            </a:schemeClr>
          </a:solidFill>
          <a:ln>
            <a:noFill/>
          </a:ln>
          <a:effectLst/>
        </c:spPr>
      </c:pivotFmt>
      <c:pivotFmt>
        <c:idx val="59"/>
        <c:spPr>
          <a:solidFill>
            <a:schemeClr val="accent5">
              <a:lumMod val="20000"/>
              <a:lumOff val="80000"/>
            </a:schemeClr>
          </a:solidFill>
          <a:ln>
            <a:noFill/>
          </a:ln>
          <a:effectLst/>
        </c:spPr>
      </c:pivotFmt>
      <c:pivotFmt>
        <c:idx val="60"/>
        <c:spPr>
          <a:solidFill>
            <a:schemeClr val="accent5">
              <a:lumMod val="20000"/>
              <a:lumOff val="80000"/>
            </a:schemeClr>
          </a:solidFill>
          <a:ln>
            <a:noFill/>
          </a:ln>
          <a:effectLst/>
        </c:spP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lumMod val="50000"/>
            </a:schemeClr>
          </a:solidFill>
          <a:ln>
            <a:noFill/>
          </a:ln>
          <a:effectLst/>
        </c:spPr>
      </c:pivotFmt>
      <c:pivotFmt>
        <c:idx val="63"/>
        <c:spPr>
          <a:solidFill>
            <a:schemeClr val="accent5">
              <a:lumMod val="75000"/>
            </a:schemeClr>
          </a:solidFill>
          <a:ln>
            <a:noFill/>
          </a:ln>
          <a:effectLst/>
        </c:spPr>
      </c:pivotFmt>
      <c:pivotFmt>
        <c:idx val="64"/>
        <c:spPr>
          <a:solidFill>
            <a:schemeClr val="accent5">
              <a:lumMod val="75000"/>
            </a:schemeClr>
          </a:solidFill>
          <a:ln>
            <a:noFill/>
          </a:ln>
          <a:effectLst/>
        </c:spPr>
      </c:pivotFmt>
      <c:pivotFmt>
        <c:idx val="65"/>
        <c:spPr>
          <a:solidFill>
            <a:schemeClr val="accent5">
              <a:lumMod val="60000"/>
              <a:lumOff val="40000"/>
            </a:schemeClr>
          </a:solidFill>
          <a:ln>
            <a:noFill/>
          </a:ln>
          <a:effectLst/>
        </c:spPr>
      </c:pivotFmt>
      <c:pivotFmt>
        <c:idx val="66"/>
        <c:spPr>
          <a:solidFill>
            <a:schemeClr val="accent5">
              <a:lumMod val="40000"/>
              <a:lumOff val="60000"/>
            </a:schemeClr>
          </a:solidFill>
          <a:ln>
            <a:noFill/>
          </a:ln>
          <a:effectLst/>
        </c:spPr>
      </c:pivotFmt>
      <c:pivotFmt>
        <c:idx val="67"/>
        <c:spPr>
          <a:solidFill>
            <a:schemeClr val="accent5">
              <a:lumMod val="20000"/>
              <a:lumOff val="80000"/>
            </a:schemeClr>
          </a:solidFill>
          <a:ln>
            <a:noFill/>
          </a:ln>
          <a:effectLst/>
        </c:spPr>
      </c:pivotFmt>
      <c:pivotFmt>
        <c:idx val="68"/>
        <c:spPr>
          <a:solidFill>
            <a:schemeClr val="accent5">
              <a:lumMod val="20000"/>
              <a:lumOff val="80000"/>
            </a:schemeClr>
          </a:solidFill>
          <a:ln>
            <a:noFill/>
          </a:ln>
          <a:effectLst/>
        </c:spPr>
      </c:pivotFmt>
    </c:pivotFmts>
    <c:plotArea>
      <c:layout>
        <c:manualLayout>
          <c:layoutTarget val="inner"/>
          <c:xMode val="edge"/>
          <c:yMode val="edge"/>
          <c:x val="9.9711493179557839E-2"/>
          <c:y val="0.18592592592592591"/>
          <c:w val="0.78234526373356783"/>
          <c:h val="0.69370370370370382"/>
        </c:manualLayout>
      </c:layout>
      <c:barChart>
        <c:barDir val="col"/>
        <c:grouping val="clustered"/>
        <c:varyColors val="0"/>
        <c:ser>
          <c:idx val="0"/>
          <c:order val="0"/>
          <c:tx>
            <c:strRef>
              <c:f>'Transation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6714-4CC5-9A2A-896DB3777AC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6714-4CC5-9A2A-896DB3777AC3}"/>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6714-4CC5-9A2A-896DB3777AC3}"/>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6714-4CC5-9A2A-896DB3777AC3}"/>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6714-4CC5-9A2A-896DB3777AC3}"/>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6714-4CC5-9A2A-896DB3777AC3}"/>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D-6714-4CC5-9A2A-896DB3777A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'Transation by Amount'!$A$4:$A$11</c:f>
              <c:strCache>
                <c:ptCount val="7"/>
                <c:pt idx="0">
                  <c:v>10-1010</c:v>
                </c:pt>
                <c:pt idx="1">
                  <c:v>1010-2010</c:v>
                </c:pt>
                <c:pt idx="2">
                  <c:v>2010-3010</c:v>
                </c:pt>
                <c:pt idx="3">
                  <c:v>3010-4010</c:v>
                </c:pt>
                <c:pt idx="4">
                  <c:v>4010-5010</c:v>
                </c:pt>
                <c:pt idx="5">
                  <c:v>6010-7010</c:v>
                </c:pt>
                <c:pt idx="6">
                  <c:v>7010-8010</c:v>
                </c:pt>
              </c:strCache>
            </c:strRef>
          </c:cat>
          <c:val>
            <c:numRef>
              <c:f>'Transation by Amount'!$B$4:$B$11</c:f>
              <c:numCache>
                <c:formatCode>0</c:formatCode>
                <c:ptCount val="7"/>
                <c:pt idx="0">
                  <c:v>221</c:v>
                </c:pt>
                <c:pt idx="1">
                  <c:v>82</c:v>
                </c:pt>
                <c:pt idx="2">
                  <c:v>32</c:v>
                </c:pt>
                <c:pt idx="3">
                  <c:v>23</c:v>
                </c:pt>
                <c:pt idx="4">
                  <c:v>8</c:v>
                </c:pt>
                <c:pt idx="5">
                  <c:v>2</c:v>
                </c:pt>
                <c:pt idx="6">
                  <c:v>1</c:v>
                </c:pt>
              </c:numCache>
            </c:numRef>
          </c:val>
          <c:extLst>
            <c:ext xmlns:c16="http://schemas.microsoft.com/office/drawing/2014/chart" uri="{C3380CC4-5D6E-409C-BE32-E72D297353CC}">
              <c16:uniqueId val="{0000000E-6714-4CC5-9A2A-896DB3777AC3}"/>
            </c:ext>
          </c:extLst>
        </c:ser>
        <c:dLbls>
          <c:showLegendKey val="0"/>
          <c:showVal val="0"/>
          <c:showCatName val="0"/>
          <c:showSerName val="0"/>
          <c:showPercent val="0"/>
          <c:showBubbleSize val="0"/>
        </c:dLbls>
        <c:gapWidth val="30"/>
        <c:axId val="1358794272"/>
        <c:axId val="1358790464"/>
      </c:barChart>
      <c:catAx>
        <c:axId val="1358794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790464"/>
        <c:crosses val="autoZero"/>
        <c:auto val="1"/>
        <c:lblAlgn val="ctr"/>
        <c:lblOffset val="100"/>
        <c:noMultiLvlLbl val="0"/>
      </c:catAx>
      <c:valAx>
        <c:axId val="135879046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58794272"/>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DOC.xlsx]Top 10 Customers!PivotTable1</c:name>
    <c:fmtId val="1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solidFill>
                  <a:schemeClr val="accent3">
                    <a:lumMod val="50000"/>
                  </a:schemeClr>
                </a:solidFill>
                <a:latin typeface="Arial Narrow" panose="020B0606020202030204" pitchFamily="34" charset="0"/>
              </a:rPr>
              <a:t>Top</a:t>
            </a:r>
            <a:r>
              <a:rPr lang="en-US" sz="1400" baseline="0">
                <a:solidFill>
                  <a:schemeClr val="accent3">
                    <a:lumMod val="50000"/>
                  </a:schemeClr>
                </a:solidFill>
                <a:latin typeface="Arial Narrow" panose="020B0606020202030204" pitchFamily="34" charset="0"/>
              </a:rPr>
              <a:t> 10 Customers</a:t>
            </a:r>
          </a:p>
          <a:p>
            <a:pPr algn="ctr">
              <a:defRPr/>
            </a:pPr>
            <a:endParaRPr lang="en-US" sz="1400">
              <a:latin typeface="Agency FB" panose="020B0503020202020204" pitchFamily="34" charset="0"/>
            </a:endParaRPr>
          </a:p>
        </c:rich>
      </c:tx>
      <c:layout>
        <c:manualLayout>
          <c:xMode val="edge"/>
          <c:yMode val="edge"/>
          <c:x val="0.44287475840310164"/>
          <c:y val="8.5486030215310065E-4"/>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75000"/>
            </a:schemeClr>
          </a:solidFill>
          <a:ln>
            <a:noFill/>
          </a:ln>
          <a:effectLst/>
        </c:spPr>
      </c:pivotFmt>
      <c:pivotFmt>
        <c:idx val="19"/>
        <c:spPr>
          <a:solidFill>
            <a:schemeClr val="accent5">
              <a:lumMod val="50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75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60000"/>
              <a:lumOff val="4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40000"/>
              <a:lumOff val="60000"/>
            </a:schemeClr>
          </a:solidFill>
          <a:ln>
            <a:noFill/>
          </a:ln>
          <a:effectLst/>
        </c:spPr>
      </c:pivotFmt>
      <c:pivotFmt>
        <c:idx val="30"/>
        <c:spPr>
          <a:solidFill>
            <a:schemeClr val="accent5">
              <a:lumMod val="20000"/>
              <a:lumOff val="8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c:spPr>
      </c:pivotFmt>
      <c:pivotFmt>
        <c:idx val="34"/>
        <c:spPr>
          <a:solidFill>
            <a:schemeClr val="accent5">
              <a:lumMod val="50000"/>
            </a:schemeClr>
          </a:solidFill>
          <a:ln>
            <a:noFill/>
          </a:ln>
          <a:effectLst/>
        </c:spPr>
      </c:pivotFmt>
      <c:pivotFmt>
        <c:idx val="35"/>
        <c:spPr>
          <a:solidFill>
            <a:schemeClr val="accent5">
              <a:lumMod val="75000"/>
            </a:schemeClr>
          </a:solidFill>
          <a:ln>
            <a:noFill/>
          </a:ln>
          <a:effectLst/>
        </c:spPr>
      </c:pivotFmt>
      <c:pivotFmt>
        <c:idx val="36"/>
        <c:spPr>
          <a:solidFill>
            <a:schemeClr val="accent5">
              <a:lumMod val="75000"/>
            </a:schemeClr>
          </a:solidFill>
          <a:ln>
            <a:noFill/>
          </a:ln>
          <a:effectLst/>
        </c:spPr>
      </c:pivotFmt>
      <c:pivotFmt>
        <c:idx val="37"/>
        <c:spPr>
          <a:solidFill>
            <a:schemeClr val="accent5">
              <a:lumMod val="60000"/>
              <a:lumOff val="40000"/>
            </a:schemeClr>
          </a:solidFill>
          <a:ln>
            <a:noFill/>
          </a:ln>
          <a:effectLst/>
        </c:spPr>
      </c:pivotFmt>
      <c:pivotFmt>
        <c:idx val="38"/>
        <c:spPr>
          <a:solidFill>
            <a:schemeClr val="accent5">
              <a:lumMod val="60000"/>
              <a:lumOff val="40000"/>
            </a:schemeClr>
          </a:solidFill>
          <a:ln>
            <a:noFill/>
          </a:ln>
          <a:effectLst/>
        </c:spPr>
      </c:pivotFmt>
      <c:pivotFmt>
        <c:idx val="39"/>
        <c:spPr>
          <a:solidFill>
            <a:schemeClr val="accent5">
              <a:lumMod val="40000"/>
              <a:lumOff val="60000"/>
            </a:schemeClr>
          </a:solidFill>
          <a:ln>
            <a:noFill/>
          </a:ln>
          <a:effectLst/>
        </c:spPr>
      </c:pivotFmt>
      <c:pivotFmt>
        <c:idx val="40"/>
        <c:spPr>
          <a:solidFill>
            <a:schemeClr val="accent5">
              <a:lumMod val="40000"/>
              <a:lumOff val="60000"/>
            </a:schemeClr>
          </a:solidFill>
          <a:ln>
            <a:noFill/>
          </a:ln>
          <a:effectLst/>
        </c:spPr>
      </c:pivotFmt>
      <c:pivotFmt>
        <c:idx val="41"/>
        <c:spPr>
          <a:solidFill>
            <a:schemeClr val="accent5">
              <a:lumMod val="20000"/>
              <a:lumOff val="80000"/>
            </a:schemeClr>
          </a:solidFill>
          <a:ln>
            <a:noFill/>
          </a:ln>
          <a:effectLst/>
        </c:spPr>
      </c:pivotFmt>
      <c:pivotFmt>
        <c:idx val="42"/>
        <c:spPr>
          <a:solidFill>
            <a:schemeClr val="accent5">
              <a:lumMod val="20000"/>
              <a:lumOff val="80000"/>
            </a:schemeClr>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lumMod val="50000"/>
            </a:schemeClr>
          </a:solidFill>
          <a:ln>
            <a:noFill/>
          </a:ln>
          <a:effectLst/>
        </c:spPr>
      </c:pivotFmt>
      <c:pivotFmt>
        <c:idx val="45"/>
        <c:spPr>
          <a:solidFill>
            <a:schemeClr val="accent5">
              <a:lumMod val="50000"/>
            </a:schemeClr>
          </a:solidFill>
          <a:ln>
            <a:noFill/>
          </a:ln>
          <a:effectLst/>
        </c:spPr>
      </c:pivotFmt>
      <c:pivotFmt>
        <c:idx val="46"/>
        <c:spPr>
          <a:solidFill>
            <a:schemeClr val="accent5">
              <a:lumMod val="75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60000"/>
              <a:lumOff val="40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40000"/>
              <a:lumOff val="60000"/>
            </a:schemeClr>
          </a:solidFill>
          <a:ln>
            <a:noFill/>
          </a:ln>
          <a:effectLst/>
        </c:spPr>
      </c:pivotFmt>
      <c:pivotFmt>
        <c:idx val="52"/>
        <c:spPr>
          <a:solidFill>
            <a:schemeClr val="accent5">
              <a:lumMod val="20000"/>
              <a:lumOff val="80000"/>
            </a:schemeClr>
          </a:solidFill>
          <a:ln>
            <a:noFill/>
          </a:ln>
          <a:effectLst/>
        </c:spPr>
      </c:pivotFmt>
      <c:pivotFmt>
        <c:idx val="53"/>
        <c:spPr>
          <a:solidFill>
            <a:schemeClr val="accent5">
              <a:lumMod val="20000"/>
              <a:lumOff val="80000"/>
            </a:schemeClr>
          </a:solidFill>
          <a:ln>
            <a:noFill/>
          </a:ln>
          <a:effectLst/>
        </c:spPr>
      </c:pivotFmt>
    </c:pivotFmts>
    <c:plotArea>
      <c:layout>
        <c:manualLayout>
          <c:layoutTarget val="inner"/>
          <c:xMode val="edge"/>
          <c:yMode val="edge"/>
          <c:x val="0.14513763276187716"/>
          <c:y val="0.12663115083382004"/>
          <c:w val="0.7706554129727925"/>
          <c:h val="0.81019239391623532"/>
        </c:manualLayout>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6751-47A4-8E4E-B45A35770B3E}"/>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6751-47A4-8E4E-B45A35770B3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6751-47A4-8E4E-B45A35770B3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751-47A4-8E4E-B45A35770B3E}"/>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6751-47A4-8E4E-B45A35770B3E}"/>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6751-47A4-8E4E-B45A35770B3E}"/>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6751-47A4-8E4E-B45A35770B3E}"/>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F-6751-47A4-8E4E-B45A35770B3E}"/>
              </c:ext>
            </c:extLst>
          </c:dPt>
          <c:dPt>
            <c:idx val="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1-6751-47A4-8E4E-B45A35770B3E}"/>
              </c:ext>
            </c:extLst>
          </c:dPt>
          <c:dPt>
            <c:idx val="9"/>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3-6751-47A4-8E4E-B45A35770B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"$"#,##0.00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14-6751-47A4-8E4E-B45A35770B3E}"/>
            </c:ext>
          </c:extLst>
        </c:ser>
        <c:dLbls>
          <c:showLegendKey val="0"/>
          <c:showVal val="0"/>
          <c:showCatName val="0"/>
          <c:showSerName val="0"/>
          <c:showPercent val="0"/>
          <c:showBubbleSize val="0"/>
        </c:dLbls>
        <c:gapWidth val="30"/>
        <c:axId val="1932984927"/>
        <c:axId val="1932987807"/>
      </c:barChart>
      <c:valAx>
        <c:axId val="1932987807"/>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1932984927"/>
        <c:crosses val="autoZero"/>
        <c:crossBetween val="between"/>
      </c:valAx>
      <c:catAx>
        <c:axId val="193298492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987807"/>
        <c:crosses val="autoZero"/>
        <c:auto val="1"/>
        <c:lblAlgn val="ctr"/>
        <c:lblOffset val="100"/>
        <c:noMultiLvlLbl val="0"/>
      </c:cat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18 DOC.xlsx]Sales Performance by Reps!PivotTable1</c:name>
    <c:fmtId val="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solidFill>
                  <a:schemeClr val="accent3">
                    <a:lumMod val="50000"/>
                  </a:schemeClr>
                </a:solidFill>
                <a:latin typeface="Arial Narrow" panose="020B0606020202030204" pitchFamily="34" charset="0"/>
              </a:rPr>
              <a:t>Sales Performance Analysis by Reps</a:t>
            </a:r>
          </a:p>
          <a:p>
            <a:pPr algn="ctr">
              <a:defRPr/>
            </a:pPr>
            <a:endParaRPr lang="en-US" sz="1400">
              <a:latin typeface="Agency FB" panose="020B0503020202020204" pitchFamily="34" charset="0"/>
            </a:endParaRPr>
          </a:p>
        </c:rich>
      </c:tx>
      <c:layout>
        <c:manualLayout>
          <c:xMode val="edge"/>
          <c:yMode val="edge"/>
          <c:x val="0.26351312238786739"/>
          <c:y val="2.673099074813223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60000"/>
              <a:lumOff val="40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60000"/>
              <a:lumOff val="40000"/>
            </a:schemeClr>
          </a:solidFill>
          <a:ln>
            <a:noFill/>
          </a:ln>
          <a:effectLst/>
        </c:spPr>
      </c:pivotFmt>
      <c:pivotFmt>
        <c:idx val="24"/>
        <c:spPr>
          <a:solidFill>
            <a:schemeClr val="accent5">
              <a:lumMod val="40000"/>
              <a:lumOff val="6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s>
    <c:plotArea>
      <c:layout>
        <c:manualLayout>
          <c:layoutTarget val="inner"/>
          <c:xMode val="edge"/>
          <c:yMode val="edge"/>
          <c:x val="0.20716513560804897"/>
          <c:y val="0.24148148148148149"/>
          <c:w val="0.75116819772528431"/>
          <c:h val="0.70296296296296301"/>
        </c:manualLayout>
      </c:layout>
      <c:barChart>
        <c:barDir val="bar"/>
        <c:grouping val="clustered"/>
        <c:varyColors val="0"/>
        <c:ser>
          <c:idx val="0"/>
          <c:order val="0"/>
          <c:tx>
            <c:strRef>
              <c:f>'Sales Performance by Reps'!$B$3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0427-45F3-A31E-08FE12EA393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0427-45F3-A31E-08FE12EA393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0427-45F3-A31E-08FE12EA3933}"/>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0427-45F3-A31E-08FE12EA3933}"/>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0427-45F3-A31E-08FE12EA3933}"/>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B-0427-45F3-A31E-08FE12EA3933}"/>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0427-45F3-A31E-08FE12EA3933}"/>
              </c:ext>
            </c:extLst>
          </c:dPt>
          <c:dPt>
            <c:idx val="7"/>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F-0427-45F3-A31E-08FE12EA39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Reps'!$A$4:$A$12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Performance by Reps'!$B$4:$B$12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10-0427-45F3-A31E-08FE12EA3933}"/>
            </c:ext>
          </c:extLst>
        </c:ser>
        <c:dLbls>
          <c:dLblPos val="outEnd"/>
          <c:showLegendKey val="0"/>
          <c:showVal val="1"/>
          <c:showCatName val="0"/>
          <c:showSerName val="0"/>
          <c:showPercent val="0"/>
          <c:showBubbleSize val="0"/>
        </c:dLbls>
        <c:gapWidth val="22"/>
        <c:axId val="1299461824"/>
        <c:axId val="1299458560"/>
      </c:barChart>
      <c:catAx>
        <c:axId val="12994618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458560"/>
        <c:crosses val="autoZero"/>
        <c:auto val="1"/>
        <c:lblAlgn val="ctr"/>
        <c:lblOffset val="100"/>
        <c:noMultiLvlLbl val="0"/>
      </c:catAx>
      <c:valAx>
        <c:axId val="1299458560"/>
        <c:scaling>
          <c:orientation val="minMax"/>
        </c:scaling>
        <c:delete val="1"/>
        <c:axPos val="t"/>
        <c:numFmt formatCode="&quot;$&quot;#,##0.00" sourceLinked="1"/>
        <c:majorTickMark val="none"/>
        <c:minorTickMark val="none"/>
        <c:tickLblPos val="nextTo"/>
        <c:crossAx val="1299461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1">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Performance by State</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058653D9-9764-41E4-A762-00341B495C91}">
          <cx:dataLabels>
            <cx:visibility seriesName="0" categoryName="0" value="1"/>
          </cx:dataLabels>
          <cx:dataId val="0"/>
          <cx:layoutPr>
            <cx:regionLabelLayout val="showAll"/>
            <cx:geography cultureLanguage="en-US" cultureRegion="US" attribution="Powered by Bing">
              <cx:geoCache provider="{E9337A44-BEBE-4D9F-B70C-5C5E7DAFC167}">
                <cx:binary>1Htrb9w4tu1faeTzVZpPkRxMD3AlVZXfceI4neSL4NhuPSlSJCVR+vVnV16T+GQytweDC3QQwHCp
KJFc3Guvvbb89/v4t/v+8c79EnU/+L/dx9+e1SHYv/36q7+vH/Wdf66be2e8+SM8vzf6V/PHH839
468P7m5phupXgjD79b6+c+ExPvvH3+Fu1aO5MPd3oTHDy+nRra8e/dQH/5NrP7z0y92Dboai8cE1
9wH/9uzq3bNfHofQhPX1ah9/e/bd9We//Pr0Lv/rib/0MKkwPcBYRp4rqgijlKCP/+izX3ozVJ8v
J4I/T+EKTzFTH/+lX559dadh/NXj8ss747ovn/5oRh/nc/fw4B69h8V8/PntyO/m/2l592YawnHH
Kti8357dDk14fPjlJtyFR//sl8ab/NMXcnNcxO3Nx1X/+v2e/+PvTz6AfXjyyTewPN20f3fpf6Hy
4tXP9uBPokIBFZnKlKafdl19jwom6DnnEmOKvzz0Exwv3GNlhi+f/b+D8WXcEyiOa/oLQvH7//3Z
DvxJKMRzBvvMhRSfoBA/giJlEjH8MYCeIPL7na+BHsJ/gsq3Y58gc1ziXxCZ/cV/Dxkin3PFOU7x
5xh5EiSSPGdSUEYk/Uptn2jzU6zse+Oah7ufTejHzPV14BNMjov7C2Ly+upnW/DnooXy55IRpZCU
n/acfB8tMn1OGSUsZekPMXn9OAyQJR4ffzalH6PyzdAnuBwX+BfE5fS/GCsMPceE4VSyT9uOnuKi
nmMG6YZL/jXhfBsrp33fDKaB3PuvhcePYfnnyCeoHJf3F0Tl99Of7cGfixbGnqdUKU5T9HXXvxVf
Uj0XlADHqR8z2O+NvzeDb/6DhP/N0Ce4HBf4F8Tl9vV/DxeqnlNChUgJ/yGLYYyfp0ISQtIncvg2
3NU/m8ePY+TTqCc4HBf0F8Qh/y9qLyqeE87SVGH1CQfQVt/GB8bqeYoFEZh91gBf9v5Ths/v+uYP
44bmP0jy3459gsxxiX9BZE6LL7vzo7rgTzMXlQoJyCmfmEs+RQaoDWhLSMS/PPUTJqcPd7X58tGP
JvLjEPk87AkSxyX9BZHIX/xsA/4cElQ+V0pyjtjnAv5pjCD+nDMhaQqV/bcpPTegf+8e/gMs/jny
CRzHdf0F4bh682VnfnQe/yQckDp4yhinn1P6/wqMFAKDUyk+K2SA61tUrh7nu/+kJvky7gkix6X9
BRD5+RS/lZzfffNPel2Q1jmCSp5R8bX4+DadKPUc4WOgqM9eF/semycu1L+e1o8p7Mnw71by/8ni
+tf211ePsLgLd7uP5uI3DtjPr35cLpidT4b+pFT4fOn04bdnlKUERNRX0/J4k+8i4ltJ9c2Axzsf
fnuWYASgcSg3JUoxJ5QBZsvjp0uYPUcpAv2MEVPgz4BzMxgX6o+uJ8JYYCkgO3kzHT8DsXE8FRRx
LMDtwYR/dXGvTb+CrfZ1Fz7//ssw6WvTDMH/9kzCc+2nrx0nCTNiilJEGUrBgVBg5MH1+7tXYAXB
t/H/MaNparPK9VINW7J1uVzsuu51uqg3WjN62sXYbflcVfbcc+Yf8Lo2h9ik8XodB3fixsWcE2vi
dTtNaqcbHF/V68qvtcUe0cz0sSlll9EFTfN2onXKyuVVItY4jPmkZqnYbV1Gpe3JpEmbpdUyj3WG
+jJ5oTSb9ZlxrfMqJxgb+Qe1Ym2mkyXlKM6nlZhwU56WIibtmRJynG/sDJt8kwxGkJ1lNWG7ql3c
dg57yegL2ZUxR/DYOqssSrNKk2rMKrat4ZXTTOfT0jdXpdb1YRRko/kypOXrQZP69RYMPYFFmaLf
puTDUuvmtWyZG3Or6/ZlNPwqRDeebryp9rUppzuFUZM5r8s2azrX5Clqaa7MvPYiV3ETZDhrq7nh
osq2bolktyxoHs+J2PSA83aQ8aquujk5jYtZ1qLrkmq9SVY8bahAVddW+5JZTsSBNLGeDnOJTBhP
MKpK3PSZ7uaxi6/SHjXu0kZvBkBBc0L0DIUVHPPPMfjdmbo3dnVNVX9uDnz99R+vjYb/H8f888Nj
b+Gfv11+aUr89FuHR3PUX/7pl46z+Xqvfxrkxyj8OtUncf2pjfEvgv6nF79jhO/47wvRHmOHHGP4
J3zwfS/gEwt/HfeZFtL0uRKUphDIYKFjiMIvtADlwnOOCThUinIoLiQk6M+sIDDkbiYgAZCP4f+F
GTBILEo4KF0MpYaCeuPPMAMF3fUNMxyfCPa9SjElIgWXn8AEvmWGHrduwEvHHyUuA8Q2scwmfY7s
3GxvOJ9sd8cSx/1+GFe/siKQyOuYJ6ZEH6rBsSHJDYmdOFM1X6eiU8kwnixK9/6y59oma2a6yO0H
3oU2miJJ0x4CpBKC4UcRzTq96uso+jspuS3vqaZjelWlzWhppnHjYSpw/J1+UWMUlqGoeu46m5mF
a32BxTrClCut8XpONB3aPxI/GxjzDaQ/oE+g5u/2SCHoSSkQUupY/RF0ZNdv2FNg3Ux1WsvHcjFD
O54EzXp20rPZO3Gy+So0S741Fsq/HpUNKfc/fzwGO+z75wtBwXphVFJACibz/fO3lkqforR5aHFH
uyYHkuK0zpQiydjuXVwqFwpXh4rVWcKSzQ7XC6OrJzlmW7rQs5DWg+8yY0bq8JXicoRr/2aSIBW/
maQAwFSqmCRHc0ilYIR/P8kBhbpso1X3qCU8fc+om5MbknacJ5mjuiIn8yLnQedIM0dEJlzvRZf1
G8I+D3SI4raF9JHc/Jt5fYLnm+THEZECXGDoKVLBJDSyvp8ZQiMkiqb2B7cRVPsd4XFGpJigiJnM
H34bhExz4yu7eJXpcqtxmgVeBazP4SBDwq5y09kQ6QVhcWjRtS55VZmTdVxGbq7K2HQ4rnlJoifv
/Djqsdq5lrBh3Ol+2kjIkUGp14V0HDX9BY3Y0PRaraIS475L5ZzQF+Wg8Rgvu6qeFYTRNKcNVhlq
Ab6TcUtFo4s+aa0bir6fuXK5SGBYnXV6EfCj6o0kY5aunUjfE+Xq6bT7uJuQwkjLc5XENdG7ZSaJ
Tk4MkbK/GsgE240h4iZxRX3P4QZJS0aKMrttCHBDVuKtyTofNN6ywTs1NEVqRd9OmWkwhWmkY0jh
+ShGgFtBqktuIFQX2N9tlKMr92Kc6XgqUNKlkKylgUfqLrZ0PkMLKZsq76P2vjn0cezb/paaqVX0
Kl2DYva0TVFC5jPuZwcndm1oty2ZWlZPx6LuJq3mV0sbBR101tZBmjJPJlMtSGcjBUYh12pUViy7
akwZH1/zVc2beY3QqmEjS9whkl6Z4BeTvm5AKrCqgHMOXLCv3Yhxm2ssvftjFWT08oyncSHvMY9r
kFdML6V9OSjVdmTXDj5BfWYRSmPIQfTJkewGswK2BeT8za0ZSqI1cz7CcecyX9laLhed8sFvmevb
pTkbEiVdksemRv7AUB+WDynS3VoXJSvtMGRaDNq9HcZRJlMmcSpg9zftjqiNg1VVeiF1I4AQhrpP
yZSXfMKAvGasBIDWIUj48elo9A3koveD6LsUHZxqm8lms0OpxiBlKiNgGqTrSLZ0yaxeu+CMvLGD
Svq9bnjFs7qqlhu+Nrwt1mYpDw2b6UmD6HaqXZxPJleZV8KlJI+K11eiCT3KRza71yUc6hNWceMz
iL76Q+ts/7ZCjSmiwmWfyZ6GA1ZY5AsZ+Lm06L3pIByHxaYX6dLYQrC6BnRR4vatiGzXmmZ6sbV9
QDs4uWEnV0R7OLGpvq/tdEMws+eOJdW5nn3Ycc9iPnlWncxmUkWtFvlS2HrMu8Y2D40fy6KvbZWt
bBgKXqrxTG5E79dyKF02WM7g1nIdctYOYr/ALU9lstYfXDTTgax1+TCqrj90EfdbtqqW7+sWmRsL
VceW9RUafZZQU90ucZN3fTLwTNFJv14kaXaIBHTGkKqbzCQJvWCBb3sXPHSoWlG+RAlvQlYHqh6w
rticCWzxq5m0dbO365DssNfhlZ9ZOD1SQeHXOJ1R79Yu43qReSlUWcu3zUzUegq5brr3hLV4ZyYb
XF41ul6zGToyjzJwoYukTNyZVtzwguEAynemXc65NufcBzzmpazNHWq9vYiCoXOf4uMJLXljM1bN
y1l0U7xEoptPpTbJWdPRmhQS2O8BLwsdsm2TuM4CaI13ix2XxzFJYk4avN153xqSqdKCpNg2Dye3
7m2fJdi4qbDb0sWzdKrGKkPYNlcrFkDE2sZ8XmhPz6Az3tszF0e3J3Yi57zXMWspf8OX9R5NZXnF
MITP7KdQaDGCdq+inkXBV0N3TIThytbMvVttnPctIlOofDZ1Xey6XDQVt1kyUXY3T6PJKOmHg4kL
zQjS4WXEQ/fS12vo8i6E6nas1/Gti1aTbIxTzEvsbJu1MD+aYZmWHQRerLecRblcK+LrPh+2ub1r
td2ypEL6DbTAxsxCrfNSGSZPLXEynxwqz1gzsDsv03jRbtjNmTVsgoeWISunZMzXaqouUpmYJutx
p+5cAg5EIUc7thlv/XidLmm3B6JP01w1mzgJ2NTX1uhxR5fa3RIz2MM8RXxo7ZzeOVreLu3W3m6j
3uRhtGzN2lFXjytsyKEOYpp2hqP1JjjFy8yxcT3HXRUyVM/zaao6C2UWlMVZJby6VUNQH2i09HXr
SvNh3ubtcYIDXszCkEtWtvSAIFMUYxzDjaYmyfgyzBeJ8937DZnhQHtcrvkwbeyqXhGDXBaBkVDb
yASydpeeCMTK3PqhPXR8crd+JRTmP5MzjAa6b1Pq3/W2HK/VULsTvPbqRmuoHSvfjrsogHKzdtDN
1cBQOHMTW64HX7rXTkp2T7sZyIGM63zFVg3BM9LlBaZhOo9OLKfNEqnJzCSHQ5lqVtRjCqprAc47
3RJXXpRl7V5uRNa3Enj73bjJ8BoSfnUCwSYuN5yEa0j1zb5XJb9olh7TPGjVF3JbBwrn3Q37rUrM
ddfJ+rqKxo65sj3au6Ud39kwsSor+bZdOMWm86ZcuqxKtHld0U1p4Gwdd1R08gSbWOWz3dgLOVf0
UE8ueUhKIh26WDnbGpWvOmIiCzFZLeVFx+kswg7Bi1d9yHply4slsdW1mnB/lbB1eNMHdwdjqsyH
Br/xGhRMO4n2KqrWpxm3uDlTxpL3U1JOS97XC7pcZzHdNmSex0NNespyVWNxzkrj5F4hPagzXUtb
mOjZls26XgqpNi2ydgtqzjQthyuTeITP12QUsNcpWoK7GNW89HscHV5OBzbqFzSy5KUYVGPzNLra
7Gpl3au2ama9c71Z63PddKYpEjfw9bCWJU4OYvZ+e7XKwU314Sg9UKHGCAZ2B7tmlqo767hMXZ9j
Acol53oq58uun1qf0wlXrxexmTU3qE8vhrCUuFgwSMTzkPI0vOFNvUkHPOJs4CkIp2pIqvJkDqk4
4ySioX290bUkc7bGEanpjADZoVPJ6nk9jP06uKKePZ9uVALuQLaQqlcuc0lZ9V2eMBVvGpqoNCM1
61+aFSfbYUnp2uZIjARdLKqNQ07ciMSl6IFOC7OOW2GGrTlrSQD/AovuLCRr9O2Lfk1StVHY/gFF
XWBEwG/ostUSrl+EwFoZijVt055kw+QNxIPcPBg+eCV6x/DU1xddbds004ONW76FOA4Z1et2k4qp
7U6GhnGzqxa+XHYNlM5FG5t4QiuGZZFKVIvMp63Dp13lbJfZiYs1I0tcX6eBhKuEqyhy3ZbMZ4J1
1OXrWqVvsE3cw6xAmlBnV3IwpsR0V801mUgOEq5OTB58Mvl0yUSdvloTZgQIs0muTZ8Dkwb4gkFJ
E5t7IKFRprva9jbj1Yij2nVaYFHvLAEviF/iZE6n21YOujxpR8nuqnl+v211dVvV9n2lLG8zKBP0
zbKIdlfK0h0QJA8EJJG6m1SK7bxfSX/laDPt59qp3I52s5lIKbKZ1lzfuKFPC+fSNZtkw4Bf56Dv
Q1Vue2H6PhurWF7aDvJKjqNfxmKDZMOula/pjeDOuaKZZQnCr4YDk8WqWR6wsd1LOw5e7rwQ1QW4
RuZmGn2odlOs5vI0HXQlskRHdapNOxZkGPt9N5b8ZugQ3qlQm/Ou5Mkl6SIDXzCdc1N5lHcKyqKC
kHK+GyYxHbZISJ8hAUm4QGoe/c7i1Fz5Ti7h1LqlzJRfUMzHrmpzlvrZZgrrEhwFnQzTqU9hcbvV
JPhmK+HlqZL4fjy0ST0XDoJyyba1c1eQ5SH5N2nXF00L+gKmUL6CrNPsJ6HSfBps/aZtKvz+6Cbu
Y4fVwSCl98KK9jppkctnndZv0aBv+xZBJQWF216Qsn1nFhJMxqkx7ygq3dlEaBmz0sVW5k0/sbPS
Elh0hco9a+Kcw7tI9EULZcnZvODmvqupeN+VFX7bYbpczHigBbejOaVrtb4xoifdkdOizWiLxsu0
LCnoViDH4yFk96zTUIitgz5m7Uj8BzPLpNn1adNAhtJQspwOfGhM7l0TQxH6zUAhIJYW57QHHsnS
pGn5ZW89+VDXdegy0sMcsrYXtcw7uG8+pCmciXq1/FSnExEFlPBz70BrddWZtib8bqFqq/POgrn8
HhLv4jKVyGU+SUKXFsG2yUkzcnKbtqze423upqxZE/uC89h+mGZpIT1A5bk3U0mGzJScXngu3bld
N9xnrgJJcxH9ZD90JMQm98yBsG3mPt6HsEKsQFBCnTZZTtnDvCi4qNp53g3tTM+WcaxKSK5xAzEv
+PzIqJrLvRZ1OGcr1G9ZAnIkFH05JnyXjLqtcrTN/E3wff9O2Dnmnae+6FEyoqtpEfgmQJWn9mUA
DZelYan7wwKi6gzYb1h2cazrFqScAunpNp+YK1ovOMmnko5jtmrE7c7Zeaiy0Vs4RDmrwTJm3byv
5tSOSnd524FIc7tjGTvn5To2BDQ1Hcrt7eCnoXtBDF58AVVF2QGlqdRsNnd4qvr1kCDSDuxFOtFS
Zh0eG3rXIyGSIZ8TGdtyDy8edBFddrVJjcqh2o7MZtNWaz/lAhIuX4saQ97qsylAll+LYV5L3Z2v
sgRLJ/cTFGD2up/BxqRZ9NWkpr2b7Ni8raqOmapYIFTEDPRN6eCyOY4mDfsKtNpwOtVTov/wo48z
39Vd1+hhx8cVdzclIomYDzZpmzAUbmUJaqGHYDvAgSXGN1ObTdOwxDmLDpb/qBMlEOyjb4e1ULaO
/C2HEre+GSOc1veJTcE/CL0CmyEhuIz2HN4IQFAJc+BxqIQhDjfxULESxfQgdLJBvI3Yq+bdZJc6
qbNBLuuWQGVbtksKKQLoOLyZajAU5EUAQRmvUKvQyvKp8tPYHbYGEUALUl5r2g9UTsOsC96HaR3O
6QTL2zJ4aZwQn6fcU13e0MBtk+5SM9YNPUPTNK6mLGgTQONA7VCNe2tlC3ycBFN0vK8uSQ1VQ1Za
BYy5qgZElGSHJgi9rnZfs5nQsckHUCP9Ao2OIbKm39llYUaBdzAYebGB9JO7MunTcs7CXCo7ZZiN
iu3EulF2cMTpN1ZO/W2yGR8yYsCQztgEsbPDaa0f0NCBypo4ql23M6lXdTE7MoiYbWQML8FEnNZd
G7w9U001X3PE5xM6Ts2FQSXNO5JOly20jPTOUh1Ow6zQgYKLfNOquIjTESScyOhgV5bFYemGgwuI
5CFKuwzZjObuwW6o7IBamS6zFPLoVAS6ra98kywRBELS70CBQoVYtpbzg0tZ0EWpZfyQbGVcbYar
ZcSvZNd0vIC/jxjuHVLCZb6doTSAltcM1Yhrcb0DOeH8yVTzbn6oknh0XEBRkyHfurrag3c7l8le
T1iq24mMashLxIzZsRX5E+yNeNfPPQPDUpSkMjkYig2HClWs/krLFE0FQXwKb/22uArAsaWu8wGr
cQaBhMk5Y2BuXVVQeeuMjaDDL6OdWMwW2omd6NL+LKm8yfw28dxZOV9ZvY45WSdfyIGrMRNJqA8b
WgEYEasko1GOJ6PtxzafwDD7sLWzg7NRqpdTggysc7P7FFto4wHYBVOlVLt2Mstj0h5FQdfa6iIB
Gvbvobhc6pei1e6ouihpTkDBpGeOCd58AIqk64HOrH1lFlpeRp1UD5XDsPNy2eJJKMsJnJFta2Jm
G7Tcysin68X1NSwBrO0xW4Q2wKZC11nsuHqFwT4UhWrNcorBtGiKhVbN7wtl0FvgnWcnA2vbfFwc
vxnLyuwDGdDb1HmcKRG3onb9dsOo39aMSb5eQZ+FNAWZ/BygQhmsz1QzK+gdps4AzQ9b9FlVLhGm
q/o6WxxUw7kdxEr25PjiUIYoNBuKaqYzUG+iS3BhghXllNHKQ6eyGlZ/SSc7XVQEz7JAvLJi34be
vl6iCHi/hgFWqbtUvGeullUG3UT2YkyOitdLJocMNPXaZGlXqiUburGpC0jo7QK20LxcbxocgGxL
rU133by1a0GRbnbbGGFMxbk/rSLStpip/WPx9bAjpY/5Evj6TgBbzOcxDM4W/TjLV567MMHjOB+h
IGjABdLEXNK+JOey7jvxQSXlqjOHS3WeJDX5sPZNdxYT66+p9m2OG0nuxiFMw27wQq15w30LfvPC
mrWYlrX1We9kKHdT3cge+NfR/rzFZOX7kC78TVLWNl6Bc9VRMAOMXrPeavyuUUO1ZtBbdVemVB7t
xMJXKAoUcZAyS8T1TuO2ft3x6JYc8iaoOtDnRU3dKI/7lr5Y6AI2NCWmvJK9pm/H1eEqm6f+HfXa
vHXBmAz+/AG8xwBhI1U1w5Hv3bsqWVAF2iomeQLK49JNm849+C7vh2pKTl0LQV24phMvwhTMWeCj
zqEi7y7AFxAnSYnkG3CMGwHHoEo/WGgZ7yJD/tXsVnLaeRNI3s5yOao1pE+5GsDiEd7LE0/rIS02
lYBw0o2Kh4GTuX8FHbSmcGBuFQ6OOstHyqcdyBd8Pqym3ut2wW/rco1vVRlwZv2Eimrj3U7LvvwD
WmKoYJyFWwly/4BZiT+Yau7eIhjCsyTCxhGavIVOt7yMY9Ic7Bwg6uR0Z7QJ13ZCa5nJYBCGONiu
VZV0oGgw0wfIB26AMsPTAt5VOAcXLblYRuJ+b8HsKGSEQgVeJBi2LNbYvElkz27amkJDnYGrf2rt
gLnJ2qXvKL1fJ3D/3a6z4Ae5D5CgOj0XStJyFW+hojXavnLMG8ZfhLYegeW9lGqENtYIPdE6A1Zv
9Qi9htZS84Ktq1frYSExQmOBGhRDfYqmWrfbqSzbNdyWTVz4PR+Y6U5aI3VgeckcCkkhZ84WB+TV
qfS90DoJp63CTYqKOYx4A9ko0drkrksdiqfTGsHFzFLocu4ZGxb5Ph2GAKQy2q6PPfAYrxEvQOcN
GlzSNa2q3TiyysynsQMZ3+7jCv1RCBp4E4PxbJ1rax7RmKzCFynY+qLaebusXV1nW1N10Liz0MqH
5gacwRHaIFVbbWh8OVMZoIRpaEyde2PkUs5tsWxcQt1HUtrE9qptjZ9M4Rf4yy28Q5ZOfvwwdduM
1wzuYps1XwwDSZZttgZmOCmhx9mqHBzr40pYWiHVH+oqzmL8fUqqjfDs+BYHXIP3lEQaz5PgoWA+
b1df9mkekZJi/je9ze9bq9A1FNDQhNYhNObgZSd0bLZ/21oFq0wGVFfDozb22NCANyUslD2UD84z
KE9rNrk8zCgmJK+bFlp0/2YC8IrN921LeAErhT+YgvfeoUsITaHvJ9DwlQheNeKh+zQBDecEzp/u
VA8nLjHQF8t+3pE8NkL/2Y5kAlH6P9ydyXLdyLWunwgnkEhkAphit+wpkqKaCUIqldH3fT79+UDK
domypah7BzfielAMUVsbQCKbtf7OEndDIDcX40bg/3jFJUktJ+mk9U1b3cZDxuaFByx8d+DJq26g
zs2VHQ2vCo5Xm+H96xX+KgL6cahfrusGLgehQoXky7fXbca19mpL+t/iFXZeU3g1Rf8xcWnN4nCG
A0rvqggPKixDUiM2/81jBz899vaOIYgDVyFW997ww7GaUsteEvnN8gqvlTs121p9QXLAgqxN6hW3
KRi/uJF5u46PeW/bJglxsxUMyq9fwI+vnIFQDi8cxyKAG6Mh37yAQad2tuZV9EcUmEp1p7ptymg9
WFG5bTKr322bzK8v+fPDI7HEZqR8O7BR9Nk/vvPES6IiW+3um6tn9BDHVWgj8qPqZsioQ+pH0HHd
yKi3FF+smc+1vU5dcJjS2m7m30wE8UbzwQAE9uZ7guaRCE/8N3cTByZTQTNYX5O0o0c6s5tu0oFy
qRO8ruOcucbdpSXIeRMugSO5K5XayfhYNjoDe7dAoh+DMilpzmHAO+ehnNKq//rrMdtW3l/XCT5H
9gPb3RRwgtXydmuYIxDp1ixfFwhIJoE95jaDZcO4QE0vnaQHbJx8o6uBWevtR9rE498dLAGT6gK3
6cB3pYsI5MdXB5PbD2uv669VoSzULhk6D0joabXpo69kpFDI0C53+ZcyUxXak64pO6HOvpVZgKVt
gi5l08isCf+qSk0xXblLDtvyOwHG2zmG/0Bqz9msILxh/VbmsMgZFrgy8msfORquf+vXihFGYUib
aje3a8vNWV458XeAvmW97v3crNbj3DTRRR9AQ8e70tBdXJUJ9V8UVoGto2FHX2gVD7oMYsomRwYL
p5VjZauoLm0TFHxrDtkACPLr9y9+VJSwU2naLB1oG8Mr8n31ZsdgZlbtVE3NZw8aEia7sWH025Be
g5pzJ4y36R+oJzYVRQEex9+hTmQ7aUS0cd3LPEjdHsdZ/n5Bu293cQ5ZZFsqEIJDg43kzbSAEUTz
l9TN56ZjFcGcgWq6N45I5Hol+3FlOALANPNcUg2sXjgm3dwmOzb8WT/ErYmsMxVaZp67DYq+9VO9
SakWtJBFcMpHtb2eugfSAm/f4K2Hpsty82wKncPr2EWxyXtSRp8XVFdBwi8lqj7z7JfLwruTirIo
opW048HfN2AT/RHUfXt3OSgwUqz25fKBH1vrHPr1kvEVNdoN7jxFWslrHRpV5l+WXldtcwymTkz0
XLUZrrsuhw8virJzqJTjqFzOsYsM6VPlV5H7TEsvmGSeH6PImlDfIOb69dx4u4Uz+h7wFiWD62kl
34qNqCKrWMB9fTai7OkfFsf2aPrmOquLCzm2MxvFr6/4djdyPPYiB2IW/R5n99sr9p3dJ3Mp50+S
5pzJOI/utv05aJiYfnpq0TxBXoKXwMmMQx/feK8SjV/fBrrfH3dF6WlNRYIZzLEdF1Lkx+3ISOgD
+J3yuXSrcpDhUI/K+hOwqWU3Smh1xaGLvDq9n3o/ZsdpElXHh9gfnKkOfc+bCyAi9LBXReTrx0V2
hb+G/Sz09DD4lp3uWmWW+opJBBaeQaVujH6kxbbYqXynh3pKqC4uoiwftpU/YT64w5vmNWso804u
0+nXTyze7Gu+5ICi3OCpeVqJevLHJ851lFRz23vvp7FC1XuA1HCQ+01mm7cuRZZ7TsQMUwOyEGxY
bDy8aAAtmodtVYwZOqPHaNHblHbaFM3MOW1okdgiWwOFeGyLqaH0NmrNWXXRXG7qQ7H6JavTEy3L
6NeP5LzZ2XwqIIRyyOAUb1AI+03R2aJXMnVWOe/9IZGsraGJtxsYLDluS/dlHWOwWbm3KFm2Jc5e
uW0pXdNy0FiJQPAoFrX9qm7zPv9SBJnnnuGMt3FoV9iB26hd+FSayO0R17jU/TG3vE4eG7+bZL9b
OS943N882psqk0cLBBpzwVKxlUu99+PbGiBYvGKs1/eSnpThH7qWqWUKk9Z/DLafwwOsQ92aZ5TR
2/lYWrXghSy6LOL1YEothvgYSGuc31OldgwHzJlk9snJsJtUqRUwxdy5aLbdbWTbPKcObQF4IhUJ
F0yHyOZPqFEFQ4FUhqEYBg+4dafgaFkSSeBk/Ol1fLatMP/y60F4s0Z9ygWqK89RPgJd+6dSV8zG
1aturaep9Gp2h9fy1kn8Zcp3aHDpd35z+G8mhb8WS9slXUlhb3MsoVN7K1G1s5oSslm8p34UzBAo
jIEJxdnP+LhZ49bqEM0WbHqoC4n67VxMUUXJwqbHKM3dUgz3nu5ppuE/XJ/NgAU5PUCR8yngPhb+
sFQcVN9fW9zOFUO5FH7FWmEVba8jzpftRQD2bw1tsGbI82xAB+5EwQqY51zDvP5OnYuV4aeH3w4B
NgmB9fLnjopysEcwAy8MkK6LKBzGXDa7aLaj7BbllduthzbpdOOHgeMEWRJ2XZu2l3YxykWFKPtb
66qLS8u9Aa/1JLAjCok/ECvZ5zkaXb3PvaouvrlZYbqHstYlITwQWPOdOwkbNNLPqkA1KNyk24/H
eVYgt12L4aEOdWmX4lranQj2QPgBkv9lGLsorEFuTRYm1dQhSYuXfGIxTKab1yJcLJW52TFwxOg+
6mJYXairRYzzeGqCORER9VsUA7QnyCqLnWeK2RgEwEzFBhhiBbaEg8r0cQq8GNKxtBbzNOvaSZ9H
t4hhI9zBEbuV/rReMWMMfbAPUmfOdzF8xJk2edi3tT2bqyiobPskZpE4x9jq/cQ+NHlduu9XNcW5
9T4AilmeFrSxw43VD5X1wInhjd9Up3X33nhTXNXIk2qR9O9wQxT5KUrRgR8NgqayDoO8lk6y8+DT
Wv+rKCHSvyX4TKZlz1RZ2z+DccAvscuLuRcZMHPVKn9PH6AKfYpKyMlbtIJWnp+g2GCHkz8Tv5ID
o7wI6XfujZH1xJRGJdU3yTuc74O2D1XlNo13MQZRmhTXlVpyBLvZFA/zdD2rKE5TPBflPKqHqIJ7
udjYzdg/Mle0RIYwmY1vKno/nQMENq4GtUqiDtD2Yo57K0lPc1py2kCHw9Gs+6lJR/WxtkYIogsm
x2xFuxmkFSX22FB1BeGwSn/Rd4XjefwYXn9ppWnB39mBdLkcvI3bfjVjGzjTZaY7GMazWCzL83Zr
pvLRO6FMFmURKnfazkXUuymPE0vFofJliVZM/7tMJYGK79a5mRvvPosssLqjl0vLaS7ycQ386U6j
lUuDsA2Crar2ukEl+bMXR5FlYC+KnpGy1pYt+4Zdu03UlSWjziuuRdqmorjPshli4YAmd+7jwz8l
wtLZbmmdQC6dgx0na9rubTQLnb+vBoSN1Ucnhm1qQT6LAOIl9tt219EHM7KOP6acIDt4qu1LuH9K
lrBtg62md5Oep981Cdy6PmbJvI2YLIacH3WfDNZjVXrblu9OQ+xjyJmHmglg4Ov0aQi6ks81r4+a
ILdk+Npsw6w4S/qIqxWJoMmsQMR5L2JzGqkPoli2ca7cIAO8s0ar41VYFZIs90/UIgEdR5emVFq7
2Rer1+5SP1GjxRt0x3Z8HrJqTCvGy0pMjfbKuGK58TNvu+WUN90gjmFmcQXJX7VfI2vZJpjurO3N
w3LyuyJAujjsp4mIDcQAg9/O3MNENgPP+P15uk7K9ivWhITfKbTH+jFXbhTInTsHAEBh46Fztw/f
Z09k+g199TJrezgo8JfBGJk13e57jRsos+nOHdmr/EZiOLIevw+19frxfw7y6+dACpz8xnOQkHk7
UaHa+Jqnukm7U1rJlYduHUP2GXoLmB/7kQY8roNQvb6o2gDOgpQOK1riCxi0FVBW5GigNIaxsWaU
Jqcs+IjTgLF1gP0ymoIwt9et6I2xQPFLwFa7he54GcG6YQWxr70+U+Kk9Gi7pq70LM6A1Vt3br++
2tfpgUKzYHw0DAo/lFdsD7/oNWGexgJ6j0LCTTS/XGvUVMl7Y6WIh9BxJ3Ib3teJZMZ15C55yO1b
RNpBDdKbeZLZ1Q/JduuvA2qZ2fCHupC16x0sW1V5dgEk6y3NKd4QLfswpzB30/WryL7pZ95vOiFN
/yp0XDF9kFaU28N3E8XuXY9LY/tCZ9p+uFPs86Oo7G05lEZt91+NOk7m92MRF3F6rGKMCI9JK0Us
z3m/emK4kq9zJc36YPBO34ccDUbH7SyvanxOgJqLZ02ac85PAgWj/Z7KLfOnfdNaQ5Xu7D6OuLjK
ElQKKFUasM0CwADI5lWP7tXQWzgyOF/5Xb6OOvOPOcXisl7KoC+W+jy4tV2WuyJwi3IKoz6mz0co
PvL5BN0GPygaVXFbtiP/XXFF6M/KngVQUYvrqbid0F4ACsxdxtVFAmL/rKtooQuIVrPNffQlesPv
JYwHSvQuKUb/UJQcseVhsSo4K6gdjqrlEyr/jP0Gz0Wd5+fvxhvIwKTLjmNS0O/+sbo9KXfnJksY
jpN8WTNt7ReMeo8wMzLPMvHreXiPgjSZ9Rn5zvboSxD3DJFELpfzRHk89+qgjb0J+QfINP5OLM02
a8Crtin+ip/6fT7zr8XobM87pKnDj44JzufbFCjUCtPCgCsHrpNXQQhkseryRkLG8QmNUoNJPamx
B1F7BVmMUAXmjbHCwuFcxFFr+A7zCr1FtOWghq1yc/BSXBS0vmVJ71TthgJgQl3Bg27raXDnFLtS
nPsDW6XUEXzdbQ+VwzDT622DN6Zygwqc0c9xLWUFHCHE01rwlJ9myrPIupyjvuvS20BmG0iJPYTt
x8sjqREmAGOt0WGJMlT4Rz03quj3QBdCu+jjaXA/u7EUtOQchhuqbyzX8FTo27Zjo1TRNuaoIwST
73UkswFh1q1M7RSDCnxLGXnvcjPO1mNHMQ2qYJDy6M/st8wva24MI5C59vYMmDQsNn/ayw2lKtCN
bFhAUNZz81kHa9KKr+5S6OJW67ZZ0Yw5aDGsfyAPzpYIEimQhQr7Avzb2vmF8LpnEMk5H57suM3i
GD/HKpPlYfaobdpvwZROLXajCIMKHg4MQ2WwsxzT58/GHR23DkdOB3Q1A5ZaakrPU+h1R2Z5mQXO
buKXKHNCb8bDt+y/P8nru2wb1N4Ktb/cLEPRi6fnu+koQGHJrKP63xZv2pfbJ9COMmZR9uIcUsK2
+AQSt+2DkQSdKA907hu3kRZRw1KOqRajWzOsojkgZNvoPu5q+5vvU/a7mUh521+94uHbdmrFu25Z
O9h64XS2fz8mXjzX4WxXoOfuaqLAuZjbalvlsWU2OLDHUccPl7JsuMB6w/x2bfiHW3DL7c7zFx9M
8Hoh1QUcaRCmvOzXjq1KM+NtcnBEGu/y1w0Lne/2za0vNjDaKtoNhOw73bnuvozLto5CZN+IlMZX
JmuY8TtOl6kTb2Vc4i5cw5uK7bbGlwVn1TnnCMLtF7dO42yGzD2KqG1OepFx8jRUSQ/beEiyYjNU
vQ4IOPC26eW+3lxYbi+s7CpxZOH5vwG+3jT0YDnsD8xgdBBwdT/ByskAhwBe7Twmda25ay+OF1bD
XLPNtpa7raDilTOb0na791/30huO+hcWYLs89BzazNdwvbc4KzaS2pp7D6jqdWvMwIC38YfdKUha
+5dz9z8QZG+AJlaTjRGCawFZ8V+9tfV/sXnOft4iihHVP+eInS91vWubyHXvvADOih1ZJxs9OaYZ
b7hGrsg6+b45/vpefoQQlG0zf3wBJ6k9SfaTdH68l2iSDvBtFj9uzKn+nCqx1eNoCjx5MDWl8+/G
+ecLYpEEONB+4AAuBm9wxTzpbFGUdvTwKrSLc078C+/FTvh9Zf/6AcUG2/37xW5PCHZrKw8jgYNb
/y2QuRSZG1dDoR++7xgzuniW0opYXanj4vY+DpwmMt27cUa/vi/HatvPX2ylVm9czqPf3NGPM507
opXyAw4v3Chw829psTWwrdlbZftQvC6qmbqONb6MaE/aY+pPKa8AQnplZQaSw4HSwkq2G0Gk0I7k
J7R09keFa0VxlGOxW7FHNi0fB5iMxG26SvrJ3fzKZzWv2+yvH+Lta+TFuTapETAm5IL5b1lWzt12
cBZruk36fNuZzEsh1PSqGt+tlj+65OD9as38p+spwizs7X9a6zfgrLdQjTi+Pd5+P/aWOEGvbNfs
rDVewjT+W9CasoH8BekaLAx8xkQIvqFdJHYKUU1pxnGzWU0pkre34eUF66Lq2+3A+PUD/rj/gM8G
0E8uKxDnvgui+QbPRCy6pB3im7NXWV2udihIPPlZdyyY3y3Bny/Fq0OEQC4inb739tnKyCnXMdbx
+bUUmRToCPPIaTch+MtT/a00h/8WwvDXDIb/q8iH/3dpDj/kDv01zUGCEjKF/zXDf8p3+Utu57+z
HL7/q+9pDj5xe1QEQNtE9/Bl3wNeAvt/JBs2MX2+8LYgBUD/71EOkpQl9vPtvW65vGJjMrGNv+S8
uP/DEUeuskdsli85g/5OmgNSqB931U1eQUQAM1UAZhHF9Wa6epRHVjKr6gJsvRfY+Lwozia0wfPs
hEPJmRNCSznz9eCs667s23Uv+kWegHi8M4xgSiES9RTkbNy3fevqpyW38wOSCbIXYt1DfHXyUMZ6
+QhF1Lb7VSr5JYgrceE0dkHYi5p3LXKCgxd53zBfDBdwDfFJEUWDpydvdyLKk50xw3haJ9tG5i6p
VQ2k8lEl6O4KEkyKMFvrj27T+l+QAZUXuFLM0U71cew9b28jB9pNWDruRBf55wrbzpOTyCnF1ekO
cSgdXX9MxNienMkyl/1UIGeOIZi+Rj5e33Ap0cuGZRfHN3WHdCzPBv96yYz9MM6ds68K7900iuCG
IJd275dx/LlIetIWEO2fjTdO+zxtozBCDn/qvKg6z6m7g/ha39VN7V10lVMdtZWvoRkncVd5wWVc
5XtVL/m95UdWiHI4h1ya6S03re+Yt+qxs2V1mFvXxqHgunT4S38x9sbCGGjEpZsn1mXRV80hd1qz
S6zM7Ht8xTetRlhywA9uYQSbxyeRNu6BFtC7hpJVJ7cR5ZGiXPGtvXnXTE5/46VWFOaj86SXcvlj
zUd96GcQ8cjL+3cGUXw4A6Ef9VjTFDTL+uCmmfd1JFCnqdbPaFL7k2hkdh6n2DnBkEfPk5/WxyyL
9Dc47Hy9GVcnu4khjsPCb5ZkBxtdHvyymPZAUUgi0bMdW41aF3bLOVB7OiHsJG6QtQu+YveY/xHP
a3A0drX4uzbarARUErR6c19cr1nzPqFQRmBcr18stGUyrIyyb6iipyv4SyesS5uXnAZJc2hiH77D
ifx9YnL/MrJ1dSfFVN8Us3gPr9YM2LHd9uyPdU62T2tdgh5Pd07ZBVduS/pR2BQu0teU9s47j9aY
rkd8qAYbCnrGfGfGZb7UqTlC5QE+GTQp1AeNv3NEGydhWzvlBi1lGHvBLUPHHe1qVzhjuad6mJx9
1sbeviddhE3elPeWpc6BavMwoe2+6bTzpS5aL7pu8fMkV40oPmj0OhAQ6hRZvrAusE+g3joVg8xy
L5yCuQr+MPTE6SEG07gz09Lf96Pjl38ElYzMtVuN+B+G8b1qFnnf+WgSxgOK4Cc36rND0I3iEBc4
L2dylUrkC32x7ptENw8NMEk279J1is+N6+XdewcvQr7slZ1XQ7KvNDzXZQUA1Vv7UmWOfcdGybiX
2EyPkc4q3R3qOLI/GbSe5GE0Vnzbrl7pfbARi7XdoYeue1ctwRh9y6IWU2VqgpAdLkyEayH6GetH
Zq7KQx/4Dxi4c0W+W6YCdtoeguyrh6bZOvvVZNcXqi5mK6z9ccz3E8IcXLFEJ7k3c1wSd4Xb6Qsc
pWCm2KuIgYIGG3k+EtT7avDcb6srh/zkRMvUnMmX8ar9ZKUBKKuIouBQKZICQlPEHa7GxRZPMjZI
efBtxZQ9c5MiqHS54pBHxBk4QV8mtIVphokSAXR95/mrU+sdoGAihyt4DWXv63qyMEcvSENt9MJ3
y6SXI6JV/mgXUxZ2ijHeaWzPTwVRAVedtvouzGtMnARABDMAhNQ3VeC2F3kasO4XFe1VXrjQxqP0
TjgPklPlTf6pxt9xXznFtYnhTcIOve71kqjkKoIQOQJH0YgWW4x5SI3VtPsR10I4ZNq59L3upKwq
29Zqxv4V6/RAyoO0jrYHeouVNDtopzeYz2YKYm1V1a2XjPWDP3nwr7qdPqkscvBvyuAKukOG9LJi
ny9ufAIcMojfzVjYYYmk/w+kSl85o7pbSE99nD0cgemUYllx7NZ+jI2Ijoud+e8Vjf0717UiDoeq
uCgwmN/VqBiOhbXal1NlR38YR6v7FQ8uLWR8wdYZndGq2R9zT6R7jMr+JxBLeLohcppzptrlyjOe
uXGV44dxu+R7tLrZZxprcanaGtt3vBwHq8LIMtgmI7cmEU2YTZIgijUy9zrIMhxQwanHhAD/VQ8X
q57GE4I5c1JTqdowIwBhh39s2s1FndyhjcWq2i2Of5VikTkgt0Ne3BGRMHN9ul5ExI5IN19ihEl/
jefdZJL84GZBfEKT5R+bPp+KUMxuwtZo3I/g/h1nIQq/L5PvDDfCM+LPaXTqoxpQruciEmfdt/KD
tXA9J8Db1Yg+PmZpg4ONluw2t+f2eWQd3oy0Kvek3gfXUN2YZJIqw9K7wCxLrB15rcxOOYU+F2b6
jG0nvV6J5/gQ1aN9i5U64Et6TSVQGmxnfm1j7JT2bb8k5bBLWfn3igyPEw1p98X3ql3b63wvFzO8
63q1YJEpfX1RBn3wbsMTr0SW11/hlQhFWEr7kK+1fZHY8YeoqzQMQ2lTPHj4Vq1VHrDWdX4ILvdx
qSL74OI1vFFpal9Jq99y07q43S+WbPauSNwsXMTw3kK2A7nYx30fut5yQLWPFWdadIAmxvZwKuAQ
DquYPJ+2RIOnQ8xvIubb7Nk3klCXEW/uvo5S9cVZ8M0vbpKZ0LMzdgIUU3jwq2njDx4l4HjMkReX
pLA99Xpt0nd/v77//zit7b/W96xDTd393+v7t/8PMS9Rba//6Ht5T+6ar+hZPd8VeCwxOvyrxPdI
QNeorpAi6Q0U0yBI/8xwVKR1kldPE+xBLVNC/6vEJ+2eBE+56WLAzjET/a0oxzcNN7plNj1PScQe
KgAae9Nwi4mt1Lbj+gI3MNh6XsXqTnZzc4sIwN//ZWj+AyD2o6iEXvdFHwwQ5RHQCJrwppmYehv/
pC+qCw/jza2ZVnGbjTJ4XhmB67Y1weHX19u+7y+Q0HY9lCtoxXAEOMFPuuTOIqSu8W2uV+JABthF
lx1mixGELhJSiSRVywOWN4GYIXWefn3xN+jPdnFWMRlvJIR5/k/Cpday+6WGfLkw3TB8K4sSiXyB
1+t6FWZ5WCITPEeO/btH/g9DrBgtzjGi3SCFmTZ/xRyHfsi62ffKi64Uy31eJMO3ifQRg3+tW+5j
e/3bFySYdAM5uSJKdPVWVJvZ5FA5BHmdEyuqrzy/8fdrMgR4i6T1GQ5Vf/r1sIqfxtUj5lb7QIpA
U4FDg/vDE669sE1MNXWmpaC2HXXUO3fGtBRd/oyGkW0zFfi5KneDG8VDO6nquaIemXeJzk21xcZ4
D8PqOGPYwVERd9Mk/bVYguXj6vi/mQU08m8noafQ9LL2adYDFvub+604UuOsHMYzJG3sPlmlo6Kr
Pi5saN+6paRtYzFfkpizFjEUrhJPrMH1wcJodiZeTuvLtEcf+VJnxhJmIEz0ZrdAlY2sktijWyK+
yuQSJXABd9JN4rZ0SB8gBUEZsR+dnkrS6lLSt1bHcLyrRdziRrO6w+jZ9RWRisuDGIhmjdKAk8V0
U62++pNsVlQCZpkOdNlOdtVJtdxrdgm9B7rMg3NmT9aHrEgCMN7NEXzRRRlKRJxqqxXXoUPunfiT
WbqkcSjSNFtuBjeY3HdLtc7XlZ0UhIOoDOV74LpO+LIRdGvJOl2mfrm35mG5D/KWjKIlaptPY+Y0
nwyN7YWGeW2p1afmk1/K6d7ueyrmoDVsX5RxGFJFp76g9V8e6q6gLi+nqPkkk2F5sFpLPKlh9Pep
4VRFI+5UF9UaLJ80prtxp11BklgfqeVhdDuetMld2O2i54JE1UXPDpb7bj/6s/pSjIyjT090j81Y
PI0BL834bfA8w21+0ZZeHtK4Dw4Qskoe1zodfAJcraShBoiWh9e5mmSxHHeJTOfxJs2X/luR1VYa
Ui42n5wVFempnxF94x7E4UVYbZSWF/B5bTnQhwb+eBhIPfuQkGXw7Dfsp/sB6c5yKFeXeTJV2v1S
937zKYmx7MZtGVwHdMXPTUF4QehWKTMDKsbaUYXWV5298vrllso7jmsz7ycNWbRjdTefliWDLI/r
3MDrvrRAxOtIjPoUeSFZajzrjDUy9OO6O7+Mv7sMivga36V8BWQJfCvpdy0OgNuXz+DwrXblamfs
GyY5Wzzru8Qbpv0cB8FxbCGodsm2PDTim+ZMiFcUXYkej9Fu6mcCDdvFDx4k+G6HZhlwF4dq4dvZ
7UBGUqNCv4Tsf2x0ZaPmjuolmo6kcaxhJC3+QVWkwr6YxeBNC1WTVSWXPVFD1mm1UffuWyTs0QP+
Q1WECbEsTVglCGmvHVi+T/Dk87eJlCAK7qw36f28Ws78oWf4k1NfVdOpdxAYh8bO69BCAkH4C5wb
ikfFOPdPjYwStA4rGEkVrEhTC/CtdrlAfuEipc3krSLUcDdN8zkK1uVqiOvlSaNR2SVNhOEX7dOt
Sy7VDjOb+NjbTktPvZIwuS7iztLJ8DAnbU/HGE3q8wCl7jK/EHfs4iBdriZiHs+uX8dlONpOTa1Z
m1u/G+NvmAXFrcaVelmlib5t7CqICHxw12tRzWUcMneBlwxRR6eqMcO3IKX13hN8E6d7Jndw6UYo
OveEapB6KTwvepYVCr69sNz3+IFoubr2SyVIccoKcPFzi8Jg4oNyq2bx7BOSl6v+WyL4A93GuDxw
zDGXnahK0rO2Ik5p06WntR+aT0oMW+udEPfgxX6p0PlMy4NZkuh5IUXjtnFF82ntN+8hquEvS+3H
z5nSbJi1kz9lpEZ8yDpExIhKFdpzG6VJCmR/4TcBMvUgiAiXmP36SeMiNmlWgapYbnwUsvTVpSJj
NPhg+kZ8LjvLMhcGEse/kLh75bwTTb8cZYdq9lI7Un418aQ0fVB++e+kq67PkgsENE9ekrT/J2lX
yDa9R4D/3COOZ75QcrQmQKBW/BB7BXR4txBnMx5hrzGO/Jh/5a5OS3dTuOp7/lXlWe5XQsL4fMOJ
1b1H3udEXwN/TjsUck1UH41f0584cT6CUcIIXZdFOjJ0ZQSIQcbpx9Xz63PqVv6dl0h7n7GqTiQL
dvluxWL+CZUqtUgzKP9azqm1y8XEa0Ud2B3SAuvygZSpuLvt/H69WGXm3xIzGjx3pAZhji10/80u
suBaRehBw1wbJk07MlP62Pb30MjbVBrjCng2qcUtcCJ7Kdgge3oW8D0TgVQnPSTBdT/zanYFKnec
9WPGPQGkzCF4J79I8oopuMg4uNZFQ1Bq7OTs92QEnddkYh+cFD3dCYORf41nBAsXQaFgzBwm5Y7/
05DlHo8xa0nNbXHyVs5xctvTE4iZ+8WsGRv+yxYInEF4CyqEberPdpHcE0iMsZ9gEfd6Hkf7hEYM
bLAbrP5bJUm+CoXsOPkd06ovXsH52KMJmAHI0qLbo6Iskn1B2iIVw0qLcnq9LYElsTi1SUYlEVkW
x5dHvORVW3TdeVrH5X6YqH1LggwOwhTVeunMjq5IKVxLd7lBCubInd0F9afZaZvkzlETd52WDc86
T4ZLVl26eg8uqRE9p4VGWFUidIxbYPfZtyeEi/Hi6ssxJxBvR7zP+hhZtfqkE8HGunZWdj033UIq
7H9MPHPphHv2RU88FrVlXzZjYv1j6NrglIxzsITcM1VOannBs7PMTAu/6DjJ22AAS0OW3aBfW6r8
2BHpZbiTdBtRXOfkZ6qVY31sfMWB2bFVPUbbG80yAhnNWDLjCjLIbhFI0jUMjrHJbVN9s2Um+Sqy
n4W1YptnnCgtH7FQW+MjQFuhm106J3HiPxQ56k2OqobMM4It4nZNj2ueWrEg4YtqOT7hKFMIiyg3
ChtF/f+yd2bbcRvZtv0i1EAT6F4TyJZ9kpIovWCIkoi+DSDQfP2ZkO0qK6USr8/rPX7QcJVFIhNN
YMfea82VInbOg6go0xCZB04FB94YBBtqENdM9FMOCuLWKnsVoPbEYAoRMpwwUJyKbGluuPztufZY
WXKV0KfQ/PSkAfZijJHw6sF+cmBqYcCBc+loDaPN92idkK4W1DiXDjW2bDoR1kPssaRbXTzswMIb
gAUM6A4MZ441YkrcMIVxroDA1hvKkI5mFd0hI6ci6Z0yf0W0aO88VUcHn0Ym1ItWgfCqJd1eUb1W
XfuqFfOdP4nxyH1NYQC97M7vG/3OLmcVKr0MHDmXh2mwwR2DZHqcgMXsMl6i9LcTuEmoJ4Tei5vJ
HKoHrjbv5WoqTrz5yr0ocyYimtUHXulsY7+4GXJwbsyw5jt9buJ3jeYMH7vatG5rVWZ1YMU6BeTU
7gu/QLmm7q3SOFP5QcQA8vBqO5F9sgCVpCkEDj8Dg1UBrmBMxNDkm906XBCB1x3rrY3wDlGBXqAg
mjXVBBpvYLmZB7WuIInOCsH7itWwz+qroTW1I8qEtrmR+dp0LhNWm9TpuCMXFXHto4kp0f2cY6QO
FGV3+Ptt1Lrr+GFr7NGIcJnquyaqXNSeP+6imBZkPm+85tDY34t+hV5y062F7++P89Puh+yK1Xhr
oLpAD3OpyoAR2w9Z3TeHooIfthmYgz61stPgBUCtvnJWqNXp+3L4++P+tPXnuIgIbCQEcBHYKf74
/diSF1ZWT81hygrnc6/hUCnlVEx0f9HWb+uyms+Ok7AWt2qtcn9/9B+VPzQ6+MdnNov4xeFDXJr7
ZpnRPQFNd0D+zwYEQKP5hA28vspcyWrfxw1/6k3HtmStvPHlsbh//wj/aCL//2XHDkv1bzt2f4UB
/2ccb/7xI39lrhjOv+hlMK8w/T/SEv7dr2Mb/6+1hQXp+3vkyt/7dc6/THZc6+Ad0RcaUPpsf47k
hUGGFaAEhviOwPqt+/9kJM90+cdHl9p4fWxtE3eWhajIvHh0czkQ/DH46X2GCgj+hmXoE06+OEfK
HjWC0abTdnJfF3rV7ZgxGb69GQEaBnmk6nG6bS0IThs3p3lCdZb31jnxMF1PH7AZabkeOHlX4kqp
8kO8VPp43xet/pUh6Agh0ZVV6gWdkXhIrQejZipZJ2buqX3ti3iL8yk7lVllvFpUYfhxVhuOtj5f
k+PFJzcXLaEB8RJMvVucbSgke8ZdS2j5hX6HowugOcaLAbsR/YScsVjTQRuxhPYO1fQLpglWWJvh
dGX57q2TqPSYLkt2PeUiPbrsGT6N2WBuhd4ALKWJn5w718uTUNbTfK8GBJ1hY45lt7UavvHGG5Ye
ZGVbNCFVf3LVRjlsPQjyfTw6L9hd+ndSOUl2a6OACmXauHdpp/MynlOgG0HhzIioqeDZyfkTEFmp
9+n86No9ux6uxPwczXW10XRfDbx0o/gRdEiErB6zFeUwH/+Y4kW9WsZpeuYFY9h7R0z6MWZmvPUd
rLcBOu3S2LnELcQbN7WaD3M3oZZFvysDzyXmRpOVzi7T9pohIGnAI6tmdIFMFYJbIltSsnHcKZFL
mNlSdqFTuPPHHh23c883ATYJiq6cQhBWU5jqg7WVOhVUqWXJq9sVVONxmh8kNoTdGINTtdt0CIc6
cR/aRUDnrZI8DtEV1sxTyu401yLa6GVrPIBSHbeA7ag4hTsjHe9s5+uIsyIkUmbA82fAJE3mukxA
CuMTwjJbac21iAFp3OjVgPn6ZNJ68ZrAt+GKeltOhGiCUiVVcy/yNqmPS5UaYqNb6RxXmwStQLcZ
SknlHOUYbDDC0X/GXWUICyHtwtl7YBSzUnIM5QKeqNIxdLXJb95T2LsAKWqp07n0HYioekJDyZqm
FbFjIqo44Ybs2Aw0cfK1bN25CYBeMiHH6lxq14rsHgnAfIJEqnnptWK6euVE1fjZLBl2w4kah+1M
vTwfp3imFJPw4YBi4gZJDnNWmPUBvEbBYNSYeyMYQTL3B70rXRwUaXqfTjSMg6RV0CLrDqbIvkZ3
gqu3mVPwRlk9jEETNUpdg0sbgKtqwgrqhKsJVahURqAjNFs2mVb58T39kFQGXTmU7s2Elu+2kPaq
9naHMImteOaOE0wSM5c2bqG56a1W14XaKYbPyYZXvNOFZeGNzyYh9hiepjY+reCqZeqz5cEftC/a
4lc8U5pTT4EHMoB8I5A3y66HWwHeEWbM8xTVuth480A80uKZ9Z44gg7yub7uvYh76fsDK9H8CHBw
qo+YnqmJ0qLAYVXoiTke3SyyjlbddK8jrQV7oGa3Ulvi4MlNZuxjDkyKXuQ8hV6jGcATpH6zoDl9
AL/E8wi1KMOpHbOa2egncIe0GWRZyztlmjeDUB21abqeDBKqXAvSW8iR8r3nRXJbGPE6OuZa1bu4
WbIQL6j1oDWzrnYWRo2Qca15VTuVv7W8TPO3WooZFFfZZDw1C1A63SpMrnMu4uyla13g7HqvvcOA
pj5KfQK119VC8KxBWQopMBFGGQ5Kc6RFIigwnsutk8i4u+IvCJCMWkMdhZWHKe7G8RYqKSE1G4TC
zMSn0VE9kSkTTgPIVZPAl3hjO128zuIbddDazqq3UV+OkNVrmNPiBkz74G0gLhRPxhxb79W4fBDc
wj3C/ImCBe+meXC80X1w7NQI4z6aw95MCOPwKyCb1dKb20LD8BhAsZ/OVSTFbVGadNiBAJbGzdjV
9c3SL06299oa3Fo/PcfThNIFhA6bOFK5Co/Gl96z+1TZNNyUgN5ul9mQZ2p1hDM176/4wZjYgtIx
FsW8zIfScnvXhvcLsjo6wYYcvVvh5cbu/+qp70F4v0yF/E9xhCR2FS7/9wnoFX93+JLPf5dF/vlD
/xE4Ikf8Q/BvowX/dz1FAjSyP8pzE7k7Q9J1ePSXxHGN7DYJO9PZMzimQdH0Vz2F+pHqy7d8G3e2
8139+Fdc158zyN9F2Rk/7YRM3UBjySB1DUMyL8spEBFJ5y1RfFIEViWBZRnuw2ggEIR/0+/TFsGd
0l8ywKHHphW8/cHB+WfFXvjAXa32Vmu0e978uv7GJgIL4Y+VHuJLTomtU+M5DJD0yyytCRGTnZto
FqhtmvrO93P9zlsc9ErZd+2SsaqYvuuZUhzgfWz5G61RMgC0je7JqyrjQTJkRg7VfNdGLatMCuMQ
iimcrsbHEowzQipoFctuUY7Gmv9da1X+IbwSTq95rKfREoo/dFl41FeVFo5CJFvJqt6q/1By+XbR
nlkiEXgJfCTlRsMWdqKvDMPdnLPt1PlP7R/6MH/0rPvFcAbM3uRwjF2L/84vTKZfkKLalxL08ZmI
mTrbKEHERUDSII17L2duxYvITIpTb9VFvkvVDK+cuZF4qFoZ5mM87qqOBnAUa3vINd2pjTNjPwyW
/AJtqsPoaU+hk8krI65PGFjlk1ul073hT/PeJcDjijwFBbhSaWHqLi1AGj9zbluSr66rONmBvyYp
DLVgfYZC/VG3MsievAfrcGHO+mxGRIwAlbLHG8Zf2sMy5P4EKnmWGC3VdB27y6MOe/muY0C5mXhP
AkYdEXzsvJy+K7rUbAOgWCL0JzQBtC8C1TOAi+YMC8uiuvPKexsYcaICuss4ZqtCWu+yuEOBamjp
OgIFKxuZu9YvxqdZ1yfqM6s6Tk5j70HrVLvG7ZM8MDpnCCT2WGzLrnGYrKjZuiAl8QfrBFboTX0U
S08fu42dB856e+WxIyAcp9BPsWH5Jx8f2Ckx9CIOo0ovnpvekE+g4LLXdgS9FeSD1jwyTVhurcqc
ri2lA1CGvLljQLC2dPj2nan6oIBItjXTunc2nHexW5DMIcXJm+Rzzm2P7rabqK/zbkMk2njWXTXe
kqumruxRIjMUqb8XbVJse42hrjmmGFlwhZ1pA3W7QV+QgXYoRMOCSirajciX52BphfNs80sCbWID
AL122FKqGp/NOEtA/8/zN5OW001bJgI+5dQdRCPUGPRZ5nyU5rzgQGPqcsQDm3Uh6NoZ6XHvVvNe
wVqj1qbKRlXWli7RAH5LK0i3/Dlc/bDLxpGR9mRPUnc3Qiv6oz91xpXfwKLaTpzHo3KXThJSR8oB
e7nqikEGZ08MEZkuKttmUiU74P4kAFTw3b6UoxgdLHBj97SMTXUNXxCgb7O0+Y2NNG5n1X4UmF66
Pl2J1woivUSk9gpeRxGavT8SY6Gn9t7NIb/ndPthPi0vrlomyB5SHH0nqzepM/slci7o5KyE40eV
gLPbNJ4zI61je4jiLkWJFMRjNZLMR37dpypyieuwW7D2mxoRiKJj2YjjZCzInxiGu9nGUH1SXoMP
7AnmmQl1qWOHYCDJIlIGWeQVdzbeMKDgaWzeyUKMDw5jbSR9VcK8bq5kcccbvoHf6VEUj7WqNXS0
RoNBuFucW/BSEuSYX9Bvopn6Puqr9pwOVl9vp8K0biLchtda29cydC26j6mX1U9ubWpFaAypCPWa
/+5wj/rbzpiZrC92dzNC1b5fmRbvqEmqJ8+mVI9npLdlM+ZblmcWX1vm+ZcsRs+H9T6tctTAnUOT
fi605wZh5xigcPfPpjV66ZZkmJiL0mD12wm99L8xPWpPgFHHjzFc3YBprmIur9rDVDfhokF33MRs
vg6Q25VOXzURV4mvsp07qu6RVAHoHxFUgwcDQ9sHupvpmbzU0jhIIrjuhYBRAWSuz2EWuYn8VM86
IWfCqFgdOnYh28gZ8s9J67cGhf6kbnqvhPCENmEFUluriD6f++ROm3oN+bmSHK6Ie/XK+u6ffUwC
u9Z15CdHI7GKWaOOPJi1eZcxxjl2DGO37UhHl7VhOmbYbZ9Vrgz+4KZjnechB/IKmoxEHqR9S6IF
hLaA0UZC6V4bse2zAZ5Ntou6NNoTGHASXLH0D1c9mqbvl+2geYSv6B1M9oGZqqkMdysT50tm6WM4
euwemRlb71OjJwaucd17DLwGRy2/mK30uRHt3LpDw32NTpElxy6uY1j2X9iwHn13KDeODS88NkoI
sDo6x4ZR0e1s1+5e1FrDDxBOcVfxoAsyBLzx1h7W7bU5mGGZzOZmAO27ST1d+wRDqn3oTGu6EnYr
igCQSPWRJr76oqxCXuWY+UMGXtN+rUteCi2vv3CX2nAWZhdksMhc5W2JBkvI2VBE0vI67a4srwXF
Q4gjtBlDLq7YDjPjiZBmh4/4oNPWRLRl0N87Gd2Jbeu0+Yvo3Tjfzn5lMQMXyEGZ1oEzZo7ek3Hl
Je74ma13seybPGWKPSi9+5hK8B2UcFyu5LMmMnWn6SI/zzo0iCmy91mGZ3Vric5dgorIkBuZjuwf
ENmZd+zLxZESq/4EwL7f9YNWhjW4DtonbPvpYlhZ9cmClczvTNVXk/yrLbxAaDZu0pU3XiuNa8ly
xlMkAT3H9LBxI6c6UMkCfDQ3iGvmn8H5fJQYtkME4BDyx8xvTiBENIDxo6eJjUUnJgmGIhqrrVa3
JdNyvb+ts2ymb2akj1OhdCt0pGEBMS5MDY+IPMeMWzcURfYN9LMkJKrFNK9Thil2iNGEzB5Y1ihf
7JIeGM0UFcIQdr9ALWlfgBA3TJwWzT+5Qo5rgWmb3Zb9jL9lY9+LTQc1+ehlSN43fj0417hqFgH2
vBjMzaQt9CbcLFPXsIWZl42sI1nQ4VC2YRdk3Qczo8HygGC4FPuBl/4DTy1WeZ17INr6deGcVNbx
JqDBRJAqoSu4s6cxSiJerYL6C0CE9zhNhgjr1tVQqmazc+V1OQtt4lvN3qsJWL3pkjmfApb28naN
GH7fmX57NqzR/dRGXravnbjrN9DytS/CwGLvQamq9vT5pxXnV2KqSIyFV0bLzHPP7NC4N1Gqliev
Sf27eHCbV/aWgpaaHutHNBDE+1WriF1aUC7YwH4Xtzt/SN3/b1v3/7Stw8mCNvC/b+t2RU0Ezucf
dnV//Mxfuzr9X/wKhhs6bW3sW6s/7U/rmuf+C2yYg0LPWHdulsuW7699nUEOOX4yn6403jnXYjv2
Z598ba6bWNewYzq43hz/H+laLwdAvmPRKBcGczf+FevPjwOgeJz0xWvq4cAaHFNsIpeGK24y+xcD
CBBKta66zh3YOaGfvDle4wv+fbxGa57Nm0cIMlpXtryXO7e2jReSQad+Pw6mIjWDYaSRmkXIEl4e
/nZZ/tzQ/h3D/MtDYfbTEbmyVb/EtHZWpgyjtPu9MFDH0F+CByMxK1me0Yb//FCcyhULa3DRL4d5
i4FYbBaiJ1sVyf5kLW2ItjUnecN9C5N7sfX9fgKRJOuMDLkpwBv+ePkmBXOtsDmBfkrLXM3mA3kl
zitWljCuoixwsYpA+aeR3uiifmPnfdES+PPgyKLXu5jxyDqB+Ztxv0dGFFlN34PrFs4GnEayrQzR
/jOrM0cBuWlAoQS2B/P10lotY8+Sqo2GfQcoBuSCiVxqY0+tq7ZZUyKv+P3Fu5jEfj/canVG0o6B
2rnUodrMOSl4sEnGM2/kJO++uZb5yui13GDUp2Gd/TmC/K+A8J9PI69B0zeZh9Kp0S9nzFGSZxQn
9bDPdNvm5eEXXCy/3v7+e12Mw75/L5NWETsH3Ye0sD4ff7tY7I8oFNp82Fs0BJj0a9eA5e5mOj2o
QVGG/f5ovzqLfz/axa2B3jxugdoNe0+NBsJC0jQU0odmbQ3Uvt9vujx/+f0hL+ie9vdviGQeJCG0
WG7Ii6VsTnKariOPnZE4aB9qUbyPiR49kufkoYKO83Boz66asTcWQn51et07NbZ1GOKuJnfTV8Sw
mSN1htt8mSZLw0Ik/I3JbvxxTRImvysOjLxd3liYLjtr6+eGuO3SXrNXF/rlHefJGOkV/Pc96laR
s+kdmZlMk6225NGutBdyXxugRSF2Q4xDxSQ+UbagPjUI+nLxFgVxE/t3ABbiN54F+xe3JuYJA9Pg
Sk0FrvnjTZP5YI8p8fs9qHIUhokdph1JMa3n9AwEY/kOGBURh6NDWmZdLNUJGl53LSNo/mE59QgU
18mBkAR4kdGxsYwmohnCULQy4/kqHszu1nQW7cikFjAyITIhQQ8QHXvUtwPCt/c9IXqBb6Vw6YTm
7uB/YrGyOm+Lqv3U5zQCCCkagj6yfaCYkHhF/m4YPXmbi9liP7agaLIGYm60/q723eXQ0rIiZpik
kAn5yLVO9NQHrWvVPqtybWX9vOazde5JgSDxJs4PzBT7O35ztfv93frzA4KThcKApx7ZxU8GBJK+
bFpg60WXya2WDwm8Ov1opNMT89dmOwxkQv8vjmizWONgIY3gMs3e7yZF7F3e77soOhoANhjTYFAV
15jeUCn6zvPvj/fzC9ezcde70MBWC8Jlw1jGvgLLPvR7xivNxlQomWJaQVvP7N6i3/58m2Lip/mr
oyvQIUZc3KbxYKtsVDVvQU/ZV7XWGsd6HNw3TuAvj4JWhTLFYvdx6RkB0qKVPWCoveZ0OkpP19cO
QOa8+9+fN4OC8KIo4tugBsK74aKusC/WMZRvtH0bX+7ZbtRhbchsh2scG78E6ollGOakxY2v45M4
dd6Hzoz3tcjTt5Yl6xcfgxKGxjd4BeMn/nPb1mTSKpdQ9Klwccn7xS4as34nxh5tg0VWwdHAObzt
9PpbUY/uOe+zcR/burqBZm+dwGi8CXD+5WdaFSLAG3xq1ovXSiw0jZgjS+4JEKqOemdvfZ02Pw3N
9jaSDPcTd2g+FjaPMoSo+W5Y01iAKACO8ao6dKviW0HT5jb3pnBZxk9DRr5Jm/bN4wweEsFtah9s
2HynaiZiV+/fKi7MX34B4PXAhQg1QADz44IaGZ1fzt7ISU3mc9y5zW4YRfwuYRULGiadYYRvJyhd
p+eN1ZUn0gs+e6n7hJ/FPw5NFAVkp6ltotf+Q43P9ckTy7fFjuA0e4m/G5t4Dsc803hX9AVATOK2
3rg7V9nM3xRxvK2YAf3tG1zcnWPPbCOuZ7mftSw+Yc+qTr2NoB2xeNijltiwFyWoOtOZPc+Ktg2Z
a7//CNavT6K3ytYY/eAd+/EkejNryWwPcs0k7UlbRGf6Qll1T+OgYhihf2UWP31APZF8kSuqT8VB
VptJSBg6uXex3Jm6rMMOFRI9KGMsUY0OTYBWR99PNvFnDNiNb3NlGCyV7qNr0bcE9BzSsvvAprs7
GMrWrzXbKA5LXX92lf7ozByI/NwhaEYfWMfvv/DPpZuHPI4BIBUCg7xLKBWeaBqBGQtCmxUfqmjv
qqwItQUFfr3Y1ht14i+WbYSONjtPSNrUihc7ClnQU+9YdPZNXL36RKTw1sYML5jEvHGk9Tdd3Ekc
CQEgxiUHOdjFw0y+3EDUm82d1MVPZLXGuKQW5J+4cgivnnOmVjrDthMU/LfoQr94+zo4HlfIFy8m
Cu8f76A+TluSZnW5HxD6RL13P7ntGVXxa+H2L2x5nfD3V/B77fnTd2Vy6RlEKDCsvHhqyM2UU5py
y7INr86DRd0zR1Y406kPIKx/06PyCcvAFMZzQ3EjPNSsKBhCnWrl9x/llzcThk/eLJYrfpLFpUOv
7ETx/OLb6EO9cZ2NoEvKiK6OAzvJXn9/uF+8NJ0Vjr4CvvB5Xq7YKD3yuBwmLvLcTfuYiBDwHV7y
xh7xl+fXoJPBncTpBRH04wXNJLNKQzRyzx4ZKq2aSNKsEP0Bw9COoySkOlakW8JQLrZjFDM+UUax
nZR2tSwo0X//nX/elHsOhhyTTblgXn/5vI7zYC9wwPgwqtcRh7nxTnYL0etzHMQl2bWNLKs9Ni5Y
GPmgv/FYGb96gqmGONnU7R4euB/PRU+UtGlh6NrPhkheGrfTEDZ2cX+Hc8kuNwDJHSegg8qATZtX
64dy2sIO9axhmohui+HnCPP5RiUWqniz7wcjsGM8R78/S7/4mMh+ARvy6FPnXIp/EzRgs1057d6Z
IiaRYlFbIVt/Sy2fvnFKfnEon/XT9fG56fiMLx73NDNk03Zuu++XqHxlUO0+MCMrEZc5+v/ia60G
X4h+a0vtp1WtWU1fjSfavW2m3QPiDGdXz250BbWaLuK/G42/6Gj9YhHjSLRFKBFdmloX97yJGANV
G0dKLZ0Zc181j2XcmlvebsuG4HixEbhl31g+fnkq2V/T5CfiA+zdjzdXHOtV7yd2u59NQwUoBXAD
ZaUZIpOUbxyKKDh+2cWqSaUBT2vVvSAoubiTPQKQB7Aj3CKiwwfszHMPFSgR4wJcP6qKwOmkGTrU
5JgDLTVqO3aOw7RdJtcqH/Cg8XClDBT9YyTn4r3ZKHw4WMy8IWwKEr0x/7XJ5xpyyk0OjlPu4mTl
yRDmAvij4itZgevUnhf6yh6NHU48UoZsLfH36czoZguJksFqjJLuyRlMpFnoSW1zlxlw6LcWKgXz
mal5Wn5zMpol8aZhB5MwsO6saM297JJ3sqiN+VhA2rb3SWqUoE31xjiVyzRpeznkSt7aZTV4NwI5
avTAvKWodvxvbdyVI0ykaTMIPwdcmisR3wDzYCo2MOQEiGy3xaMisiY6dZVWHzDaVdFmjjuTMPEk
fY/P3gKnMog6O8JzjZvAG+Aqr86bGYVyM1fddabYTmI/9pux2Es5+nk4KRvFYE2ItX5VajLS6TuU
jRk2pb0WVykBLJ9dGdEvcfE5BosHPPmxsTEe7eteZvP9GLnqsUpF128xh/rumaQKL2YOp8gQo4id
dq03+elOkPlJBE4TL0uArdXfV+t0bltEa/tP10zQQC2jpnekWBbBVJS1FUiRKAMoZGMfSm94oM+7
G1AEfSAvvnguNE8/92DHN1GZTThpmeVarX83FPOOQfhuStzqzEx+o0QSbzHAp3tT5CMIybxEkKlO
lprHwGzk5ywHc8zcMgqHbLJ2BHN/FZY2bhVhtXyGzt07ctS3vkidvcDds6FiRliKrvRKimZ6cXsM
oeAsESi46vPSOvZBQV/ZqGkm7614D+tiiy+6vbd9NNiGXqX3OeCqYNBT4wqiV3JjjVwPdgtkVmO2
nhbL3tua8ZCm2CMSBnfHyBdgmrJ8oKiQbkDGIbIB6S4PhGke214gVVwILU2X/C6nuzSNojvl02SG
uHERt/SAuDMy6YPczcur0UpwT6befeSJc6kl09YYvWS3LN0SzFo/hPCFTFJ8HP0cxUXzqfKkfl0l
LoQDXMbhpPfdq6O1FU4f1YQeDeu9W9f2sSt8/ISwwI9oeMwj5HNvS5PiZBrTDsOescvt+bnUh/YZ
S/nBtcUj7Phne4pgtuk+jbohei4dLWben5feUQ1utVNaG4UQQp9y34tOMrLSEL69t9UzoXEd2oXB
nU+OMfuGc9pp6r6NO6J7B6g3oyWv+zlCrjwt6WbWqm+yxVLtWX16gLhcHqrSU69CEvI7p3DE8jBX
ab/MwVC3xL+xNTf1LiYjJPX7p7yGbL8xuXk+QBmwptBt2UfwMmWRyOJh/Nhw7m8Jc0lpj0QVsi3j
iOoJs1rd10RHL94V/4IQgwdiG2FymOU1zst4lB/npHNlu8EnCqU6XKTZfdQMa6dn+NE2msln3rua
WX+Z3CVvDlYO+CwsvQ7o9FwbrnetaU6fbXLXw/GNtsjWTrRndUmTtk0PXceZQnlbFeGCsOEpoat/
bxaZ+QQRLk+PY4YQzvbT9tZAVbKrcdUSS9vSjEtSqb84ekQ9SX931UrpxVXDS/ZLTyKWsy1mgruz
0U6t62mSzqNQefTq09wfAqoAHHBNpPRwmb3pHXOm8rVD8UFmUSmNT9XkdiFbNPvOrzD8A/TCUJ3I
ed9TsTx5s8g+Kkag3IzFtAVQ0J6WNXMqnRikm6RVf6ALxxgkkwkCazVwJySW3z4TLtJ+aRuR7/JJ
a5/dlvDtrIt6ksymHt3crMsPdt2S2ezW4xhicSv7cFgkDwcDbwRcjPTD2GHCDGELk39r5yFJbyaG
w97vdjn7pvJQNsAVGL/H6n0bjfGy9dAEE4gTj1EaoOVu/aBkNHhsqqRY70FtPMVE5TzqZcLQ2e0G
cwcRuNHewxnjK7pN7idXsbnwUZ1cYdWdhvGGnJAYeQ4YAGIrlxtYXN61SEC3NBZkNIFC7lH1pr1s
qETak9MkyV02yuYTrTtzS+PMvmMu3Trbqi5ROA5TviOJR5R7aKnxXVE0ingLO7HveIhaHiquLk34
9pSXPoTmJGleOhV3xNV3xpNMOd8oAOf9MqP38gh8OGidmIm8NtuHxu6aF0z5VRdUzoIQKW8zrMZU
fAfAU/xaDaOt0Yn21BgYmBclm5d+brpnlXBeF9dtv9RG3LVAHoki37RVGZ1iuhH7we/lVx9q/51Y
Wg1YRu3Hd1Nqr9gFB0j+1wW7qgdY0BwtAb1hhOp2bfBabsIRc3OgIf0iwaxK8LADsIskFEEdNbox
23cgdaN3Dd4SrMpD/cmJoWX1RLwnG1NbImOjPIpIe7DMbUwkyGnu9CiMtUFddSVfngze6Z2nZayL
cZQerIafbnQtvhv81llwZJAYs6kwBd4Jqy2QAEWrjdaniROm+Rid8APwFwjZAIwWj0UfZktTDxtU
gA1trEp+mGea1rhc5Fc3FnYQRXNxNLp+vcuHpBmYuZj2Y1om6r2o+4F4lJoPWUAQPHt913y2ssR5
1PylJTujGpM7AgoqYyNF1T0X7TLde44c3uvNlJ/T9XKbsD+v7cwAZiIUB8o12AyuiyuSIiO5E5Kz
hrd2vteBQ7zqS53utUnY1YamfXQ2y0wcW2h714418hvrJT9Tsk/vcHbIr8uohHZaOlriWw050KtL
rmgVREOCiZZ+C/Q93JFjFTha7Vas5EuJzUBzorNI2HJtmgGu6rFUmJH47txJC+p9ll5HcKexZiV3
RZ7VRlAaS32PjIYmLtpYrrVOwpLCZ1p7VeDL/rUG7WkzuygzjL4jVtw6M96LeGV9EIj0zVHZAHnC
nNoHVosFaVfWdIFjVnMedJk9fCM8Z7G5Zi73ftNwWhze5HKvj7nRbUg6NJ4Ws9DOfq+zmrmO+jY1
XvtAzBKN/9Zsbns1wxJBYPVg9F58BwabkDp/xbGsiBvWMTgAs7eimbS4/9AiWdEfOs2TrPF1XtrH
eq45eWAhbtgTR7sGAz2LGHgt+qa9hW0ssrxPi/T626hs4r0iZeAgnJJLw2vz2upEPmxsN07vHSGb
XVMJ+a5rFI6fJXmFs8H/JZumCSPVWC9IzojsbmBENGLGwmxNVWAry9kbnK8NE00RoprkOeytcj6T
XrTiltg1VCKDE4MOLCi0+rH3xQ3M3JVMo6fsZbouHAc/g3TvnfQBuXFWNh2Hxbynj5gdErdk3bAW
xut6qt1MjtbcVbMdPTrgfpCMpgP20bRcNkbFsLGFzXS00/6k5rnABD+oGz0eO+TKbnWKk2reUOpT
AoIsQTkUf/ZB4h4JH5vOea2sr6oQpzbVDZY0jz8s2W4rvIG488QVxBfxgXqbEHoCWV5IOmLOVPe7
hM7ysY1ql2lZQkGqsnr+4JHVedYrNIDEyxwcMKOhP2pwf9K2Pnjj8pn+X/kxL2Eh8s7hJGFSilno
2eEE7gzjL4CrI4+5hlJIRRpeQNxeOzkMDL6MoQmpUMd7JJ8kn2SZfCSx0mGp8+PzABGc3IPIvR90
HwEW+5gNm1Lx2U99570j++KQpu77KdPLPe3ShDqQUm5TpujNamz6N6lH46Y2zGNkLcYLLu1xB+JI
3/8Pe2fWHCeybu1fRAdDQsJtUXOpJGu0rBtCsizmMZl//fcg9z7blvuzzz7X+6YjOqwqKEiSzPdd
61nkmZHDhmh0PfQ8jIj02tWQUioMJ/RRLC7E50TYO8K+yi2PExNwCQxmFTqACRYl7lsPFPfzCIfk
0su9GdVCLu6qaEygGXlii8yeVBP08g/QdeX1BNN4i6ZyJCKLdSHIh4aMn3Gsvs20mky/Infpsk4Y
BnApQ2AykBaZ1iogMiLHCzhWmGNoIKw8PDh+Jx0W9HiMnpNpTI9oc/dtWmfJyhbaRTkl4/Wsm5/B
3eRbHsVtbM0JCzUbDAJRa5e5sIP7LC1ZZoh+mzIFJgh+2/jG1Zt5neaWe1JTzOylR5vIzlIklI19
laNjhlAzeAZNi2w+TFPZnx28mgVrNC3lgXOKYxWOyRXxFThDaxzSPHdNwbY0I+APTEM59GcvaJPH
HGLeDkZkwSsHhNqqnklAJiNBAwgVWPXFRDGbXZ3syarqSLE9ekOs39hSHBvwj/sAbXlPgs054y6f
VLFI90SJ+54Gz6oYVHtB3ZeYOpXsSTzzHj16puxznpuywEQZgaCsKwLCEllE7qrvW+NxBKd0KE35
YszOt6Ap6ydWrNlTpvKSSUvhTiXKeWv1XbhpkYpek9WI7pxwGpreXrtQJ4II86I+7kk86qEyWOUg
1r3UldzL1MAhjp6vvNKGBQVSTLK8onxT4rB1E0BaHRk4M2PUTp5yvLXXZu3m105MHXkVw+bdEVPW
vmbK1F8KsDKvdaDPFXnKfGGNCuBoYxG8nYSJa69hxcN9I0Bsi60r4y2hOdYhqyCWAMyuvvC2pHY2
w8zqKPrzT7AnQYMUKTvTFEn8kUBG9ZqnZfuqOkURQSGAfksBSRFZMrfBk64S4wWSPW/6UkzwSeox
eIKcySac4FfN86s5UK+aXWk5FBPSBDdzahe3WT0yMahoHMqtRFNcboU3UNHoxojhERHmM67QBZe3
ERplmzVmGTzhJuIzXjWCPpGJl9prgZwdUpOFxnndK85yk9jIpdYFKi10s3h481UChEKd4tlu2Tfq
RW9E/lANcbhl8co3zxouzoMg6wnEsyDSZadNyxKgpUMKDGkEoJVEugAU0eQsWrPA4S5pxNU4fjZ2
wVPf9DhMwy4GTBLArH4zO1Suq662QHMNwvKevl9Mu9dCXLq0J2PQrUsOlTRIyYUR4pQ7jE+hb9WO
SjF9LEUBMmyLWxv9WLHL4oRyD8qCmA0mmdH7CqeSd2XWizmGxDn7NDVteWsPKCq4hfRb/SGo+X0p
mdfosCs9TU4KFUO/yyeEH2evR8LdO9RGV51pV9HZ0YzoLp16c1d0RfE5R097nUqvDvwKlOLdEFVq
2o+U4YMr0fGj92avc46syjnruMBiTjlrLNDNLokuPveEZ5fafwRNDpEqNBINSCGThKleY3YvpNGg
0b2YVK++EQuWZDuva2oaGF4eJzvIWeaILJTnZzVwO+d9Qf3vOMRKI6umbFnR2ZGokgPOVIooDb0V
XAt1bCNHLQQbbl7CvL98uBxBim+iQ1ZlzgRHXkW9pfv1soTMZGG2YIrN6N5ICBTEtqEf6Uk3+yHv
rOs8dMcLtEzxwzxHw/2AA+V7Wf2/qIY/WAslKoofKsO/ZCeQM158+9rGX7v2Rxnq94/9m64KTBSJ
EV2fpRuzNFD+VqFK6y9EBkBAQC7RFYLN8D8qVGH+tTTHsM4Jwlko3XEef6tQoatiLkSxBMtyyZLx
jP+E1vC9WP1DqXeBW1ugQNCD4n3Sf2lL2Sa5VQ7lhH1JwvjajOJsE82F59tt+zg56QuEJN6vhKBv
im70/DRxcICNU3p0DR5hvXXv3N5NjxiG0vPYZRe9C89Gas6liYF3lel4TWTSe1AvBaL9rpi3wsp1
EHYVomu39rYVnRAfDpHnS8+8fi9G6BGVmYT11MaoJeJ/g2MSeMs7DzuIr+s14K5UPRJ0cNfZMc9T
VZoLq/GF1ai+zkh+XqXG3PtlL5tD1TePBvwSf2Z1DHPA1jaEnD1Az7lJLOOlp7rJZ6vHrIzfSlbp
q7GUMeVn8xqKhFqZLMJXJA23G72pHx12x0Q8swkaNH5eEZL7O+aFDjOdKITGBY7QtptAcWl6L2Bf
mhMWnKRvZqqNK4f9y6p0G7XWa74UWyMv9jS85ydwGXT3QNqAWgcNf4UnjUZkJbRNFFDf7yJM+Ilo
qm2JV2vt1BSH+1RcD27XbpZPJiB/yAAANzebVG+QUCpY/la7sVtjvg7L7Nqbsn6TKQ6J18s+2aLm
9Af2zh0wjvX77hhu6T0xSLwaJFseryzepoL1cW01uMUCrOdDOlFM97Lwa5Bp+MQxTXq63m6w+lW+
0ungR3nCDaYMAmy+N9mUeeoucIP0ghA5Zmgtm7fVzCw5uFw9a8FfD7Y8wPa/ex8kcT1RvBS4JStJ
UcqYmN7IW/Ab3bsbXPoeJkA2Fir2dR9zUmGSigPARG9rJJ1aAw0cj9JrzQ0Gcn2tt/ytDogDIV9K
vq8yNxJIAa1Jgg5mk4HVZTnLHtu+ZDy/jV5qrZAguZQr4xcajNz7mf9LgA6tekMr1kPrKl/2JZ/J
uUoYuty1Kan76Bh0/EY1j+/3mwmZgnzGsAKSNdPaYMhIr+HW1zXeH8fNjroRvvGQM6od/talksNy
kaFSLs9CWLfTfRbxv46bvNCd4f6PVCF6fC6XHZdLCnk3zdz5oeY5IeI+OA4kYZ4ppMOjkOpRwmLz
HckddvGpr0CiXr5fDFpkQCE1/rRK8xeC+sxNoFOYykxSF0F7VcjQVXCcCs+4yRVrWLMa8K81yEms
tqqI+jNN3mGlvs7Zqq5rveccwkidiEGgx4xN+sKq2UvW7WxuUhxrZK5bF/HA8r3ocLNZxbLRHIr0
7BKesrZ0JgK3xyKZTmFGqTh9g/8fX/eRffn+eFnJPO91A2TKKDJQ5eWyzgLXBMSD2y0ij81DpBds
RZGK9MbyGKZu6b/fWy3n52sBBQ9opkwhDIGiougHBQun1TLKZ5nOW+AJwOuJMNiQEettMVtnaBYZ
zu8DYBnhPOLXsZiLnTUxjbEeaTdi9ub9+21uuwG8Z8MwGlOz3fTUZ56r2Nb2dsRPnaGp+kQKkGvi
WcxedvwC+Y5bYKRvYcr5eRZPj67xNOdW6/lmYQRHvemKCzIGxkt7tHfukLxoYTytNJILL4LUTDdE
3sV+N+vaHikjlcfZNi4miQhJOgyyIreKC015HJ1+AHNvjkuKycHAhMqOaedFGXUXNmgXgTH0vlCW
48sWS1HT2GxlTNUcBnLRkWxhOhjjXN9DfrMI/guZFEODyW3g1mkS5n/QmdcUdN3dbFBxrFomE9yo
vW+z8fYpnMX+0OGK5BEp6Qsxg+VAr77PTaZHWfH9oQX80+PB0e747uiT3TAkGltcY8qeqE9q7spu
y+W1MzCY6pFNtxNz/4AHraNaLy5Y6Y2XnUzfkF5zaSaegPdrjXuDPkHOV3YG91UUDhECY6vWGroB
FlM2rqVMCz6xjc7XTgkI0Q3qt3oxM8Fb3PDQs+Mj1vqIFTbeGk3zFW+cvSk0A3pELR/yUpSbVIvg
AMOLKSnsY98Kj5B32BFomcqMNVg4fWMisEV1O4J1W0MCfErtJc7VYUXgbBCtKEJG5yZ5MWGBrY0q
8WxyAsw7O0yztXKHKjlPoeqOMdHu7sqiNgB4LTREt0l0YsciuKafyN9wMJc5BnEQ20aNfeJPKfIH
wJSN2swiqgxS2ch6qYLuWaO38arw8olYp5gZWmP65taWNsMl1OaZNhrWxX2LEGnr5Sn0mVWj1ZbP
9p1nPhE4z0NeRWvTcIOzN5QzoD6LLetlakauPFAqV/mecORWe5xC1qFRF/YZi1PPQngO69jx6ymt
40sbdO9ESHARaDc0VdNjJJ27H5Zi/9CkX6QFH9Y17ACJmnIkmyjvoxYk88gGpQXa7WU8TbulgBan
vFyswr3rmtJiWPHUCep6698f94PMZ1lPCXYXCxPB1aWlf6BfeexkJ/oG3d5YGg0jkuiVFaevxaCl
q7FK/6Dy+aAK+H40iSTAFIanewsJ40dzwTyEmojnottnEwNkWQl4aaBtcBjo33/XfzcBf9gEMIAW
UdP/6EN+2QV8jtXXslBx8eMe4O9P/cuK5vyFo8Vky2/iNGA7wKD5exPgmX8hOYbMRhfJXTTi/NPf
VjQh/yIzclmY8y8ITX6worE/QCeInwTJFRau/zBF7echS+Ifga84IejI8W2G89E2hUUuSjs7ck4U
Lpp9s4D5bYPt5TxNIEnbRtl/END80wExXGCHof6LZIvr++OoTfnVFTnp9glvlbs2+iHezR5tAwfg
5z6clPGHoNOfn5LvP1AuUkc4d+h2zA9PCZSMGQe1FCdZRs4za1LYu0lCz8zu490P9/6P0877objV
3Gs00oD2PmqDmgi0apca4pTmMNhjiWqVFBrqPoC6iHWYSVWQaWJc/i9Qlv/wKxlJNqPBxQP3i65r
qNN+0mn5nZRJs6dwK+p2ml1A8O/DP7q1Pojl338oI9DAPeXgtUMM9fM9HEuqi3KMxWkocQStZLVg
sYdEh5rftxJSVmElVXTM6TmTFNNEvXoEXk/RbMzgKutm4f1Bivjrz3d0BpODbUY6hBl80JolRhQQ
7B6Ik/uesuDllB51IkN2/8djGeyXLZyiOOTEhwEV4tnPIvoCwLuAedPYpgeIKf2mW0IAfj+gluv4
7/fYcp1RHqOrZLdPQJD+UVSIRB7aK2qzUx9Eb8oE2N+ZFPx/f5B/unZMQotfRDeYpT7cTLb4AlFk
Jk5zqoCAsiaHB+wA3jfmlArY7w9mLFfn40+yTIoXFNS4hB+9k25Ag35GOnFKzDglG67nmLiyl/yR
RhGaQDDEs3AmHlLqlDekdVgHpJXW4Q+n8bPd4/uVFUx7tMIWTfLHAROYBkgcJ6WV5Lbm0YLKtzg2
6cNVmmKE1hhyN2lqNs6KzRb10feH165AsTODNPvfn80/3QFBgVWwTqWj8nHZkGbkUORpxcO7hC/o
OvS3gT3TSbA/2fznh4I6C88KTzT2sg/iPlqeTYkm0zrFNpfX80IeWQQcTPW0nMvT7w/281TP9C2E
jhgTpTmGgV+HL20pmm11hdaFLIWZrKqm+lJYGVEZA1X9Rbnl/mEsGx9Wfhxy6bAuWC5G88Ii/Xlm
qtIZATr1tqMeYDgWLh2qlWJhfONAzruJMclBgLDpsEcu8pr3DAwsc9D0tIJGM6DGej/XvP7eZxAC
CiogybMJkDsgCgKUt1H+6SLZ76/Yfz8SizmM3E/JQHy3UfFq/PmcQRYkYswtcVSZnm/1GcFMGTva
NjQULeFSz6cxBAefNCXdwKSasGvzZdcNoOJ8g6KOc0S+wI0M7LB9nWFwv470NZAERfNCZK81Zl69
SYx+ZRsDXRwj9MRzHbmQvaGx7hExta8NenIyafjcWiUIawYzqb+0vSxPbigsmldcQEIQ0BISAkY8
C/VO76GFhULdxwtqY28om68m96EB+u6RZuNnTRyw5eti+tJZUXMMlyvtKHQKdY3vYyV66tr0zirS
V6OSEfI9GQH0zrzTMLk4xwFY/Um1YQ5CvjFIwngPDUrJhv8iK2RJx9yI6W+7rFo0s9X61Qy8OH4y
Jo9bJmfLSdPVAMn1gbo5Y69NnWeK9ox2QXH9eTI89UolZ3lD9739nE+p+ZUukLnv2QzeNA7QbnuQ
tS9jNjQr5t8eUTfQz9w3JvQEmlXzkI6L7ifA/GSNgisaIA5kHxDvAstSr40iZk0rTeOOssiCKUSJ
eaNUOD+YPeLuyhPcp9whIsUYG/Wa5qFprhzqAZtZBYblu0skSldN/BWhj9aB8Ae+BRgUaoaW6yY6
XdXf36gkhi/5eCCUEHBFTbIHxEju2iQlI1tEjphWgKVnyX6LhYlGN/J76oqemEvLfXLGDRVbcmXs
IjMu67hm1KSWDs3fSbmaU5JU9C5Ldyr8flGcsadkvtTgkxIEI3p20eZocjKY+NJ88x4M4JQRz1+p
h4u4dXZREGj5kgaApsv1AyQxYE5psCNTeE+QNAqLsdwDp3xQOsGYO7elxkFy3fipMlzeRS3ErXEL
OJJFR1vgzfcXctF5ltmMSzjO7ee+JH7AiTqYOTRJMMhCWmluQ2s291jPSCA1Q0c8FX0PJWmOp3NW
99m6JgwLCauWGe7WiPXmGGdlfwgzfNorBU7AH4q57Na6Cpw72p0xCgtKdymYhmS6dEHknXIRlXDS
U8/zoX1a/kgP3p+KeUISqdv4ZqOqOqb6EqnHmITzqqviuq0UBcAk6PJvJT2hN1xl5HmatLlpASDB
mRCjjH6XMjP5c8bERUYYOPtWm6pHJ0sbtYXB53ylPUniY1sUF1Bim3C7xG4PhLZW8dpIygL6V1de
eklvDESzqugptJDZULWozmB+nV1dTITXTC1CfVcNDhpJWKiUUmY0V0N5pC0WTiu0qvNTkdWYsmwT
abDRcxvdwEasmg7FU1Ilsl0XfQTpTkeKuyxGKT+NNULxpsm1Tc0acNWzeNlSC2qXiSlYFaUe3HSp
0g5Y5MEeNZHaYjCbvgV02zeRFmvXk1fmjzEqa3hsBUb2gqZ6Ar0NQHTzLFtYsiR2aEhhc6g5fWNs
Ef7xRa52KcZIZ/q3grJcpQ1sgfUCXS9bOEuAte1VQxUmxP2sxmq4YKXr7k0L2dm6QFuJ3TPgQCLz
AhTDYXRwy0r5WatQaJSTtjHzsruvUgebX1+obWenk19E+tdMqpKGfQxLyUNNqzS8Rl3GeSAcoClO
NCXUaKb3C0fUw6oKde6oDM3kooRR+klvu+oTYU4Mas1hRfY8BS0BD6icCH1aUp82ZdUSdYVxgwU2
ih/Is8y27WvYAMvyy9kzAOvNDFm97b2HBlFkuHG70SY8Mo7GYtWW1GxX8OZo2Ju2Vn4JDDF+ysZa
Q+ZCDkirPN7HLoKVGKmlKE/fA6p0Y8Thk8YtU9B7dMh7CJM2so9CIc4Szuln4452BY9+h0dhL0aB
1NumQ/SlIsyJU6NsTlMmK7IvZlmHrOci7KOGVS4RP0akqvzJTsh/eZuqXqxUL9uAOmerNkUihm+5
O9R4pFLN/kwbwTs0kaf2WTlB9y7GMO5WmZFEL6pvnxMUBRtbxGHoBxPTx2M2a512GyPds/YuRarL
viGwwMnidBMNQ71PNGfeTu4SXuqFOQ17KYb7njLkjRNWb2Y2P46UXq7S1mz3zKsScJdHiLDoKvM1
bKPwdY7j4TbssL9+4olPNjVJQd5KhHLhhkXUnFZ1puQRIi3Wx3HIqtxXhAVNYAihBu5hFOsnUZfT
uVbAAZ15jMFR52lnAPQKYjyR1BMetKIfiw2hndl5bBpxNcd0iGvqgDc56lN/sQ1+pTiXIcKdrZfS
c/pT61QgBu3AjIlicy2SEyNIjEM3Dx5eI8qTygvsdZK74jgN/UtQacPt0IbptdF1+rmJQ/spHZw0
9BsS1HhXLszqerLCS09M8bkZUW5o3gDHPMLY+WzGQ3XKpUVgcGx3J8PRtWAlWpU3O4Mpb4t4kCDx
EehFAHoukOM2ygrrzkmrat8X1nxbxRFQgKmbr1s8tiuvD4cvXdbW3UZXSsTHMQbM4LslxfKVGwxu
eumMOoprL+rUnl2udpHIubzXaQt5Prb+HOSiJvV03zF4Lgfe8G9GX6tzV1X9jqLxdCoSlWfryosC
tSoNthcRk9suFQGah4qVhYZzTfbXodlT4i/eC8JEqzdf0pEeYTNl9sUYm0yjlk69D0lOjzjazNHG
k8pamudWTkgRJ3B17sbNpGBCNIZvpel0wdbTavpCVSgOQuAbsjJn3qtOxjcqN+r7zpjUg5tNYtOP
M6HbyZI9g5ZyJYDAG5A5E0m/bqBBaARz9KrnLe+hVqdJE2h9nK0Fl+pTP7NPQegkGx8VbXyFxGS8
15tBIxW2BR0WW7W1deH/yVVBjti2VpIg+9KMcbt2jN03gNojrlur/UpGhHyFkubEW71yOmrEmYFy
Iikz2YCotMo3mMl1vG6ieaLc2lZvdjSGn1SSW7zlYtUerWFEUlWWRb0mS7eeiJttGpowRXOlZUOC
ccoJ2rUXLtnx8zSOKwDnEp53RyfxhFGP7oeQ/WPkTASPyXBOrnQZSH0VVEV2VXhZhpgC+cx1pFnc
tYwCkkD/PaD+IG0LiY/4voP9by30D7VQqj0uVrH/fy30ouxiFT8X1AN/IDR//9S/aqHuXz/XO/8t
iPDEX+BY2CTCkmFj+q6V+BeWy/oLxzIBlY6LWhbnMp68vwURJl/oAZbyFrYGYor/TBCxFFV/KE7Y
BogAYS5cLgm+Wf5SCsFfNnRlbDQHG5qcu04SzbjRo3o+uySEb8s6cYEgVVJ/UZoMyEfzmsOUF8FR
Y6dzVI3Z+zKTxkWpOwWTCf1WE8NrvoL1r925VQ7SE1VqvClJcfeNKBmvjELrviUNvVPUZNmDMGta
+jktPgB0wRmnAtkHhSn7dUMj3jdCHuJdm2vzHjigc0ti+fiHaumHLTtXADMvmSNcBq7pL/vnBIIq
9OiqOowNeyriSz2QTMgzzLZdfhfn/cMQ+YeS6c+lj+WKQ2LBwUelAE8qPtGf976mhg49TNPq8N7z
HcPsBRIpEVIB1+D3R/pg3FyOJK2lDoElGofFx0L33OHvAbmZHdCcqbUJUxG8q63tWCPGtz31r90U
JcHN7w/6Dz9P4jVYKEPU8mEn/PzzUGypIQcJewBzP4FcRRFKEocp7TULM+x6//nRbHgFKIpoIcLu
+vlo4RKGV+QJBgF9sNNz0WAsGZ3GGPDbeXe/P9aHQt77nfNIaXLpeS21/I9ufpj7yBRSPT7U0ZhZ
vsWrlJ1UnZdrtzGwWEzReNXB2L4YiGzfzyzoqk2skD38/jx+vcIIl8gSFtSZ+O9HnkFmKAB2HRjX
ukMFuoa+SS4G1pw7z6lovv7+YL+OIfu9RAqNg6I33ZefL3ADjsViHZwcKmOer9/VPK3GE1xFVRod
JhWTbi8LL3X/cNx/+pE0+nAGUdcilftDiTYNE2SgDkrCYqh7SLnczcHqBvT8Maqf3//GD8cStJV0
IryB23N7jV+aGCLWBqOPPNJrgGyv63GSBJXoDeAo9Bz3vz/Wh/n2/Vg2OjbYgLRLfomiIscRcDBA
1cM8zYNBmrzMj1ls9cb698f5wAb4fhxymXG+vw9X8+f71pFJ3DjlGBOmCbSIlTiQ35WYChO7iGXf
RjF73tWIODUmYbhKgg344+j8+3P4MHaWc2AbyUS3yAFBcHwYOxCTU/IFW84BxsS6YkEKBHzWwnNg
TfmxDF1Ev441/WE+fzf0/1hc5LD0KPjhtMN5h35s1fShA3I1kPEhovT+mTJefqQyP11WSRHtGqsq
FAWFku3hQJVR+sGAJxgRSDG+Gk5WN1+r3suPaVAE+1DX8iPVLf4zJ9r176/OP52nrfNux3VOHRxw
zM+3KLWtYJilpu1RTDovE4rBxqemRB0nyJzB2ReYuSRFKE1K7JpDekZiNuEpK+BqdWkpTl7rBYcx
dq1LT3OU3Do9JcV1GXmy3/3+XH8dtS41lAXRBgoHlsKHU8XLAZ0bndgh93TMRyka3BSgsGo3vz/O
r0+iS2timdxgIv4KhYk1DJR0RmKwWuV8TUWTCliRlvaJMFL79vfH+jidMzxRLEjIPngp0Jh+FBNM
rrKVGBOm87LBYOkG/VrPYDtlPCrbwKxCvxqH6WR0o/yi5QXxkCVYzz+dxHv/4efhCuaL3ilYgkUa
+7EvkzWVZvJk4DzukJ4dZEZ+F8a80aoOgGvma81y9Jd3fRVgl3fxNinVfoyt3105aANPim7R0eu6
6RNVEFLUVb3YxOqs7WIEhKjfSC7E3weK5mbOrOCtR7f64E4ZVcSswfzj1Y1zK2usKSYog1NPZ5NQ
7Hwwb+wudW6dqNL3LQXni6gQEzXBKtbukGfN11MYYPLKYMtc5Y3ePmc0PV5mpPlnpVUTGfdjEbxh
N7GrY5HXmKRIugn2M9sVRX4BrsGVJQnSXmllKhAN1aZ4prBufC263LofLKuqgee9233Y07xlfSuo
s7ejFW0U1r8zEVj5UdhMLUbTxy9dxORdwrt7C0vNNf0iZ9kI5lJ3Q3+IPeIzSW8Xu0EgX1wXEueE
K5HaFUkt6cEN2LNLI2G88fSTH5mWHoev6EZeu6Zi7tTZsX6ZBUWEMfXCs1w+q6BPn8PJtsSmjgc1
EAqWaXdeaU1n3jPZQ11Pw9X75Q2cod2YlMyuK6uO0mNJATc6BEboWEcTD+6ZKkrebeo5SrA0v89W
7ItPTTszQ1Hr156KMmVElvoItyvLjHlPE4FrN9nukiCl69GdoD39uWv0TPNN8BmfrNSU8LIE3zNE
MVaCtgrXqpbxC/rSgeSlppnCnTd7GW51QJ63hJ9b927RNzTSTa5tDgXxJQtzE0FYKZ5hvy+tJVvh
VCH4fL62aTC1PnTE8ZPe1+NVPIk+WkthxE+Z0zI1zQaGqokwrY21jMN8KIOjS6J36E8RFqb1PBos
YIy8nLdFT6ASYrR2PocDZslVwNZrWrWqn6/JmCPNZc5Z53TUziYfeRbI4DwZ5sBXDDCKJlH1HA2h
TgCKy+i1U+p8TRCN5b6L2DE4dqndOVHKBdNDMZ1DLUuOqZttvBl6/tiI8Qond71tE2nsw2EuNzX1
R4zeZXNN2Ss+6G5TnLDFCz8mYpkYMkKsDKuYj12tO3taXcFd2EpAHUD7awfFJ4VmomMDW14RdkYt
EQ9QDYJgp8eJ9cXFoEfnJ9/p5dSSzYKtDYkiNUr2fL6Ba3lL1BZ45KbIUp+raj54cX8Vh6QBJ4a3
JaTa2g5dVB4J0YHEoHWkmuUUuuqcn0XMbeNHKYq6CWovLRxS4FpbfMHNb53DPL5qxnYxUgELgFFK
ndkzrS1RcvcIhWmuqco8ZdQ7dKw9ftUWww5Us+6nM3CsaNadtVdBmYi96Iau1otXmc9Vp6lNouVg
phxBHQoQ/EHT3ceahA2UwVaVUdd3eatRRHxamn4zLORVb8aXkUPqWyqcu74PTmUhw8e2MmdCpyd8
/lnOBCyWNVJuTpdObFnndlZYVeNMHbUevSNIpYtUoqGG35ET5elhKakJiPtW6xAJJqNMuhUOmACI
QWglRwMNI4xYLZQXnZ1xQmVGvxxrrjnf27OwtpQrg27T9qZ3ag2jvmKhJKL14CxpNlLP8KZO4X1n
6sPtVIKiI1+jAoVQ9fN0Tum8bYLckVuRtu5rksfNgezh8RDRV+egrKLPTajfuPYw3MhhmjbW3HWb
5f1jo8CvericVZ1/Ui2kfsmTlh0EqTYmaAdaoM3EWgSWIO/CwlE+SpyYqYhQ+1AEvBFk6Mk9EeHz
tmP8rXOWeVusYwDoMTpXflOZ+ZXS2wd6RvXaIP3mUtSzm1A6Ip543aIJSBYHZH7SML5uiyS1P+mg
tLaO7MLPbRIOJ6sbge4FwzEZOr3FCDd4T1YyqmBlYxxapPsNPQ2viY5Wzbp9ZaID3M99zsBMWDuw
Rci0axx4cpNPzWNRujYuzbb/0pFM/taKkbKxUxjmnZnb8vM4oDfe6bBccFEMyPPLjvVYMdb7Cj3R
JQwFOsEZ8TFWiTZda2tJMubg7T3qrXRMjK75VqFr3yDmno51a51lLnSsjM2Q+cIzLqANFSxhCknl
L/Ous6DGqRlYgcXmP4kEZQr4AvRiqD60mXfkpnq3o93BAoqCpfSm9YIOlK6uZatRNagLtXbL2ly7
DkPASQpStDGb7QapZVvHbfsN8SLiPp1U+SlslbXKAyM5BEltnrmCJDvnPaG3gbHrbZuB7RVnh/KB
H+SeSbcyAxQJ0uPCC0O1aqrZvg3s2sDEOZTk783VNpuV+9y1/CQmmtrvFck7Pl1n2mZpYLu7qC/M
DOsDyuRQBeFDoY/WZae75ZU+Byz7Pauky6Fwhm6mFMA2mKU+22VpIb8AUKCIQ//iNBJpWa6DQGSH
SfOmby3b8YvWGrpr/P8jUt3KI+eKkCne6XgFoS6UvX3Jjr3a4TKWbACM8pjRcuPpogs3JHn2qXLs
9spV47i3apzmfkxHKh9n9NhIGHAgBKBJKGaek65wdyLs85e0qKWzIb+7/ixCG06Tg4Tes/MYqwWi
64PWFdSSkqx5kEAnyBceN0SLk+nh2fjgfRXM/bNOTghoHiQvh7DqWMu6hk45OyowLCYzpfxgin29
JCLL7uJNmptfB82r1jFMzHRFaBktmjCczmTqlC/SKPrjPELBdD3egaQizDsgCbTQ3LT9ZOi9ekma
lDm7znhrMAk0Kej7XkgUP/et3hVSfUWi6BKbKYoxeovAxvltrMh2DEVbsE1qtbfaiYrzaFfmZTzY
3b0WBv2LaGL3S9h5DUaDwiMnZ4Hro+C2EfXLHNtfXuzpqJEdbyYefWin/0yUZXypp3mNIrwn3DKp
lzghQAE+q6jwcjInuSZZlqqGWQcHu8xGi7Nqx70oEv0sBgrtWTrwziBfZsr9rOuAuzE5ReQeJvW4
N4KhPRo4A7p1K8yS6Wyaw1vXSszJh1XVHRDf8BoxqA4xLonK8EM1a3cxGM2th3NwU/FS2Fl61R4r
cjO/VuyNlsiSbF1oOVehceOnwFyGMhUlHe9HZeIFMZtx7+gW8gM648+aWWlvdByGi8Cdwju7mBPf
KPlaVArevUGjc2V2dvNEKm/MclL3fBqr9yyMA2Bwjg6Evb5xrIeQICUkMEyvkJsZVPmDbgOV1l3t
RvYj7VhZzL4u3a0gBWjVFO3ki1TPYVzRDJZwSoABwLxx2WPT+4aGDybgBTxOBJmIfTLuprbkVRnu
qeGb284ZvtHF8nbs5YVf08/ZpoYr/ZS0VlPlNk1+YFO53W3d0KMr6JraWgYMZz0ZjRO6gl03G89z
xRdHZefuzIkgYUgk2U608Xj7/9g7z926kS5dXxEbJIsRODjA2VHayrIkhz+ELNvMqVgshqufp2T3
GVv+YGP+D9Dohlr23mSxuGqFN/SBi9vkGKVXRaO/wRcT8LeZFoH+cE9Y6Nr7gW7WKWfCg+0p7QF3
NrLtnRyPgJnsz6Vy4g01PqcOidDJG1tvD9uiRxZMDZe2movL0pmPZcBwUpBwbSmqg52a5psJ7N0m
8+bgzJd9trVhNlGadLsKWUYOiDa5nZ0B46Sq6A6RGr4qabX7zmrXoxNAcqv7+JNc4MTLpQsuVEfv
YMWNBD2ZuxF2eB54hzbJcEgd4+umHk611X+c6vVmLJOTaoPHTiZXhFwaRlWuLgK5fiv69AlI4H0I
cbcjm942RfUc2/l0XEualKGKP4PfHbarTMddbDn+Y1vlcm+37uc5dkisrJQgn7nnVSAZ37j2oRg7
VNaAHoxp8FJr6ANuTVd741tUBOk0ju9Xsb7M+CIHGCEf+rDKp+0SL+l7uwMQA0cgKk/Q3JBMWpZN
3ubi6Kx73ecfZj0PZ6PKLv3+0Y70iFsfkoXZkCMTm2ZnIRJpW9TExw+Wi0j5POF+qKlhLsdRWmdY
fZnXfLFPvsjDDwEiK8e87iFRD9kkz/M+oD06FaacCONsPraTQwqdy9LbwFBeLxV6CvKQAfDEzDT+
gj3IYp2srqKhsymZmNtHV6Nvc6Gimnn4ps80Q3VXms9z+7J4Xmg648oMOUidp7ViR4dT2ckNXU2v
QFStqJyDg/kvOAXyobNQjKF1rUYV5rsBCZR+g5ocJESwppdZCa1GooH2MUrRcQKOwgvItzJi8DEm
k6QiFFI7N2opi1K2/bhrCS/0mcxMg/lZ8nFMKRASM4JkTulfFPmK5zZn3FPUJ8uV5flUyXlo7dXS
B/Z1Yfm53qt4oewYQ8LSNBRi2zimOkE1XX8tVne6KYLFubQdCFWoBEHnQEDnY1pbNLlTL3TuAYYp
pIsklQi2SPZnfFID/0pl2pS8sWqXbQaw8n3faFKHygrsY+cIeU5uz0dbQQMNEtCRQfLge4mmJfUV
A8lPAe6tCOOT/sHv7iAPrVv4gc150+FBtHLkn7swvbb5IJKTyHyaAgNFfjSG9AjMpOb1+15Zlgt2
budJIJjZlJU+YmVSf3j9I3FUu/d2QNnfwuI/AuFbgYmU3fNQK2qwWbp0CSIx3UwraY9FscmsZ22C
d/AwlqtcZj7DTNUfXhvFXQWD1p1bqGxAdyCq5pjgIh4XH62YS6yzqTwFq2qOQe0P7yH3cAMQ6muQ
h/N6N9B4uUWnzvkAW5yn3oCzOU+mWZ5Lv0HcZTYaUlZmn63luF7NHaKNqLpwX7Dak4fOp+zrAfa2
W38pUOTEnBf/uZEhLqy5ZCoRpaMrQvOSYDACIUlsGe9aT/sosiRIALD/7dW6jNu0e6b5B666LOgo
RutFLFGDxKQjVvmWs0OBysA1/aDKafIuq17Z12AOkYcvViZkq0/zKlnL0+u+s3IIwaCPLdJ/VT1V
slrvMjVAYdWzZa4v65JvFvBImiKUWXfI2rMm1ciUzeFHntV8DbaEZaNJufUcyJiQ6DBrNq24Abbx
Vbgk081aTRDl2nw9BB47QHk2nx1r84FVEbxL3djav7rsdBU0RRVC7JyxDP5Q2/wVbMHk+SsdrmsV
q+UEMxvWEeFypfmgPa6Lsb/rJ8v+kDm+VyC7UyJUObDvM4v02gnps+5eG0+O5SbfVuQ9L3TBbhIr
HLtittpnWomN2HGc60flzs5lDHvopJFfek4ye75dMKDsNlbGK+yJkdnkpJJT0jntcxkO6jzuZwvE
H/AEGyuvKnHuKQ64w8YNaH8laVqSAWModoyb3L2kbpHvVWyWt7ar8jS2LBMYbPcePU9UNc0L6w4l
VuJr3T33Uc5Xz+OgTxUqfeeKliuKEZE1PK9GVhfdszvV8/dihDUvCL6fR3+A+eXklB6qe2mgr2wx
yYmOg5awGxVPR6mEl33mDUzGJaZj0cRHJSGTpm2wXAla4FddrZOPcsJgdrsGq3NRpa5zA3AuOfmV
EWUwYGygWoTDoy18mh+MRaOdb3bB1NGa8zuflgK6xcDTIkVNOMUjuwRxvM+YuHfPjCKtFuO2jne6
lX6ya6lOseUkPsYeK5UGUBJXCoJvYQKCaRMrswelQVmEfpec8tRFKyISy3pmGbZ0GIWUfVGQ6a9R
QJ28pcCYPwxtPn/C/oEp1EBCLmmldiki8sBWN25X9JfOoJtr9FHGh9yeoi+An5JveTtj6etn1bJJ
J04mL5/6w+KHC9DRhh2g4z75WAQ+2l6DFDLZhRhs6F3V5e3yvf38v0CHvwEdPFhCPzWufyN9nTdf
foM5fP87/8IcvH9C+umvSt8CEQca+/+aj0XQuiAiBVgRGCqYy6/+ZXw5/4Q+o2K68IAPvqtp/0A5
iPAfwwowf43WPLIR0f9M9uHtKArkv2O4JTTZISr+Rn4Y3SHL12y2jK7UvEMAr3rGlBUe6fhqWJi9
mhcuxsdwGC0sDUvev8sgw+dwfbU8dIz7IVI9+ks4OvXNmszNp/jVJjGNgV9v+Fs1PoT4KNbN2nyq
fQBWNkShG/lquFhoKa7ohkac2K+WjAOON8c8iN6FaKTcy3nUN7Z+ro2TY2Y8HZVxd2xfjR5XXTXr
sbS7+Xl4tYJEbIXmuiWMReT8ahcpXq0jO+MimVklcCcha3i5CyJ6e+q1/LycjR8lZddIu3pOBG9+
sno7X1J87ukCYVMpRVxQFkaFOPaAVXExNp6WogixtxSvVpdWUwViWxoHzG7ouo+YRa7X47DYWww+
h4s0HqYXtDxxz8TeAsPUCOsdKsz+bumK9NnNgHnnhWsy+/GgRzjkaBmTUhh3zhXdrltfLG28gSeB
3+dSTyG2Znl5HYl6vsNHByWFRe3I6M/DcEJ1DYspsKgjOnfecpzI4G4dZAmwocdBdAaytRFzHd0G
vtOdI2Kl3ollGnYITgx7TB3EWbJ2Dm0RWhYnXwGSLiC9XNCWxceUAUWPyWyVmWaxHwMeowNzGdnG
/1RaS/WEge74Dgslidu1A+4R+WTnQ25MVMkysCWfMFY1dfnltLoFqG0gie26YH45J+vlmjrj+6pc
un5rdHcvp0T2F+QV+lssY0xc08UYuuKym91or6n2kPibYtdMcd9s4Gjpq8oCqLJBQYROsxEXTpEp
84+Qt3EOcymPPhUFClVGZ6inLdyL9LaJCKRnzKTye6b24r1LF/guXn2+jcGUfOd0LjrOxsDWefWy
zYytrSUUHael7XauwvR2Mva3QHTQwkZe7aPVpPKEoEH8dZJTKA/Bq3uuI4yT7mRMdQ0JcdrCY2it
D8wVgtvs1YEXmyUUUuJhLV+8V49epD7KfWrDSo/R7kAGETNfnmP5SMMquw3nYrgajOlvSAIb7x1j
BYxairezgiWtd2xXrEkEpsEIi5LKWMZK2GlT76rXlKqk0XWHQ2aIOvFmqnnLP8yNU3jGKpeZLMsz
M4fsTrHGLr47tY2TKqbisV6K4H5owapWl41tzwCx3cFSiCBMwHgTjWrdPShSsZwynAzO+im4daIC
vU2P7q0QNEBRKKNpyCRR7wfGbR+TJF5IGROg9+HoxcO27NyWEdXgvxtHnzbpkjuMUjwaQFmT29de
V8+Xyg8yPLXpEA9MX8GdwymIE13uEbNlK/K+3CfDTDWQa109zskk6stgVHZxG+bDWsU7r1tH+523
gshBxTQMGv/adXrrbBrlk1dl051VRkZrW4rpXEh9gjgZXLUMvY61Kt1dNRu32bFe7vo2cs9HOCjo
ufjpebQM1d3EYXwPnHGm+1Hkh0TE1R51EAhuAZDbBMi602fXCKRsRnQJgGjnl7o4oe7FJwmrp/ma
9Ps4dz8G+H1t/MI6FQXGvOihbhg2op6BBOcWPL33lGEsibK6bLcOy3JAQWi4yW3vI4D/dDfRO9mj
VWddFatDmzzBoHYZ7feNg2ULAgI85AVOCgjhlTVMlE0F6NKyceLSPjA3emSeiJtL0T5F4RKe11H3
4vPE9qBd7+2FmgDpzadUyJtgKopb1TcfmAHOG3e5gGlvH2q7fadzUW/qOVTbyUbFF/lNTW5baTS8
YJ+d4VBebpfAGClrxm+bNQuu+twZTlIMF6pI0sOCn9TRFdrbOQOCAYijhfYujMvsJNPQAz03devH
bB6GK+QKvEMwOahMwJEMeNqXdsq8zqb3eW8jkHw04OCjhybBVi3ter3IpEjYPzChotzv7voFe2ix
yjLbpbmq7hDqmZANlV/gCtunMk+di7WO+701oLGCGu+M14xuelTTIrbfQwjdYgfxGx4BXb09cNca
aeJ0uUbMGtV37cjHtUzHreV7w7Ub53c+ggq8EmW2lRqR+VqW9VbWVf1OV0ly5yMuvfEMRMxv7WWH
AeNFnOAPXeKN+FzNyXM22P2d24XTrTvH80UuB3EfIMz8DjmzeqtEcBrCutnOMFFhs9jv/SHrab/w
L7CGOLox+KMUwft31sN9ZMXhdh3n5UAeG6OIFlbfzIzqep0ontbxcoJfUaH3PXjXxBgw1ioPXfob
dX/vV7Qie0TeLgRel+gDuYCx5yF78SqqOJyCcR0Oy/GeTVhdx61d3SIP6TPVCMJ9Dh97h/+AMQ7y
djAa5Hm9CnFbYT61s8alu/En55OvZbDvHat8V8cYZPgqdN+r1usPw4QMEDsjQ2GQvCDYAvtrDkvu
SmsD9e7oQJG5sHQQn/xhWs6aKJ/PA8URCccxOIfiE/wAF/1vnvy3PBn/0z+lyf+veh7KX8HAr3/j
R5LsuPE/QExxtTCQLA8W+b9ZMpYT/4AHxYICfiqQoJ+00ULnHxSj+eOhFzGEB4Dz/6HAPr8CQcRv
ya2x2AHc+3//zy92oMObn382rn31BPtvIIq5HMelYGc7AMJBiuENkRQBz6Wm1eJ9zZgrFd+qek2E
vZsm1+rVTik6+U8FsjjqMCyigtYxLL7/grth13DkImDuHjrLKAqWPbUm/RreZAZrUVVm86O0a6tY
ttLrArRX8mROsTDXQiPuvBXVuKxilxfj4N44cPfA2VNnW9NjplAU3lfFiOD1zoPh6BpFbpuplhiw
VmJymhd+TJk5zVaUgCEohi7f0n5MoDP89CD/A2r3DVrIg6kag6U1RmABRsa/gWnbIXBaRTvnazdM
OkazNg0z1FalR3C7Qps45itnh9ELExuZLw+4XsVcmpuNkvtpnCmdH/98Sa/4uZ8fGOhPzOlCD6Nz
sG4gJX8FkIWwGOt2kOkXp7IBvzLVSMvT6o09XIgMlSWaXHWYI62PO3wXjZuyQJEl3BQ23e/ndh4W
pMjDERbPiUbKgH4sTi+r0e2ZeRR7BdV1fcokqkTzPljLPrhe1xLxjD363AOCQnYKJCb+CxbzV6SZ
B4/Z7EHcY23fidEJeYNbRNgRRhDEqa/2ZC3BO7/Jrfa+rpJ2vf3z6v0KkDRfJIyPEycAhqX/Af1V
MWBYYZZ9oZx1HbHvqsSgkFybN3wWYeHdTANKUNlmCfzKUluUPUN9X+Z+8zfrKgrgnyD4r1fC1AYj
Z1M/Q+I2S/KTY64j0sWO5yL4oodIBtd+txRkoXAIRShO6RCsfvA/XWSOBfjwPoIWaPbgIfTrNyLq
ZIXQWcRLNfayXXb90llkKzpak2X6y3f9Cq83d0fgQq0HATEaw4S/X7/LRSG5RCLM/TI76ZB7X+mn
MSI7T0CNFKcU7ipLXC3BOP6N9//bTjLyEYH5B+wyQfcNNFwAEZC4gg0vs42kOcYoYRXp+8S1clb3
z3vpjRWWuckYBgdyHGDeCd5v5QyKtnXKCTHhL9Rtfh2e5ZCWHytXEaO21OZJ2t3M8Upb+bLNZRPY
e19n5fpU0CXrAARUBMSEuQgz/7uiwE3O276O7S9L/A6i5WycPK/+mwTDbw/GGG7GEFB4OqD134Z7
8t8I9rLdvDS4HXEV0orL4pt2Fsv/0LZ10Iod/rqt+pu55qvczU9hK7R9CMCB0YtyXGQS3oatxBAg
Oulbn9GmdKDWAsrGsW4bRl0mmRAL5PmYRQZeGT4v+CTN5JpSyhgZQose6gPIs4nBN1z+VX1OKefi
g2gC8nEfQ7+/61tFb19PLjDEUY7XJAacCUj81w3sp1MnazS0PmdRjjoMLZJFrbdDMEs21brA9NbH
eICFfm3Bq+BtGhqGCiAPsZEiWMally4vbMC6INk0XpMcf1654h3h4In07XsA9pKO6ELhkQYfcLSF
PrvVdViyUzUsXJ5OI1XAMdygJcITgSpjQrQ1ZBlf6C5zFd2hyavmj9jtkEJsUHBOWAs4H4Igb6+o
PBQH1+t93u8+m3Lo5YFXYBg1jU5Or4QO9XrL6x/7mOA0bE25Mr+AsopGW8PkC1W/D2ilAKHejwFl
4dOqRKgftOwDfT8U/J9pkzUFEWSTZeDOybqRj+arIcVBCt0WorN40ZOIz0D3Ee3MjLInayhJN8NU
uPzJwEE7IdvkQTjU6I1jrafu1BTWHGZLD8hCbQeJY+ayL4A7aQA6U8wfXwUWIu3Ows8wuBYxgPOP
tPB9fZbAz8+vKgBGtIecYW4uMpxax9M4oy6JfmGEcPhi/IaAR0aawSjdnkSZM7OPYFfLM6wSFHKn
rdd0ZXn24wb8QmXcKsOSOCh2Nla9LKhPg3u5GObUBLGqDkGN78EPBvwnD7sFd4ehKwv572f0XY+a
hMhxI8m2bLkWjJPIVp81GEW+8NVzh8jEaREt95R+X1UP1jkr50fU4yghTwoQaVPJEf8ZJ4vNNwor
JGtbOsZ62abDgIXbI9Cb7dLGilNLlCiqg9QDo1TfN8pvw/BQCGG2Swf8i3dKNzHj3V3qShpUWzHb
fCDUeicJDypV6FidLECmy0tfzwy7ty3ie3y/T2B0kndRhVBUsVsZD1QTw8VGl5C6VpwgGPo4s+B3
S0C2yE0UcRfMV71IdJPuW0ua5x66miiwl6vQ3EyLVg1XIkXv8VNKi0doxpna41NwnfB4FcZCRPyE
MwUDsY3E2pxLWrh7/uc0YmZQ7Lw4Q70OadCQV3BBaIedItYg8M50EAkuD5weYCM8ADTK1tcDIjr+
h3z0+AEz8CXksgovNmvc65oVHOdpZDnXCNOElnkmxflZoWYIvofUDswWNam1fuiihn9Dha14gcOC
Ad81qeNKlgGQhvd8kctqgkdWkogVvZDmlfZi86HS9hyeBHXsyH/QuxD6IcxLl1WAJNoh9q1nZN3r
K8wi4PbtezkgirJdycXMrhZ5DjYB857V8c/mqPJnuSvsB5z08ljv4FCFJjJlVYZuLaTlgw+WuRPM
LpfUw1c3o+u5SzVDrlt/WWa2fzRgAent43pCj4BEAfkr0LS+pvmZ2QCGbPRlC5HftE6WwywmVzdP
GKjNYjsHjFEHbZ3j2IT2P2yTnh4dHmpI9E8XJQbTXCNILJ5NjxFp66PcCTsQkfKkwMTpHYI0iddc
t6YRFwF6zL2p2hOICTd7OL0FvbK0G9s43ozk7bPeJG6gsrNEFKOfgr8pCbPByzohTJGZYLtwz3FB
UYw8Pu7yWZZeGvySE16rOR7M5skLE1JCNS19dyiXxOxLg4RkD+Hw1ZfpRbu2K7/rXT1Kh7a1IFQO
PcqjyI7hHCCazWxbzthfoyvhEnKLph95So0D6yHbt7S1+ay4t00UREUhZueikp8ofbBVN/EnKWF6
fqdkYuJSaWu637EqTEaYocxAeOqA1LB+KrOIDppV5F0A+DiwoTQa1Et7ztPvF/8CDBQ7PapotqYX
zD5GvtpzUD/oDoRLjiO9dPQydnXi42izj7zKHLJKjT3bcYbB3yKTEMmF+LBEmeXdzPTDOtrhS+17
Z12vGm4palFX2qCUa1Is20Iy+aWOcKi6+lGHEPXN4kxtL9r4WEqiKqYdWYEDFQ3FFe4RXFEB64p5
bbL3GEj275J+5ubzlsN/2eM1EnLFYTFZrFJbI51Z7Ar0YNk8GIKYFfyxrescowCCjNcKNu6azyZx
DlrLhPvBiji0HMTnWWMRylhierJUKWDWEL1Z3lwPbY/Q2UyZE3bXLljrYkcbGk0XRHWcJfhkNVMl
39n1XD3Erot1FugdFGNOQdPp8hC0euxeupoz5kKCBPGuEq5UIKne5f2nnJjLYD1s2uqLh/mwvK/b
oJbPE80ipvUg+GwEtiukgjrhTx0Sybj4+SDGaXwO42Ga/EhfA6JK8CSA8lE7l6LiWN0noEvpmfOM
JEF+jno6+hn4fVqg6Vxqk9KvEjQ9BPSlcuMNKN1FfYxdZ/TeBYy3PQyrew9XMkSu8QluN13M/TMz
AsCqzlXGSVZtQ9AE64qvUbXaEl7MOrUXAHaTcROo8mrCULo7YB2Rip1PgrY+pIWbtRx8gQpPA6wm
0KGecp3t4hDhwPmmaqDrhX1HAYgOBN829av0DGauQrTantaLJKbnfnQmJ3MPSTc7dN8V0OV8myXC
t267sq29x3HoMdI42l3IJGVPw22eH2Y1C3VlIQxj3YOeHtYn1bCrN74MAvqSIe1tTBJVEMruGM1+
usK812EHpB0HgvKY5KqYD2vrRTWKDGUrQM6Fch366LNTF1HzJXO7Vs+7MgAq9DUufIE708icO0Sb
BMQPLjVJ0/sG7WL7jPeS2iqD69gJrbI86qAjrc2+ZlGD1JGzbSMMadqd4yMfiw2jUMJKr6XLzRS3
P7JvGxpE4NxPad0iJjIhWs+x1NVMn/xHfMm7ztuBkpQJZky2DaP4bNGhTzZGA5UXRs6LyTUbSxZk
UFLM2hwrMYGEl7uPTPooOcB5HTIvMBGuxp2DUJJbS+Ikh2Kp8FQxN9ZN0cXapxYpKXZFmqPHR/ac
UwY5IgzijksY8pmH0W9N9odNhqkcwgIpPVoxnkZm+jj2dR588JsBXVHala9qyinzFOxRx94nTPrD
QGYPZ5xVOnquTxY82eRu1jZepo5YVsByIegl1pRMnOHMTWyjgB2s4iz23IqUqHGp+K3zeqxtbpS8
JKLf5Pu1NAGxrlzO6AkcI6nJhIAFC9Q1OBZXW6g/M1cqUwMpZSiB2f36TnuG67Jtk3jmwzBlZ+qy
ge0juf4hLkycLD0w7cijGNBWu2uSbnDkMyM8k68ypCHauGqUwWdUVxo8OFxQo5dpW2iORdV1Jpdq
utCkLFmszBqptgmU8220mADEu6ly9AjZBn0oUJRhl8ysbWxLn+UnhoOL3Lev7Z5gqM0p9eMEQ3KS
dUSx3HQsghiwFENDGHUsJPIbRdweF+aE9PZGUNwTYaYwVzAOFnyRs39XYu15hTZjJ1YyUlx3+MQW
2mqNwZbTLBFjDIvZBtgnmzzg3q/nxP9QSYfe0/fHyIHpOE+Uf6N6AGM3c8cCPRWeEaia0JHXTVrq
Kbtdkc9M4o8aL5SiPMu6IK2nc5QKAv2wgpPlrpy1M80nKUedZ+ed3ZikwlZAqZALZK7NoRgFPZul
pl+HuUg+IcWkdl7pkqUwHjfZvEbyXPpndpcOOrpdFXrO+WWQhDbXs6yeeQ+EwPW332iGpfqhGjzz
ivR1bxpesMP4A4n2TKLmVJTGee+YDSbgJ/XusXdDhHl26ffTNdOaeSdGnfAuAqYeHVlgIKTJN1Vg
9mNSFVgWbm1WoPiWrIwTli3/3/xpshK53k4VwBo0YjOuy91mWWhSwzIY8R7cOaIzV/v99SiVz3Op
GIPwUFH7E6q+FLPQ6ScdTWmODKsToqKyrXv2Ah6VCzlBcfAkc0lk7xsXmkE9OalWu7QaImc88QG1
IKmdWpx5t4Ag0JzfN6vkFuxO56ZZ4ZjUOtYtJR/aJbl81hKlu3ozlCNEIdDnkycuvcnB1nODlyj7
rLZdUwQiU0TFZjuzeSCDF5NeUnjynNXir8uFmFzqJ2gWy4xYjSv68llnzsyiMLk3mc+Q2ppcYwBV
yN3mWBeQGPyoiEEfxiQGM47RVF9N2gt+SqlZsK6zLGt+wQeqX29tS4NfFBmg5minM5kO1hmSn2J8
CCBFjtYWDjjrbyGyb3L2IDJZmJwdU+TjZmAS+ZSBtX5IIFHw1FRNQxeFI2TEQVxK7TfkKLHfrk+s
uom4q9NT8573SOtMg6kf2E6Bz9fT2oOIwMd2xOTgrAv9WWV7CIls/TMmnxmlSsmw7eX7qwcxzqRW
lVXHTb1ZeoRo+51ilmY2RjOZ/hGqW4vZkqEdTc2N7c1z07Mgq6m4/dhSLOTkYClUnlEtp91VAOOH
5HWZivSYZM083gWYuA7nSGc51Vk0uNQUHGyWR36A6JYmdCK+1vIxsadw0z0WfWMyUfB7RPHt9L1q
RB4B1a1zoLUOQYqEfwwA00xE532calMFfi8sQEOai25XyLXplrdsQYxQRSsVr6eZ5y87iiSb3T9l
TcMjzZ3RXPrYzJyE+zkbEywJEPT3yquwoznCH1wXdhRCjiZgKR6jleFPMGBXuAksJuFMBjLRlM+i
nU2FDtfBRA6mdybRrSGpcy9/bgj+h54RhGnUlxnoGGzTm54RrlUoMMbV9HlOlKkzNaKAmb+zmO9X
MWAhyf3+5SvftjtpU0WUp6CyPOQFSJx+bVMtXdNEtgrUZz9AR/9b9X1rVDhMcnT9+e5+/6rQAUOF
tjQDI8MK//Wr3CztVk134jPSViY+tYEnNEkhwZrY9efveu0G/twtRAKCNrVABNATiB2/bVPi8wnx
vCrF51nUI4XMmBk/uq2vvIzXEISWw1m4YmlQPo8NbGCaKLrqo2qLdBx1N10IM9nABsJ0eOADmFj7
Y/YBS8OUCE3oA1y8DIN+4qc/X/5vSyVoC5PYOui9OI5rm9//1NufZVKrdAr9Z5U7M9fBAWXKQg5X
Sqg/f9Vve07QGI4ZBTEJQnnlbb+bNApHMhKo5zgDH7KcJUtUTE/OGppXBMuE6a9b7u0IBcyvEwau
i/QqHfbfQHWyH0SU0r9/7vBF5dPVzMt2O+ZE9nswxubMSmLyfZKJhZ+/VsAa5A3RDuvQP9/722Vm
aurDqDZTVV633zR1pkbNGv9J8YmeBKXjkmV0qaIGEdrsLw/07Sq7sPS5W3BRfBvNsTczt5LEMBJO
4XwamzYsr1RXmQMqL6jUznRmhGf/Mnj8FbnI0MRnDBYhNgOsl1f87Q5SRbQSTBb5CW9G00+WIjFh
jqC48FwBj1UzNJs8XTIcpUo/42T8y9r+trhAN12Een3EEkJu/W1k8dKscrqw+dRn9pI2e2ZZawlt
qMni4vg9bdEyM6lx4Hkmfv9oilsowVNe1AEIuOx8+r44dQE+hX6Vby3mRUQpiWphrVAkFOQReAbD
iID2Fk0bHAAV0TqcfHNY6mVsdbvLEpsXfyOITuQiCoLq8uJMqBjA2y9p0e2BLQPvOc8ZLUcrXBDI
mhxDGtnGZWtJN6SKGdB55ZkFXU5uAynaHPFgnjouK/zeoB9I7YmaqGGbpAkJrNeMz3VMspwU8M7p
2qBmyPpHaSHpTLp6RgfxImtK2rJ/Xv7fNlzouShFgYCFh/371h6pLDLLXpePLaxvcta0U6YEildl
MoAfLes/f6WJ3z+HXBNq49cZDcJkUfhWUZpB2aJ67Fg+xikKPWI/5nFQXmH1gK3XtT3A0UPsECwp
RdSMkiAPAllmczV/voy3dy5EgJi2YxujYt65t/IxTdA3gMVU9rFsaX+eMC5U9SMGM668dAf1F9WY
t5sc3zk/FHSKAtwnkJ9/s8kDx07zrBuGT7rvivXJL0KzLRAANpnVn+/LffNK8+lRCNoZ3hSTNyHs
N9lBOoErrBrtPuImaUe7hPalSg+o7OdUujkUa94FBt41/wlp2LAvZ1/ET6TCPpofHW1dWjCUPGZ+
302iIg91VqD/D3aeUqFkIUHgBSmYzLS1Zsu0ASKF6V12rqPAtInLmunIg7Ycwc1Zpc9ZlKZIOxNW
dG3iNQUBkOFzyyKOVvCmEE34izbQm/VmDWJKOJv3FI2y3yemPrrdcR2M8+NYY5hacr+MKmC9TC2V
85/XW7zZz+aZErzQIDJyesTRNzF7ajt6qo6XPERe+/pdo0/rtNS9SfVHQj0h6PvsvQKkwyo0M4QS
qNXff5Iap3o04ycckT74Xmj6mdSCHZHOrYeEjoJVFqO1Xg68qliC511dTsdFjBRM+xK1HorGlaCm
Dz8Gf0yLzBAJDQqXd2eN7JXf6bY2D3wFCOl/sF6n4+H31gRCmqbHa/mZeZKFQ9aC0ghKQTx3JXPT
WP4xQuONZO8WzDw495KELgc0GaeeaIH8eUmjXx9fGKKvFOKiCGDJ5yxEj+zXvKbnDnRkd8lLpUX4
oZAoUx9cxqNnQRl1Hj3+TB0Q444vliivEoCxSXNWu2X1pNMc0o5x/mRommIJZqHDswngjD0m1K8D
6rwDYghZpN2zPC7uakZtL3DWBgTLpQXfk1lOcKP9pL3I7Hy44kTKVqr1TJc7C6re+5U5sj5B9gc2
28Eu9nZ0Dcsna0UoALLpnIFKjuWtx6lUHrzKQh5gkXqnuqXfMxOvnjJm+KeqcpkSFJ2indeWEyM8
5VSfQE3g6DqnEHLGtbcddEll+OByPj93GY7ASKoEGS2MdBiObtE0D1MoxieUK+AE46eFUa1F3+5j
OSLCXlmdfBd4w0BalIxnBRDGA2OCBVoq86IZK6UYadzRqyEiNe1eTTEyzVFWFO9HFJromidIPahJ
tg9rMdIS8xwLIppleVuUpu48tdif3UUNn9Bg9h4zMMbbbA7qCwhU+d7Ll/wvxge/Bms2BGNlgplP
qmDMe96KKbW0f8LeT5svPC98oV1E2/dBZYzCAmkHj3/Zfr8cUN+/LAQoZ455cri3GQnUBVI7GTdf
oELWYIRm+wGnTBdJmLqEpCZG6r+0re8YEYblX/Kx33b+622C1WFkQxB/W4/A9oqRK5L1l75pKFzx
dkCfvRYOwLc/3+TrJ/33Mfx6l57rAjxAms5YZbx5x2a3Ll0NVuaLg6eaJucx5sMtBU++m7MqvG+g
ZBl/B6vb2JWPSIHQXV4dde4HuM4oYF+A9YIbGcj41Fh9+Mh5CyqbvqJ6qmuSF1c1NcQs5Xh3WKI0
3xAVjC4b2rN3CI257+OCOnXjwKzFu7hMbwQeBxnGfHVA96ZkFudMMY01GS9fCpxEGSWMEj6sbz/b
sxLblef3l1zoDQiPJTFpAGkQ6yI4o9+mBI4VDrMXLesXbzSLn+UiO4q2qM7mdX5unLj6KKx43o1u
ytCjx0kG+YLFb3Z/fjK+Wfn/Yu9MmuNG0mz7X94eaRgcgy/eBoiRDAZHUaI2MEqUMM8zfn0fD2V1
aciWrHtdVlYyZaaoQAAOH77v3nN/eDKuEmsqPQh8O5bxnxYUIwsL2gex+xYNNA4op7WEnXm2Kzcd
XZJ+M4piPsAymgc/0eqCbk9VHPDGyZuxdkbCjd1Iu12NSBysdaFw1oYkUSfU04M2026SpXRPi7Xs
S6uwnqiB5sCJeGi+Q2NsCdZ+pu2SVl0YuLV0H9g2EvI8gTRYnDQ5W26d4Bai5JlEVX1b2H3egxns
hk9LHg/vdNvM7nGYskA4szHtLLOfiL4GgP005ZK40LjR+QLxjO1/7CNaAG7apDRCWBMfha15pyRe
xHuDqnbo03RACv/7m6vu3c/3lihg9qAOp1n352wejEm01+AdvzWJsM9aY6XPdWItyyZrSv1sTCrc
/PefaPyYjMOocjlmobpFjwTkDrnaj4uZoZt5W7B0fgHqD50IqjIW5GHRrilUpjsaET0zvR21bzU5
SM9JNPenJJH6vTZKa/f7a7mQ9H78+mw1mT6h/7oocX8WA7YTVmgvIog5mmkwcG4nW70izm/cNMVi
+41u4g8YiipEC25TK9yksWMfYuSweIYmKQManjC12spxP6DvH1XplxJ6qXUwxpykOzSWBQ9riIHS
224kfBAA5uR3i0EuSVTrxeC3BqGiBKza9Z5U0XqXZr12Ix0QmRg0Xe10iTNZMCIAF7OBBEcTq3dQ
GUl2KmjzsqO0iODy8yYvkZQA4dmOND2f7ZGjKXuR7hHLb3nESmS1fusil2Ek0i4KHKp+d5ZMSlqu
KOrIPp3pK/VOnkdBh/bhZqplB7w8qR10tQRsGkeV+9DudScy3/dtlXwYyqn/KhJylvxuTCG2/P7p
/Dr/MFIkojmkazAmf6nrWSad0GyeMkyv1AeINpHpJ1QeC11DHhlnKvdt7YbwiIX/0zKmQNYWZ6yL
P13GPwxYMuPYNlsoV38F0aKU6opudfMvEKcgHlweiLMOcX5KAK+RpzPKp6Ythx0UsnBby3B+iaEc
14yT1Xj6wz35hxfWw/FJ5gc0CP0Xxe5aDNNYzVn6JXJ157FxjO7BzDUgJRR2r1kXh/OAKf6qFmVx
hCpj3PRwbyix5/18l7jkaPppOY2nRBusryjnG9v3miT7E+zxxzOAescd9K6wbE000xwqf3rHxyJc
sLWI4QtV7yZ6x87C7gIqiYs/dPp4Np0xo6fUrUAyvNauvoI6c8muwOYx7XF8dM82OdAnHZDFO7MV
kBUHVoFdm7Y5tztK3UA0tHu/Pej/+CyelvrL//9/r29FUuK55JDyuf8Boc4LxgP6n8HrxzxPSkx7
//BD/zIku3+pIwolaspmhM3/22sBg+Avm5PSRfWN3wI89r8dySb/idMoNXQO5xTbOLr/y5Hs/CUR
inm4N6jHKSPz/8ZsQSXjh3WOOj0j0ZKcnDgAI8RWhPfvK8OJkzApYuq5mhvDTfyprpQJbnGu68bV
MF7OhiCKJZWPddY0TPaoBcNAHz173kQdwSaHli1nSERE7lytqysIEAF7O/lgOmYIOaIQeyMF3HKf
0a8GNSIcOxjJDiIuF7wsRGWzG0/5hFjHz0N7wHkH70Io2JpzwrzpVugy2/W4GmsvyIOoiGdCMd7S
dU/nmFhpUI5ktNSjLzyt+STTxf3s5SxTvQdxKlp11oFYtWeChdqxjRKRTtBJUs5BVlM4NxN0a78Y
h4cuN7Wdy1EZ0yRMJlQkTG+PNbDyewJt+nMLeeChSGn4bN25orOTenNk+6WtR/BP0/oht4m44K/n
+LZWC/RGjFCmskSRZ7/HxYdLiuDgameXNsSqby6qi6NqtsNmJ3rXfJ8rw1WCYvzRMGeCimPxMRqV
Lata5KZUVq1BmbbGahGb2DDvYgdDl62sXdqCuXemdHhngXs7Ew78YOv0++yLK6ye3fizo6xighpD
0NLvvTYKYjgSZ24e8ITjLhuo3d50A5Yz+l24z3plRNOnbWNW1TlEevw1xdq1GzOxEH6UeEHUusyw
jvxshyGFH8QagaMMb6wCuN7s9b0UhNWzsJZBndtXozLKucoyl7ad9WApG52lDHWo8pp7IN6fUmW2
sytn2qzRfI2VZNnYypLnKHNe69TaPfN78Zgr616Z5d0ZIEwcKBsb2dMZKL60P2szdmwARt27TBkB
RWfO50WZA+sZm6DBcX2D0TDa6GMYPaGfZIeVe405BGlZSf7aNAW0VNfGtcX+82rRB87HGBOjQeT3
7liiSsS2DropwcLomSSTrRdfYx2t61lgVQ7SetTY9s7VngQcrJAmI9pV9kgzE+Ia9ZNft5bYGQz7
m2q21pexRXa+1XoFtUoJS6pFhr3VsjBhNmht94MyZmrNcM02tbsCHXtDz1W5N5WREz9sSuN+1g7W
xefZMQY3yOMghYRKebH2zxr0P5bbB0+5REP3WoxksFM0/7AgTr2LMZRqGEsN5TCVuXgw6NNvCTH9
3NXw8grsqMvFl2p2HwuXRUZVtZegSMxrGxlkUKontbxBg6v9SjldsUW9F4Ocg3GR4aFWftgJIMIW
6GaEAlS8YIHpbk3ln9WUkzbPIvu4KHetuPhsU7dDCNjqbN5IY8OM6ypXbpiYL6Py6Q4u0Ta525jH
tLtasfL2ytNL8L2/lMm5VG5fLFQ+cazFpphTYp6mOtllf7uDuwdI3Pl9rbzDo3IRL2tmHaV05nv0
dOuelDpzUyvfMbsr50ZgRV6UJ7ldSJnboN6e7ifRPw94Ew4a0sbzJIy4xHZZdWLSH8tUoxy9aYzW
TGHHKBv0VNl4Tb1PVVPZW8dZ5VNqLfVOmGTHoOMP7xbLS27tuHstRS2ONnIPsluMV7g6NkrLVu8/
di1fGTRvvWnr3LyO8pKkQtNmSOsRdIMCqm2OP+FuYdr145n5LkcLCWSlXD6ug+SgHTI/jwNjMFnm
5SPqBozhRaI3j007P5aorfzIK4tbNI2Cw5bMh/ouskN2tfUUd/vaFG7t5/YITGVNq2OdjSj0krLP
N1VdygdYtV/h/U9BZM7Gboq9fEAebiTgsxwAr7VTckog8rsgFSuoBjsd/FplLBoqbdEz+wL9/SUs
hrA1FR0DgAUyMyKysr8qkHYOrC1a8znTaOmgPU0HMtbjyXRuAU+TpU6Cu3fIBi9dT7NonfuZBfsR
PAuvCCAkj9QqMGIfOiNpr2KF7gVhY9mfekY/QT5DE8WBoYWu8Cendh+aHGLzJkRZc1WhJr9qllDb
9TIto0PY9MclsaLbOB/yR0+jpOO3o+buY5K/p0CuU/xSe6LbjqYoDkYSxa8eicFY0L02hTK49OKE
fZs4J1fUruOvE/vzsfZ4P6xxpKwyr9p9zdT+tcT/NSFWNKebfuy6u2U2G2zYzjIjcKW+FPmpPViz
L+Z1eK+HVvPatHrywpocwZIvhpvOWovbcLTlVx2ZwrqJ89B6oKo9vsfRtp4L3T1y5su/ILRx3mwU
nomfxFYzoAQe4ThIkQBeHI8Fs22AJsdcNoSUecB4yGiCNUFg2PMwLvYpd7r8TUvxC10Vg0nZy6mT
6T5shPPMOiK39bxGu2FZTA3AG9qxwMgMznttMs+fM06ugskoCp9lVo53s9vojMol1u6S1KHKatJk
ekmXMDtT2kJGPYa9cEkBK9YjHZ/sTfRN9lBP5WPOedMMSGMPj5lBKJqRxbysMKOa27WxGsjMU+ct
PnjYEKwwp++bmh78iz0t05fQi5uPZCSMOyD3svU10IYSWSKcudZIx7vSZr7xLaTtn4W+dLc0YaLQ
tzQPKB6Cz/bgalP9UUZzSdjyGg6kU0Aj3aRJStqSdIv0PSYQIXyvsvqHVJCU7Guz1Zwd+rVH3rkk
3Q+mDkl6ETNNjyyWW0TB+kso+1CQ6aVn88YYNXs/5CJ5CGWt7xv8AEE5DCXAOzB21Pfj1CNddCwC
Bdo+LVPfXBlx72ycGin9Mg4Qz0wGnJvXK3aTFka4bjeBk5r91o5LKXyjq4kf6/pNZ9vyRMtxKHw3
rPrN7Kb1sXPhP+MNK9sX8IQ9lIeIjkKAuq76kC1mXW57IRc6QGmzfnHYQN0g/KQIaDqf6NjKd25c
Fq9V1FU7K6YOsJlTN0RANGYo1MAHMiPaSESPCQfZG7kK9+Not/mBXA9UOWZkKwamtVifOGDH131o
WM+yp63ue4U1C2prY0ecoVkdiALgt9k6ZB4Gl3h5QHffjMFsxsbrKEczIG6r/giouL+3CSwog3Q2
9Rdy2aoQ7sc0MJZAq/s064032SCOUBjlSLvyqjT8kGBceQfLwOnweMXz9dANyx7TiUYuYUv6XuFa
2TGNsjt9HZIPTemecWORgABSd4T6N3lUgrG3SerhUj8Prog2cNbhDFIuNW+dnL2hh69z3zhsLKjD
jeKTdFfT8UVVg8oVi7v4KZp9zTc0ywAa0SVkG+ZRdO56QNWTuYZHM4Wgtwq736y1lUPW0YcTtfit
M7TFlzg1hzZAEeF+oThHIt3YAUdDQdy+o/wSfnJEFdL60S0izYRcu6DmcHkTm3N2jNhmwewJbb32
kzZKBeU2kb7VuhxLv1W/1FqcM7VY000VNvH7PESbnth6DGTchgJphMOprWeZMsAdgsXaQsIvY4+I
dO0KP5rW7cq2GVDRy4bWgRllHzrMPhg7wolaT5zYpBLWgEW3Tbiu15lm1FeTIwAf6kN+MkWSfA5X
7OBULvtDUTfI7qRVHpscKTharPc1NaIhQELUvkZW497RX9S+GHAmvzWj/nNK/sMp2bI5pv7ulPz+
FaoV/qqq/P6c/PeP/YtJYHCuRV7lOLYnLTq9nEP/JnehIvqL3qyF+sSk3fMvaJf8S9dNQWAJPyTI
BeAS/j4iC/svW9iGJS3OtqS+cHU/8Qd+xyP4saME7IBDO5UatA90/00EMD8ekJXRBjH04NwXIyiC
oEzQKeLp7TlvTU338bsbc/etwPo9/ODH8tDlw+iySIUcE2C5fm7/R/YssCX3gky9hdRkUZlPS0+m
6LcQUIe14iWCkvkqR3x8/4ePRgSgU1pwnV+607jdDeK46cGscuajJT7crTK9zFt3cIwny5uhU3bo
xixFsKb1+PuP/7F8p745NXYauez/0Suirv7xNpvQikqZ5tZ9Tv0KpB+GQdKVOYXWV0mlPg6Mlnf6
/WeaPxYw//5QhoowVJHb/bmBRwRjOES1NAHAlOZTSVX+aBbO2uyo08tn1XU9iURxDwdo7t0eDkT/
5qgoemCp3IcGMcO+diNCVzutjcLtuq7ild4RSwIJvbpxTdAIEfbJSqqD39WGiskigNP6Qy/wZyGH
uncOsDvczKor+HOHzsNQQDhMbLKKa4wVNgtA/1FO7MCaG09IYJVThszr39+9n2R3lycGyI5qFL0n
JQ/78Yk5mu6ms90a98SbG0+ltib7Bq3wV4DQsNaMFWyvICebdhSd8SUekv3vP//XF1MJZSitO0qd
Q/Xmx88fpSS9OJuNe0dzCJhXL8wiYbVGY2P8QZXzU2vmMlAsg7I5tTg+kAiyHz8rXFxcZvpg3ItE
zg9ajcJqh2WX7scla3zmcP8KEke9nTBbA+oavCyXoO80i//EAPmnL47CkNnSUCW7n0etKbQK616o
3w8QQBuiasO8OnGQojmLZ1r+H14SWgzqveR/tLvFj98d67WeaNZo3rcd4umSsyYh7ojOrwdXR//T
puJowTG9bpqEUU6Ki3GGQc1hb0kNDet2ulbXmjPOD1FjE4yc0XM69ZmiqPXOfBfHI1nkJfFSCcdG
xNVXMmZd3/1+rFz0kP/uZ10eIEIRV7VL0Sj9ogsAGBMO3iKN+zBM9Wa3um17uIybuS/qlxbKRZB7
E/MerpcTqQaYAwn7TYKOKNkD3mmi35NMkLS+TqQVUe7Sye1p9fnh99f5D7OgC+vXEzp1R/GLngWw
wDACejTubRK5qGWo22ygCXwx9NB4arC3/GFkqxX0uz4n+lwdcguKbcX9wB/9s4IGWbCZ6oRC3GPr
rq7tniR33EbqF4uw60EnAb61nM6hBhPiZaBBD6Zswrv0mAyZEh6wr32z8KPdpdj79wQF1y+JJZg4
1Zi43KKOVcOBWh3LE8ab6nox6O/DwRVH01XuVSSVf1CBfOuVfv+8WawRvrsog5Et0q7/adCuXibd
Jlmi+4qfCiQxUBiQXS29bSxUhQcC06Frpu6Y9hvT1nInSGjNxDsZRwlUPv5unbCYGmx0ao5k0vXu
blwxGRxipxsMONzRovwOdrhudGuFzajHk/au1lCtbdBxYUWdUMLaAb0BYPy6iYHRT7tp2LIEUPTO
0ryiYF2X90RFxNdeV6Qns/CqM81CtyHGo9WpktC++mAQAnhrVEv+Wc86YwNDns27uazk+OBSid8W
asPOVQ/CYJP0rN9XKKUK2PpWWt815PkWwRwT3s1BotM3thtTZh9dV6ufhzJPp40Vuu6jZN+t+w3n
F2IEzLEhqpwuMz4vRy5t4PSm9wk9cespTmCPeQPgBTSyYYDPbDZLAswUkcrJjKBG+zUZYLoj5SNc
QpBtLif89l6bkFJQtVDKgqYzqdoWaPfrOzcq8jaYpYjDDSJx+RzFA8tuxhhxF0T2uGYXuUVUNUVb
tgaIcI1+5eoq237tpGCbUHrMNmwBmYiRNMwPXbLwY4uLxRG9FXYzD2Gc8GcjzUFnZpDRWJmN2PDq
YC0H3a2vLLjEy41jVc0Jh65n7KKFQhj25mT2jgIx5nnMZI+IGz+hH5mxrqKT2o20SKtoTdHuWkps
lPfqFyyo6wej8xJkuN68QQJoflp6KnF20nR72tvhzlyt6mMhO8gmFhnWjVPHbwyU+Us0hBDp1zgq
NzqOF9x4ITzyNqrtTWG4Y8DAKnRaE2E5E3OCoWihptC/iQYM22wnUf2kEcCVXY9YwDNxVZa5LJ5c
CnWESyDSWSp3U7gkVHG8W1AOOmQw2hKfOqZlczKx+GakT5KsRJN+cYqNlxmy/qDFo2NxuVlatpul
WQpvp+lq87Pa80OVZdxpQmiqazogbIaYwcVr4yE121KRqRfIVCE0SK3jiS1hz6KwoEUMRlcyr8iK
uYJEKQylsQfTdidITLICWmj1i2w7niyZsTzUJKVKoOstzm0swTWE845Hn41M2YmI7gfXAzC4Lo54
DW1CORH1sV/tc4/ZqJjsV0Cn8hlXV/fWrbE4OoPDxCOYhwDNy23Rxk3nN7yhXkAtjL9+aWwujhMH
DmhwOc84CLxNthTVdVZm5hOFE/WHqlye+n5kfmY6C0M/F0S1bQyj599g5uU7kVlsnE1d4c5XF7jC
zsP8/6pk3zRWcos/0cZGeh7KhilG0iM8RU0hTxKewwNsFxb1RGNGvcyR7OG8U2iziKKAaQ8h0vS3
RqpbKVthPHXdwG8vV1sMA7RdUBXzXcW2k56OnSx3zWUvkuWOaG/LIkO5HY3GeVh5IqNgZ7iYk/E0
GqvcktKyPAwJxw0LSehTGposz/1cT5tF7R4Xk3tvFAtfileST8risXuDlzA/pOp3IwkZhPuk7D71
bLRfkQfLLdKB7q3OWW0bGTUvaVaw+8WfsTxcNgrgvAgTm9PceTVn9vdpl/NoGy4GImr6BgaRLKEE
B8SxajT9rMe80k4V6ucONEgFFX/l2ZnqasuqYeHpqvZAYtr8oKc6m/CqwuVvG1n9QumN1XwBYNFu
Q8TAr063IpXDRIgotelarnzkZ/AwVySHnCCjlAXeMzY4UHXlNlvT/u3b4cdSa/KSyrTY5PZCqo/Q
sobYjtoZxA3kdO+Er4QEQZqU+Z5lhwuszRn8qId1P93WhRF+yjXIOSQJqFfICG3s3iNUCrZBrDz9
pp3uPTEhzZQdz6gOPTZ3/KOMlJkQbxFzW6WOKllcYGNeDDYGumMdHZ70uews98jXqa6tUXMecL+R
6EF9hqsdB+yY08SK26vhaZe5cdYjHMp+JhTfLh3d+U5gAx1u6inS4kMRh5wBDadk1A4x0uEtFW0u
JrQZwL3IuGe94clngkXcpzTzmnzbN3qyx8XBGAFUab9S4+GezrXCr14mgSy35oclKbkreZbIk7PY
1pFsMl44R308cS5ekKq3HrVT/ZIaVXWNg6c9sN1vDk1o8VQTE+UzGUHqPkw8IVkm4TOa3PluBjXx
2pI6dZ2RCFFsTZI7nU1k88a3LfoKlLiMRIHMp7ueEqYAm970vDXanMlHRE3U3ck5NKejR+0uJJxI
MDWZVLUORWvI56RfZ+n3HEc7rF7IY33TI/7QN3EEPi56ar9aaWo8mZrHGUCmHEPE7BkEBmPwRjcJ
upi+XAq0b0lk/eJgoWiCxpjQqapvyErEHrlzmIFgWST7y4F3nbT6BfsKr2jEETVh6obRwJH2aWj4
l6imeCy92qWtWP0gLKjReVk2l1VnRNUoi5EnxXx3hFTyVJqeBi7aLDbtMHCSUXetrcdZbtLJyNdN
qy4ndvgWGSpxMvV63tcyjqgLE332gAHEgnxvraC7gVtTeO4ipqMk4+UyhcfsGHetbdFyNxEdllk4
P8BjIZBsGt3msMDjLra2HHL7YW6nknyuCQQVhhjdfhWzmln40/IZIS3H1nwQx6ypSOMB0zflV8Xo
8NM5pObmEa3cxBAJM270qhYXqI1q7pvNVNtXkaFQK/UYqSO56DmvxAVj4nIDvs1F6uA+pibzgppY
oduy4lzGbgiwAmJpT21/Bqz7iUDt8P4yPoU5hHtA28MeDq0yfQ4eQwR3OQPKzsYrzA64Ir4NiAI9
w9caHtAYFO3YHkg1g8i01PZr5FBLuYwKEmR4KTIzNM6OKHmRm9I4A3PgJmSdllSBUxKpgbquZCai
UQkEpTEpQuC9Twg+VF9Im4gyoSgL5bwVE/9tYSPU0qg0jbMh+AoMOePJBoQ1bYwc62tAD5UVBr2K
tQP9Mt8NCCqeIUUbt7Zrrvec1BnUOji0IUDTjVNezYBECdJXURHRoG5DTS3ffcpdstyJ10YtQNTo
I8DmQT32TApV1I7hrtFII9uWg7radOh5zaxm4XMj6rEPINJahXvCTiLnhY2ffRGzL4j5cdSLXiMv
tMVQ1rIXAoNgwJI99MNYxrdGl+oVUTOFcW51zE4cGns+IUoqRrtuhGv71NsDm5BIy+QznYhkX9az
+r6unO7EYLqPgzcXt6Zlf461UAvQpXQHG4KQ77a8OxOR318jq6t8lwQy33I4UgdjhSLCmlke06Rm
RVoSUsF6Sp6SHcriPGfpwn1OcD34lT2t815D8r3TYX6NftRUdHLHuTgmdZ3eQFIxDCQKdnHkZD8f
SqMulyCva3LWKqv6Kuec/YJjzkyGbDJDn5CXnmiluev1q0ZN/lcoAihEIoJmTzUI+jRmXuZHUCZU
YagUDWTuhpP2CACFx0MUGr820uAmWfY631EBRMBvTUw4rZr8m5E9DirL+aGBZfdANBw7vLkBH9BM
vDPqoJzljIIJqpn6VCW41VsuD24AxSazYn8gwokrnS+LSRgzb69Qe7IvFXtMVhdZy22q1nBDS8Pn
0AsZQZeDYaRHZY3HgXQOv+2Z0yoM4OE19TQ6a3ElT4mMxBG5pXGOZlvCzem7N3NdvI1jZeLIGYzn
CnOP9bOlq3EYiojZanUS82nkk4PLvAl7kclRsmBul6bkncjVfrMOpXeiM58UG8RDzNGzwBCRE14C
aZCtWsMr1JPtsU9CLbvSKnvnRGpmXteKFYizXXww7Tj5IkZH764BF/HG9ZoOLzlr5En7tsNo2D1o
rMxFBv/l6JKC4h45sM39oeN843vD0O6BuQ44fEzT46zS2696hjQSRC4lOxuMXECdh1viphrLRhia
nCQKh4XFGRfnKaZivVkb1zoqQPa5XSM1HVy2zLZefEWOOvtUyQp9FxF/6G2dpTd3fHL8FLdYnmb0
Q6dYLMm7eohg/fOGMDtz2ll3LIiDi3AFcAK9yVq7Q8NezQHb6ZIYhtaaD7TmtM/KP/yWymH9Qi9q
/EpaX8d2e8ojvNiLSeWi00+IRImIpLjyARea026GMCRYsGlAWmybam6ubGtOzolL+E+UOsn7ou6j
R/At4xwMRY7eurP1PeKt5SytOnwXQ235XDULfxNpeGQOJ1opo7sVwAx0Aj2ajMDFJ5mq1pTzcqnO
/KfD84cOD21fir//swwyeM2Tr1VbJq/fN3i+/dR/93fEX5R1KGldjNoUj3/o7wjl3UKciKpRtWv+
u8lj/qUbHEdRQJKIZxqq7vovHaT5FyYfQHFINBHLYzb/3zR5firwosNEOA5SmdaHRQHdFKpM9p1B
HlFIVVPSmM8l89x2nKBY+pWVYtvJ3GmkxGwvV+k84ibS9ax/AYg+vssEkRd+J8vm/Xd37x+6QMaP
Bf3L1WA5xb9EwRITgqP6Ft9djSgX0HnxgB5YbQqiDHGDP7iVg59o7AknGScxvLijihJrC0/tIgn4
pDqw0qwPPOmWb7Lv9Vv+jnhgdciNdxidPWMPQzj8gnrJmP9QX70Ugf9db/t2xbSNMAfjX9V/MckK
paCmXNSfLRwp0caBZPVuxLkC089dkJSOCEnTTeKGHidiFNn+kunWvuDMaGzakVKGihVgXdSoeHR9
Uo1+X6hNq9vaGTpOTKR32NWuik6qcEvaZ8/IDK+zfLLnLUgmR2W+jcUfOgy/PgYcyDqVGegCkGl/
rnyjWo3YfqM0LHt2pVVEg9IH6sPQqEsaDWCNkMWGRv7h94//x5IsjFfg4vidLRwz1DBNS13Wd0/f
1udIkMtYni/VLVQhA8c6uvdeGD///pNU2+L7p6Y+SVJ9pH7q0HVUCuTvP6lGWbA2bVydvVqneDNV
HFnD3ltMP6vjrd4MbJ0tfcGHkQKEK/40aH7SHvNFlY2KjgJOUIfZ4aePd10roeJVJGeVRPtawEt8
zRCv5Xt7Lbqtg4rNX8jAjfdT3kyUHLPK/dJzKj5OchGnGaQRKB0sSBmV3LJ4Z7VsdTaxtyxfam2s
N7q2Fi7pNpUAQ2Q56/CHluVPuGX1oGg+MW3ggKDI7ArVIfvuQenOgJjXDrUbYwiL16TtO47zWtaX
wscpVEZX5N1nnyJP1qd5bWLofGLmnGSM7lfytdcqWOIIxT40ri9Ja7lvI1we9w9eNUzdPz9kRQ5X
RG/l3+PttH68SodNjt7GvXWTikZtezY92/y9gtTJXY8uMGjnRr8fsfUMQHNjN2jJigO+U+9zUZsB
ctTiAQVvMSMhmqL3hCZXx6XDslzbTf2OlRrrOJtCcFNpipKst1KyadKuPE+11t02GonkUWQg/9DW
kKOMOcbFgRpX/mCm0V20lEjZ8sFtzn3YPPUmuPGNM5rcyGQxmRvEsAJ0nLz0BLnGewn1QVzFdOwJ
MAL+StJJLIqAMZ8cNfiDhT8t8BYMYJubNZ0/47juHwddc2OUcRTxw64ZjiI0qeXFxgRrz9VQ5AFA
DT/RIWlVA63RPg7UStGBduYRVG19NBqZvyXUl3nvrSJ7TDCyuP7YiOiqDdshWLgPe/oQ8raZinnL
SazZGcZsjNvcdo0oGKfIIxHbxANTdBY7oFreUlqJdGqGVX9gqTGnoNRTZY938w/kE8ck+sn60bZ6
pF8yJZ63c4r11XOqdtvpFJPQYXvIgudZfwXnN33tKKcT2Wf29A3KyByj3dynFS/HNG2XaBy8XUtK
7SbvreJQ8kep7Yu24kYXI76XLk05XYYTOz6qeavPkTkMoF+Uxb51iEUSw6Lfqxo+JgqiNpEAAr7d
WXiBu/1sufPJydY1D++HqYHeRXUDRmv7Rm6Xaa4v3aTNbhH7smUqrz6bED97q/WHfhhq/dxnfZHN
VyT5rvtRQrU9Fm3CLjY18+pRdylepOzy4RvyDAh2aSDU87iQAoC6C1kPe9Kgm62TTZEeQMcywluE
27gGDtniTkqtTTwmTrHeYkRNYYWENxhYC3dI1dPwduTVcYA/ebXHgEPnVOyI6W0lpjEWr3BLZcsJ
tBDFhk35Si9FgN2RU3AshyncTblLQaKDHpyh6ldnMm+1mTFLtN4DLQ5V9Rm7haJSl2hUo6oo8b5q
w+gm+oY0336fCG/wzrZGPNBVabk9ALqgBAe1LoeOil4bb2vcncU27EY0CdTFy2S35E6xHPSuI7jM
Bh2aBO5sk7LcJrRfCZoR5nusnitOQcvh1M7/de02T3W8HENflu/TopDF0Wpln28zZIIPqyrx7FJ1
fLyOEfy65FnHZtzvw3asy0cWY+sqjVYzgxbEFWyrPo/WrWfMAMcoFtbTTeEtDG2NV6VFOwvDrUXg
k2+i0CLAmARPdShxO/YnBGFbHBUySzobjwsgo2kBVXpEjAX5geQyFeUN/W6Dgj/crEOY2ZAY2lre
peGUigD2LSfsgmO2dq3T19kZNQn3XK50660BzKA6xgkJF9uMltKEInFFMCfxHDB8kH7hZU+0Cx5I
g2KzVItGYhX0+bOxlsmKpHBEwv8EcNIczk4tF3CKsulv7AGJ9z7q3IwfkNSvrV2YxEZJWS4vYzTC
RT7vuslesXqAp34SqWm/2nOoqkOGqniADFNNEWflCF4MUMk2OWy5LqBgB1UsaV7ySckF0igdHzvb
mT7VbWwdRneifOVlNofKEt26tbPzipNu2VK+X+faEvecF42nb8fOyYF5FfS0C2cUyEWaHNrZpJBZ
uhFpJonGUb3UGzU401R1o/Iu7iiXCmpCekPNw4+nkgurOibda1YwqkIeJdRtwSzZbhBIzdWx72gZ
3aXtkGUPpody9DgTYj/c0HdUm09VSrQztBjbair46Kpaaf1gH+9XQmtd9eXVpU/MT1yXKuAIu+Rb
DI3NrVIMasoL2cirU+cg3O7L1uWVp0xJ1Yz/xpyKUTy+bYATKMpcHVMHimHuDDeFBjLFT/ShmXfk
kOmc9Edl6uCfOazzjZhAZmmofTJW8+fQtOSVNyaJB8iA83pwKRtP2JypYbQUeax+5lAfsc1Nr9G4
Z+mjx2qx70rdOF/aGITgoJqPRZyYVxV56MN1GP8Xe+exJbmVLdlfeR/Q4IIWUwjXHlplTLAiFTRw
caHx9b2RSRZFd1U9zjnghJmR4eEBB861Y7atScZwkU47MeAuxl7ovK2B6rTLl6IsrLt56NTm0NJk
WrxOdpV0hypWqu8UQG33EFBAdNVCwTGiDKZFtxN25b0qalxRcC4S+Jcmt7lFTulDhmJw9qoit0JL
l3rCbQ83nQ/0yXtB0BmTqNRrPiYrOD7vaNaN1n7jHM2axdW4pKJpu2NHuaXwjs7jOkY8ZKb2rMlB
B3TolT1xrNTA7e/INn/nFO09KQtj+mn1eql97bsaE32lsZU8ZpPOPzVXWoojZKJ/6yj4tUwByptN
FHUc++u8OOVjPoJDc53uQB59tA7rRD9uUKhaR60ba5zmWtuzeVF61aQqr62r8ZyAWwVKb3VV+sQk
0n1VEfkJi1EoN7J3wtJN6HV0W54CS/tYJq2WvWnNarjI3Exgy7MAZEtROfh7GaWQb5OTEovpc5qo
yhiUTmcXR6LT2v3cKfG6l0MLjiLDvIuyqve5cTfjlCe6YYsShUxg7bkS9dgq3ZhuuohVJL+1ya1J
UsjVqbh30AUeabMB53wsdZcECRRkXqo5U+q4xIvaBbHo7PaVDZH2lMOLA/knM7bdZVJ1dzXNiNxg
deHlOxeLwOTPwye05Mml6rwYnWcMauibE7ga82rGW4NIG3foq0vCFR2RTOe3ycGB1VVm9GzGHClS
406H8GMfwTV7/FzzrCTXQirodeBiuKswjQ39tSxjXr+EZbnrUpc+NrBAKpEceiUB5dtkAs04dX5i
d/5RUv6LksLyVmf+/vdSyt23uu4IGH78RUz59Qt/VVMc8xeOHHxebZcFz1YH8i81xVV/obEIWiEl
01vNrIYt7jfLrP4L/wsxRQVd4RkAPX5XU7xfHI3cNCcafLPwRP5WhRd56z+fOUwX362B+QaHrrMR
If9ivykrg/WqUJeDRdZwCQetybTQKifjRt+uxsiDV2ywdM9ktZtoFPHIZ0hatl0oHzuOpBMAiFJV
POwifWmFKTtyBS4b84T0vrBliG8n217O1aKpoZkNbArWiqYhHzM5zRIa+cjVLml7VoxOUyIHMCfV
mWms6ZHMOfyw4GheZLfI05JTDqnhx4ocZV2fY10xuODx4EbSo3Zia+5sH5NCzvVBbb0WJC4PGIrY
DbsOCq1Jc5ROg4+rKiiwrIY5Doe0PmTOmn1TNC35MmFdvTKmO2/W0uRD6CmeyYK4jHHDQ3kbfGSA
jvUqCGsaKCbrznOT8jwaXn4LeL6/jlOn7LU4XwNazGCIN/04RwwOxS7HdzoGFm9KMGNwJ/Nm03vA
dIfmK2KVwhbLeHYlbzO4Eir7Brwrp9pOBhivkIB1vU0i3eOdNzNTO02rV931imEDOlire3Utm7t8
cCUHFdfU2Y1vBbWOLoi9rnFQTKmzI4Kv9gHBoCuZiUSNFseeoNEXwCoCYrGvaA/9ZWjMt4671qPW
dbW7d0GMlKHODkkwCrnFvpaD8TKXhb7Lob7sK4H4H4wUgF9BHWfhYqhFUG1N6ZY1dg+OTeCRHF1s
nQw4WN8RfurIrLQHZ7yrvLIOu8ls92aisugZWKF1jW7caLi3P2mLSJ4lmZFbGHxW4FV2xMAESrwq
wDykfbU36rk8eaWMLx71MveWyp22YJrOqEoIQVkX3A2HZVe3Sfy4DFTroglWh0mtApXkI62oef4Q
D1TA4hZ3wng2p2NiN/siN9yoMqcpSAe1CeO14W7rjU18yL3Y2g12VXz3pumLFnvKrjFNsnVpX2oP
XOSJ383Qz2AlVD41qkakuRadlOhUIX019w1XW0Dm/Nxs/XYEqO1QSbu3tcosf50dZZcyUEBDdnmV
HV60ZCC7pNGzcyrhwL4haPC8LtOWTkkhrguGoBNMsTbMWQpHUpt5TpoyvTFGkrA1ly3PJET9vWDY
94c6zbY4Z1wE+B4sjgPsj4geIfQlmdkke9uslkR7dmPKk3edp00GuRbocPbAojlNUvdhor/HxsWm
eO7wqOuFNT1aHW5F07faItVeWGAmeaSy7TyDbnLue5cD5etsrhWwNPxcbH68BgG0tLOF7z9mNx7C
1StLgkal/0OTY7AVusgIGDkos5lMSH6cmk29K5sVjWLGsGhisqL4ZaQ7NTOnx77IBgI4QOhy46Yw
MDt+KopernW4jkXtkK+04BUtwvbWcCRbzJ1tyJLkEywkspjEdzN+P0pTcXnCryaouEDXgR+ezfz4
0DOdJCzz2nXxtPGUTg5L75qfhgZayBen8IjHfOI98oYRQQQrHyQeA65NHRc9Gkltx2SM1MaiuBiH
bB8/1cVgA/FuiVoFei+p4dZRdqMfj59/ntT/7Ult2Jve+++f1DeN7NP/CT+Kpv/449pD//mFvz6p
PfsXy7a4bNGPMdrq2h/2Hqr5y9a+iQALiHFDOfz+pN7CLdgk+WPUWYTG3/cehFs8A5P/ptu6QH3J
vfyNcAvYmD89qbF1I3ET92DnD0sMT/lfXPRI9Iyls6NfVj56ybrP6MHp45D4K2nM7gq1myBnBSXF
h/mQM8abhNYVvbS1QM+0Q8cS4hKzs2G5qlSYJ1uSx7iyrk1SH1JpDCe3nZzQLD373Ay18tjWHY1N
daKc+4zhVpiV/Ti6Yn7OUQRqHxGR551oqWfvclKKXbcgSq10+GAvp7F7jA2w3x6VunwNH8fkAOz7
ahMWPbFzxX7SxvfT2t6STsSmoqm+WQnt0HbCANHvFoEDpgIEI7BL2g3SpP06WNpEh5OAwjLKPJD4
ma+xTDgn9Wo4jyomARvDW9kpUYy5Z7eo67qnZRQ1I9H3Sm3Vrx6InYhqrQyALDX2s7yVxWJGSlL0
eP56Y1divQyEhSHDqGy+f6Xhk2PCprrC9Q5LN2QPTpI2WD219SAKHVmT6hN/EmI8JH1+KxdPZRIq
1qiisJknuUcyUBVUZqiWQX8yVlJyvzNutrKjO9m5pprHrd6oHjy1mqI+dvZeNRyEuQEuOR36i9fI
wMRwFOqxuleyXKNTY3mx+nEJxn77IURBscaA16dcBo6YlmJHpTt8Zv8SGvNcnUStZWfoFtRz6Rz4
V2enZKXYWWtb0zvCsJaB8fVbyz54sYc/uVEDt2Agy9ZYASmQNb6h8tygho1elmGed7pJ8hba/3LU
maqeSJ6ux05zx9BxpnZHjsXa6Z1Cq90MSpHMsu1bbrKfB5sQKEC5yNPydzEL84zv5LjUMUKzZbTh
0Emy1GWyTw0W2l4r2rAslajI2yeqVF/ceb3kOsJnMtrmTiFxG2nqmu4dUX2AwHzP297cU7shgwmK
UqSixZ5aENImmHjo954Vboavspt9e+KScGVy7zV5s2OfvgQ6BtgAP0UwumClzI52Ha23ji2z7/ti
rlpQyO48K8XnlfgvoXZXRCSHmZnREoN1rV3QnFwLGZvy0EmEeUhXc4hMdJZALfl/hSbflK6vwsJh
7rTrbmTgWdo9JCgzaiD57ey8oirHyJ+lbidXwvTVznA/J16nnjiXtoElbOWJAq+qCwY7NUOnzLKH
Ck0sqHkU+2RXlr3IPPmk1jOjL1XgD6vjmmHXrVdwOuWOtvkp0uOU434xVAgSqhPVs5b4va6od5kt
10hdiyrCFp0GFE3pIYsIZmYnt4+aLuMgS9yRWTQ59taonztFHUKFR/TzYBm8i8heoW5CNbITbwrZ
QLW+ajWkMqxcfV5iU/V7RaNcYmzXXZ8KJ8CKgGloLerHQjGWO9o91ZPWI84heNtpFkxKQSJWuFNI
7sMOhpKFrrF0xY6XOlwcpYYEaisXmD/lvqE1RzGLz9mIzsxTuzyOrUMkwh2BSq28n2LtLHwqZQ6z
Rf0+x6kbzgAfTmJcUfPs/lF1s+NQjzYp1+0YLa0HSspa4OsGOofH7nidSjs0zZnDSet9GdiJgGi4
i7XhriQYQOFLxs42U75V5rrsSrmeZe9csom/j0y7n2h29Guzrndw/CROs04gNZCCTh3D9TUz+2ib
BFO0uz4yCEMC3OxSZeEoPoFkOuJUd8Eh2eihrFsuqcSW10V3dkOlf3jtNrBkuQFgorMeY1j7hJy9
CBqdr/JR289m+21k80Ar1RLfWDI39mqpaaeYnuVdXhKaKDY38NIXAut25R5SQ71tSv3dtrtLTgfM
sbPmF3fq2Dlkdh+Ui2EfBzWrnzxvJEIssS4Kwsopg/NII1JAC9CTrg1nx+zljXB1UoGyoq69Ka8l
6fZalXclfcu4/lM3iNv2u5SDGgIZiH1rHZq9CSwrjK0lj9qpLy+ovHJv0p3pW0bsHZjK/M5IgWO4
3tNiLoemrGmgt/NhB4Oy3fVuCVjF5TvW6/rEciC7o2Dokms8hGYlnmFNUKZUaEm5k4Nl+WplAUwi
7oeXOzvDNzkmskW/Gg3FT3qYMIBp1ZBCd/tTWcxvUzwMB2dxvjaDPvppUqZoQf20h/+r7JI6tgKH
SNUtHL07lb5nvyVCxAufrgKBK+gtzmUwOGnKbKLJznZzm1HraZvlUUuV14HzjN8q81cjEzr3wmE4
uvRxca/J0I/Yohy4/2andDSnfaJwl5tcxQqGjfjg4ovdZ6th0WQyGTudTr0Ao5S2T5z8dYLweVwV
l4Rqd+6KVhIET74binAgxZbxTqEsyzeFre2sBvORZlbqiT2z7tMYVPugROCWseMNJ0CaRv0ZmkTd
P5sZFaAF16zSevVhnkgJUSfYt7RTvvQxXaR8FFu7y1HluPoq9za2pDeJbWVRbB+yJgdcaBygFmUj
TiABPOjZGNB2iTosC2bsJKJlgbs3/ZqrmAD01fiZH+BUObb8RIypXmv2F2PneEHeuOThgE6VGQ5q
n/XGKuU/Qti3us/65b+O16Qo/uN4/W38+PqXwfrHl/zBUIRTxzSgpG2moW16/ldgHDnqd81LpSEB
7B6eHkTpbf7+zUFkMWSTrSDxvNnrmND/ziStbTren8wUBIi3bwNOFgWNuhVe0B/dAKS28QdJAciZ
MsSXBZP2cTE0RXL/KQFx8GFvw1k0J5wYrQYtqSVYRl8mn1i3BAPStReL7bb+ZqVrcdM4JbyLdmZD
Geiina1wkObyAhZqfMONK8M+WTiOikWfA2904VyKnizbbKf1uB+mRXsY8LB+qsd4vF0lC2sS1TUq
UbFKjrEt99ddVpnFwZE5OQdZjChRYun3NuFv+vdS+imDJGlMmPoLPmFzQd3ZpbM7JQdIkOsQ4l5W
P9OyyXxeLkXxtXWU9jZLrJEVPFvwW6BguCEQS/jZK1EthZ/PWeEcm0Wa627VhlnsWTbxpwbUKv00
uAlZldRql2PCVJ2HVbXM4Dd4gTiQ4xVSV9OS0rnXXdHcezTwPqx5Md62PIMEVQF9OLEWTgLOIuM+
n6Rz2AShNsjNZk0OGXaHO+kOBehrjMW9uAJLee6FwIfBAypWwcUcYo0C6H0V64nh7F2rRhF3ZKau
nAOYo2o1wMY5A7Zdq1oL+oVGUby8zUBWLGlTO8iRVWvmicyl6Wp+7URpAjpDN6AV1rA1nqeg88b5
pvi5W6Ztm0WzwCxd7cSPBTS0vG0bbf1YTcfYtHYEuLaNtfVzf92yOu4vHRsMylF/brnVbtJizAIg
fsLW7MbtwnFWInq5tWIP2BoiisqeyvHU/9y3a7+u32XXjdNa8dzSp057S37u6uefm/v+5x7f+rnV
/0dP+N/c8DSE8P+o/B+/fqTNH4WEX7/iX/c7DbWAKwCehaHa8E1+v99pzi849jULiwkLAW6rv938
fsgI1MDrtgtSw/6DfdLUfvG27D6rAHyaWPaMv3Pzw3b5l5vf9i+gWABGxQaClWtbCPzBClVocTsA
krFvrNRUjgk5xfZcO7CfInyHC4TfbRFcGPVpprG6fFwzYXmfwXd8S5vVejSdwrACrTGe8InNr4yo
2dliTQmiWndZAova3vhTK8zzUDHWpX/gZMRWNE2mqX1W6zZWfHwGpQFY3su6/ThScHfj6KnX+lNb
urusS+sj7FUjcHIioOwNkrCuShMHjmvtMA3oeoSP+b4QLDn9XJ3iS2kIcekYw3BNji3qgpy+svF/
N6ve/WpyhGJt3zh7VWTiXVaFGphWZR9to/vAV88JaHbThVgYn83zuqTzQRWNueMXpdzAiYtnzrXj
LiWRzSFIenoySqaVQavGndWV/eDr2ZTfKmmqv2KdvJiDIUJkRBpks1R9WLq6eegHztpjr76WlCo/
z1CUbpkXt82z90pK1I5GlaY/Y6zuzVxpD+Yg9RtZVfI4uAYIT8a/SzU209HiYHSl+/XD61ssYKIW
EefC4txWhbcvG2X83BVOfFxiy9gVtQY3jDtXtOau9o3tE84mF5DfwdOzb8Ogy8ij1f3N0qiAI5SB
Y77FWxO0Vem+6/pQRJZDZe3sNq9VVr22FHtcCUHi8Eqn8VPcK1ZkGNQMkO3FuSeAR/rOVHOkKauR
9Y6RedWjs84mcXQ1Fcftinxux87e0fwNkJuUH480fWgJErF94NWPTkhGdeR0Mhr2QhxqW5XYDOoP
JrSwu2Xp1tt4StWAs3V7SQ0dn0ymzhbfhUOah+lvDx9VkmZlMfQ4QTy7WJVYLuliG1c2IPkOtPF0
h+VL7uqum7+g6JaUXaqwIIdCEd9BRUO8SyAF7isnny5yjbPDTAfppY+pVEJTnxIaXUvSTEJA0NaI
lfjLIJyzJrwU0F7vqHgmFujU0ltLX9a6WkMeGT2G5G54MeZlmJBAFn1XGEW7BOyaslBPUqo8Ut0K
CqVSOHBXunceK5CIdHkDrQ/GtpE7b2Jd3PKinNYWp25dumeontT7jZhcvzcDxwnXLb0Dxd/2BQ3o
q71aqk+LRI6ZL05seO0Kvkwwb8DHWP3Tjqx6r3RuU3cpnbOI6+wOq1a6K6Hxfx5traScQ7O/FICc
TutcUbBhj6m9nyQKltT66Q2vpnGnFLFDit6lzBWzcwLsc1rOzaSYfeC6cXMiAwdgDPtEGi2Dvt45
Fr6BlfNCYNtzHWJs1I+kzOUDDFFrTwx1eLFSq7mniC+FoxVvGx8vyc6KMBbfqjy3wjPNj4Q9k/iR
jsGUs+7E6VyOCzDXkdNuHy9RRnPZ8zi36GxTq+1ScAosJgH8y96MrxTqyjvbbkFDuPIpKwhfesZw
kLWx3k4DeMRmdk7wbTmZcTyej9DopoM72azZKl2JtElDRGIMWB6LrhTXqhv1J3Z0+Xumam2o2AVL
l0mSTFyyND7Wquc8znmrBx5V5sYs1GvlKJFaN9N9YrbyssCQD7h5kpSFFRc0Vg2BrMoo9maNGSbG
pB7XVvuKUdK+EWZbH3WQpMeqG2w/0zqoAfRYUIMTJ3v2CmTpM/GkMCBiwdON/nH10uVbpQpS9Iqz
HJa8Mu+dhXZdfouwd2nKAKuYWcXeYcwLs5gbuaqv/TlLiZ0QcjV3raiTwHZH+6rOgNYbYrdHL0mn
MC4895PRqOkBa1kZKBj4Imn2C4kwvFGfeAiuB9PzIHjlreLPU0ry3DaH73msNBiKsuaha9Gm0ZUJ
arbqR7JWSdRqJVtHDCl7d4TUEwg4ZZ/0NekvsiofuqYZTlAS6sCQUpx1knLkSSzKDGi7vVO1zLvt
Ugnvvh/iNTLRSfaViQqlG4hi2F/HcHBS8xtW1jGCl/RlgD/MPnALe8dsSgNpW8qF4vLWb4Q1vYJC
ywJTE+uDDWck7I3G/jS4KZ8NwxbhaiE0wbCfr3U6KNywUHAmKzPfixLUmgvU4kaL63q/snX8mKrE
RMlib41UG+jToh+s0RYVEb7YeswybYYSurpHRuEHmsqPTA8qRkzq5MCwUFTJ4dfyQicboX8Uyasy
W1WQDxW6jV2ndznDPRT9NpleEIfakwc97ZQQ8gR4XCCacN9Ugq5XLx0+zYd1He4Gmj7QytWSekRZ
MLcOw1O+6NUpbkg1IqTva0+rL/aapEfPVR6KBejuTHkMIrARJ4FZJy6zuj3sEhd/YmcMbFfd+JIX
otg3oDeOsQrtsF7VLJxEBTCVrTaCFWlOVJXc1+eyjWY3ri6JJbl909L8kWYqBQI4eM4rp/ovmlOW
n1HKlBurk/edgVCzuuazupjdTeHF7WWaSFDLXln37uAMUWs54zM2pOFk2dVHTg78mLJ637VF1uzH
YaERFCA1MDAl6U4ZFTq02iTmA/b95m6lgD50eXKNWGbvtUTon9BXpovHU5nyOC0eX7UsUw7lOlqX
SmT5Sc+sXWOw+GAtdFvY5susTKavulUZZbUR+04y0vvuJmI/9G57K9xeC2aWGzu1jb+5RcItMEnT
vdt5ggr5rjx09FiR8TKnsyBI8TZ6EHKdjgY7sZZtCIx7/W615VNa1TXey9x5LGJeQk/nXcDroyY9
N64jd9VIpNp73EEgrBozvc1FA7RbWa6zPV8o6jafyxaHQEvnU2SyT90Tx/B22VzE73JYZpS2TL7P
Sm37mOW8qBn18ehMqGuoPu+Txn2FTQXsjWmzTFGvSsr3QxkgQEscAL4D3fXkeWyCCswRc38mCoMp
wWyq8cYsm4SaJrUJUtUpn3McAY8MVcW5hkUBiVaLIVZOhZvfNk2v7SmIFzdlYu4q29ja11UJf5UG
iXq2lH2am7B1Uz25OFtgF4zvcEjinH069RH2XWuJ+Ziapbab3QFzVI6RYDKn9w5EUtCQVBF7jJzr
rZjolC8gY52aVdY7y53mD6RsGqux9jKkFJ1t+QWmNXphty0Qbb3zFyr7xLu9jIHKmPtRJV4c8kLo
wqnaXV6x6g4WIm4Y71VgFXmhHJJV4pclOVFhJTGL+ipmvYABatqEras2DRQz+RqzFg7NegUFXtm0
6FgeGXOsCrfMvUGfqeUOku66U2PBE3SKMflxH6AOkWkzdV31EBuK+n1rY/R7TEs4iKn8a2iJizRq
8HxGD/zoZXFvOYCU/U5d5nMcd+yqaj0/qvyq3zm/Jgd9juPIqQcE4QSx/SThjAdJqnRhO5HyBsER
O28waKS30wYUt2xV7x3BAwk3f5LfaFOvfZmFU96urJ4CddTLwIixjMT1ikz76M4xlOwwHt20+ZIN
5MRNv/pJQJmp7DVP8Q82Sj+7XvM0LSPvGoGjeYOoeD94KrmENgJdpdRArQBpwFnpoVWg2cBjUfoN
zUJpyPyNBAC8Fo9XyIxgvfE1zTsRoXi36KM4xksMoVfb2C/qRoEZ8CdeW8HfZtPUfDL45BnFInfM
5sq1AGcQ0hqp7zPHQnFJxFx/lbGqXenncY/kkVY+wShZN85gP60proVWWvZXsxRd7K+oFufY8qbI
Wj35QGuMwcKBHaiC1HKvTinCs9EsxDDTaTiYJRxm7gZLyNSnh43JCMOpv8LnkBUHW7ItckpLP6t1
Z57kxmrKLDy0YPTn0LKXaqv/4/uphWie52w0XzutwJfQZeyF/U5TSOao1A+pvHMPk+FaQVb2y6fJ
im+T3OVtVUtvfqRHLAnHPKE9AKifesWPowd533WhpDmQGJ3l2oMfJ8K9dXkK5z6T1gDlG5i+34m6
Os1Vnj8lbkn4jtGTM1M33iz1mjxW1trt3O3Njqs03ytez+nL0qv0RonHSfpNPY+RTdjguORd+xjH
FYwNzFWwd1fPOhadrB/6BPovLtL2RaZSe9OE277VTfISUwtzMXWEYn+tVTDruhAkLLCG+cOongnM
ikdKijr2DrGoneswp+Z9nbYfzgqgxBfrjP1DSVWiAZPKYz9bE3w0ahmDry6X8jXHY/YM+ijeu7pH
VGQZNH3PUah/LuQwfR0V7FuC1ei5qxIR8orqXS5zPoSzrFdf2r21+Bw9mHXarIVcnVrT55Wpj4lf
saDMNDOimrO5OmuvzB5k4jGJtauEAgUEIupcRYt0Z/WOEwCgY7qu+cVKx+xYwda6KS1ODg6SYmir
yufSbdbnNDFjy6cviB/OWLhpqFaxvBbcKnSu/EkN1txZb5WlWUMw4vG+18fygYSPGxor15WExuBr
kJ5PsU62WTD5BlnmNYc6j7Ug51iG9lhvg6xmyYtlMFxntWptd7AkAjI8sfvosrxq35p+cqtbrcg7
A7CCzWGspWcB11uDiTUYUrsj5Y4ksn5Vllqd7jRPyQ82bj7+wVFZXvt6FvPTOik5z1el58Db3w0q
8BQ9GgZHh3juGXKezrwl0nV3zQ+FDzPhJvf9n8ocuxRIwXxDCGkfK04LraKaX/6gd///UqB/DW65
WyjWoq+LqQx156+CMqrvhM1Jm24SpaO026MZSWM95IASUFxCV8m7XhkbxuJkFNYOXXNnpVrkOvFV
DCur9T7iR917a05n1d+DL3K02V4bvFHNJPVJNPcvBs9KG6nBgpRyAy3/xhHMivEhG/8LnO6vQcjt
m2imuWV84bz+P4q6lfczh95xuslwo2z/2ZQZ1E6z+0eS/N9Ikth+2FH8e4cTsblGfnz9kyj582t+
0yRV8tkm3U/4jMlv/tGGTCPnLyxXGCA3dKTONfy7KomQyfZkS1z/2Nvo/Np/W8nYqJKa7hHDps8T
+7D3d1TJH9zTP8ZbGUzwR3sEW/l2pvdXdO9WmqDGNG6eXbKFOcMFIJlleJOjZ9bylKsQuFvwFCgU
+d6B6JtZF4M4xhQllWdaDuMSTSsiOREFcwvjWisEdm1wSj0xghw9v5RojUPBZRrvCzezUNQsRlgo
1mDIc9o0YzIAHocLC8VgTfxkwKWTXrSxsgC6sIVnFZ+6tAcoow0N/mTg1SIYYUwgW9nRxKP6Sa8l
VdGMXFIsjxDWtx5k16T/7N5N5yH1brOsx6rEmrvEAko/cUBcaeuAGOTKfEOEGYtmgl/JFT/Tr/8Y
A//b5tJBfP9PH5uHtPn67X+OXflRf/2jnk+KfPvCXz87jvaLRvgZW+BvRU7/0vP5I9czAQBgqPmz
ns/HTdf4QJFvBZYAdPdfnxz0fA24AkFENFfr73xqkO3/rOVDA4WowOea14ArkUfen7X8ViYDjHae
ytRc1n6+pM0jxUR9FpFkrsgnWW9TNY5XmmMzPx/EG+qeclQn50Zv0F+DijhtKDqzuvfGqsbJor6w
2Ewy4Fu0mDfm5BLtI9gpOYoH5qI4uxxCOwka50aUdC/rs3aXIwp8eEZ1ZXd1xepNKl3EYS8tLxio
JvRLIq1ojNn3QR2yG5wpdtA6AvsgGDjEDyqzZ4s6QZZ358ZT7yiDw9gjp49mnmYQLfgeTERK2Wff
uzLHuG/QCeg07o1jzPsJFkkgkvo7xRTXSRsf4tlKcckPO1MvrsOy3pn5AvSQv0Xeyp/T7IN4Aeei
dv1i9QXuau1L49hv7dLtmhILmKxS45VajEMmXduf1I4DMAht4Iku0BjjrRjLD0fF4wi95EGVxXV7
B3rs8SFdQN9zAfOuwwa4g1xKwW7FTm/YTCDjND4h5D0AzbUDF4PXUZbeF6IB3p6oEpi/5VwMenNc
N/KdMhHBwnPKlgI+ZTrowVzMTzY9CZMw31KjOCVzCfYm/2Afc+OkBtOaTZuJyQ+0dXo2/XJnlvyu
FqPftZ6g3cUsTvjRiMz1KbYYHfyW3vBG6amMfVwZve9tldAZPJlg2DCRvcCoTTE472VafQzawiC8
3QY5Uy7B9r0EfcCR0q53U6fe9TrdR+l61lzEZeSbs3AaJRiL9LvB3TGytOxaFPOZOIl1cBsMkXnG
T9iwI4cHBpORvkbcP4YCP4ZvNGZujlhrrsjY+alZ1hdpQndKrfmpYr6cl5oEdir7EKHqox4BF6LR
fmHiPRNFz3B2y4y9LVWWs/rZbY1blhxaYE/YQfX+sFowwFjVP6H3HAgv45yUxiHBq+IrqosFsB+x
rA/rxmVLo2ni94nF1zh5DlcCMFUkMwY5H1jOS51oXzxj6v2KAd/vk/LEkfSplcOTOZffK1ClgWpD
fBqq+ckAZOoDhqcgXN9q0Yg0Bxp6UvDjfddq+8bzzLcG0M7OpsJUkBLc9dvX8XNSFIRmNRn2W+bI
5WADyvTxjt8IXRHvSKkeezJKPSUnqHv2Jk1YzkkcIFZYweL146F1lvFEp9F47CrbPc6jotxiFiwj
TDXVba2IBR2FrTPp3i7QldL40mvd+zJK+6K5hSCIMDcZ0odE9chDj/Nr6BTr9BE7DV0YCGWlvSdk
Xr/QW/5SzQqxgdXsIK1WegbQNL4BzPcuDeSSYi4jQEb00RpZKPpFRq0506MlbdvGmDdLOiZ+1D9D
GAC7eFc3LAvYJbw0CuetDrNWNJIwnetFfqlrncOdkqdRSbzTddjfiZUoI6sqMCpLE/9f9s5sOW5j
y9qv0tH3cCSQGDvivzg1V5FVHEVRvkFQlIh5Tkz59P8Hyu62dHys8L194XBILoJVBWTu3Hutb92i
31QroFUMB1LrtTKrmp4O4cXxINbuZJk76VV8bzOPAITNkE3cRD0AGe/GFl6/J8mHDnrmPXuGe+lx
iB7DoX3D4nxlu9lPwA+L3OQPxc/CdCZj0kd0gK3LgW///SpOig6xfWNWHewB7KvsG7UOkS8kTnPW
oel+qwZep/+JvlZ/clj5oVR/vxqVGwodiDUmVOnvr4Y7pC/d2SsPEY/6BjPjycqXbF/Jgv6HzfRP
rvTDqWi5EtY13+NigtjtH4HVo+dNMqVfdbBU9hKErIbLcpyaI1LkbtVVR/5LfDsh/Md3971InpDE
5Zok4bowSkhb9n74LCNZBjEk4RLDhhMjIBseq4kH25D2YTSg7y3vN8+RZ3asbn/9duUPsqJv1w5c
TAA49EzvxyKWftyo09kvD13Ryk1aFT7ZYi54w05cpVWaHUAivI7dNOyycRhOeG15bgOErG08v8ag
n6NSX/URkDd0fIcggHSe0raz/PFqdFm+fRf1YIZMsqlSjLjtrnCG+6mInoDdwg+Y7EuPoGU9VVWw
dxw4xxEn1TWsx3nz1+/0T24hxA2YIUzXFP8eqm3lDHcry8Y2YHU7uxK3dEJvi6VX8ZPr/NknikZh
Ka1wKzg/wvyD0fQn/pJ7NYBVi8fqdjYTe4vdXeKyCdJN52dnFZnFXT7Mt54SxR2STGY2OnprBtbl
pVRJMwoI05quOJzTvR77RyNwL5LWd+yz3Dt1UiCgYrjZTNb0HIFq2BeRVW+nJfO+F213X2bT09Sy
7TMUtE+4IXAUu1AdgUG+0YRH0wosddUyK99PRvoWVvrJj/qdVliQsP8f4plxcVwma8gTgArr6Qrd
RL62eiaiMw1B4BvmjinLr3A35rVnUmP99Qf5JyuM5GwecE7zPTwsPzzz2jOqxjZkiaGbKQTlxMTK
hpbLBdogD399LQrlH1czCTvM5tsCWQQy6Pv1pbXmxMvtuTyA2ry3u+RUVD9bMN+fpB9WzAXnQ7+B
f2Ov/eEaSdxkCgBveaiCod51yWStEZ69Lis9Gth5r9rwlFn2ITCsyxgGMS3t/GRM4Uf4KZ99l/Gc
hYeEY2EKvSFlE48DVifCA844Qd+0O8qtF9JxzWERQUOX46oXurvOE6Qafv3Bx3m5clGoHkHygYR0
qFs47ingjaRfY/VnZBQ01p6R6jJOTd4cwgpWsFfPw5SdMiea176bUqCaeNscs16XmPTWg1D3VWnF
W3w7P6Hsv0PRfvzAEBExFWcdJoPH+v5LKa1aTdVclAcz56AA14cGp6JBZhkZ7znmE4BNmmIh8S+F
g9cv7FqBP7+4USn3cpiVW6Y1/W4MNXmxrlnhnRXPY1rLjS9QKWaDewl7D5l+6FxitBYbksGMdV3R
//TS+QkG7Kvu6Ax5ycMkqQ7h2Cfr1pj2WSyeZgqxVQ1cZy/zcR/U433k0GFOsUKgSmbh69xhXAUG
EscizIO95einoG6HbwLf/7h1/MlDwp6x/IOxmtPbD5/RGDVoE8ehPEAL2FDiQFEa+XVsrL9hHf3k
GzF/5Ngtu4XPLsyyZqK9+bdnsrHJSrMQeBxaC1aL6WKDgrd5CtmpApPvR1fckhA09YoRnGIsSQUY
5WfmuRrvVejSLQ/qdYKjYhtgBF4lORnZ5eyjATKvjcG/ASzfwb+h2p/KSm5k3b0Cd76fctzYpFKv
ltssktlLOC5VKsl8Kc3+piejfaqASdGtGFTq78gRvrwfL7U9wXtx+B+DNju5huIV9TgA6OxRf2kV
Hyd/un0/BCEqQy0O3eBU9uNjQgcYUH3Ur3XDUc/R42OrIrGaCbEM5PBoZeZtYyQnKanWTK/fAHKd
8bBgMCn4k5A5OUiGftiZdtttl8eomxzkk+OjGy0HCFAmPE81upyGakmE6XlqQF15Nf83epXnJgWb
DxiuuQ6c6bVVCFB7PmDE4mdiIuE/T5Tidm4/A0dnLGK7a1k5h4E2jzGkJ40aeNVGPMBK5ScOxehO
2VmSaODG5OlwR8gMpvNr3I3lKTOdy9Chq7Daeb0cjCbdJvuxaQnYoLLPlf1sYcX6yX7s/smGTK2D
PJBGHnfUj1nlWDIQmKBqO3Te/Iq76L4T7HsLyyN0eKyX+uv9qF2pwNypgErv/ZkvY7Wbxw5RUsrL
cLpu4Mmk2wDDnb9kDUOhipo1iuxyG0z9fCB92uCAlmHuiexk25R59EreRHCu24B8vYh9UWkI3iVL
01p78mIZrDGpmp8GSbklWlmvXZGAeIlURpwvlTWptBb7YSxRaaQRZTaqv0cFgWuFH+++xWmIUyg/
Az+7tx2CiQivBiPYZpKBpL4ibwL4fQEV1wQXRA/w1e10vWtrde9xOsBx6ILO5/yETu9RkmGzVPPK
+31//afD9pMOG5Q6H33pf25MH6vxO2fAby/4rbMWiF9MzIW0yWzpcU//5grAiYsogNGUhQmAvKxl
nPK7Tlb+Qm0BzG/pZXNgstn5f+tI2+IX6VJwEHHlo3pdXvV37Lbyh5OEWM4uqLgtyUCD4PX3av8P
Otm5UGoovcQ/iaaYroy0Q32eWdn9JJ3sS1EO+ji+B50ykCX0NHvPP5VLEmrqdvUq9DrjlqBIolKR
/g+3tlThU6YJyL5qllTVWKG4JCphiT0Ny14a6+Y9gxW4wJZURlwJjhrvekwKzAbhVoWnOPXzL8NA
muvQ9P5TPFUpKbPvca/KX6Jfy4qRuyIEme5JckTKkm/TWBIW674Hx5aFdL/Qrcy/lsI7RhyCLmkw
DR8Vp/t7knGJn+2JMHhTSyYtZ8NzhrQDA2qZpJ/0kl1rh9HwcYoa/JpzF78ZLNfwxSNnWR4n77ZG
6FjQn5HdbepE01mTGMSujRfizSsM464qUzQj3kAay2BY4dF9D9eNOgKIV2MliaWJ0yxF7apNgl1H
ZCWa1t4hd8Nu6wxhDBiCQIe19At/3y1pWxC+0CfPZhzf9E5PEG5fYR8AabyPdOCfqEyHvaiovze6
wLpMEAZJJrqMcw9/UQxwuQKejjMDpSwSY7sKvsAoQbc7+62HypTG5ZUbtGpthVlzgnCWbplxU/hZ
VeWy1UzBVQtrYOWkSLCw2tX+hZCOINmFg9ffD17RHIBPg7cjieUz/HIQFkFS5BWHE7d+wAyh6Bj5
BO5aEx9OkOPbNuoyvzGRWIiVH2m4IvRzemYC3vBMbxaJT28r/8qMK/pVsZ6niSm8F5wYdYRqExVk
VlDdkR0SLwmiU0KyLTo1tEPjhDwVArM6qbRYzvrxFN36qn7r+Cn9QSjdJBvDh2k+RhkhPJLkLFqy
tlavZStd4xAiiXkK+yk9DrJstjqYU0jWpTu81JzCb92xJUO1Lp1dYMgWTKFs5M6sAhQFE5S3Gw5C
UfrUCEIGhjt8aEkFgUmTpL73oEHcQ1uIb5G9zmb+hW/XGm1SAFqAb6vJLtGeXAvdzlVyEa5XhJeo
QxZZmBVjbFsNiBdGF6mlaX2IfK4RLliMXD/YHQFmmMlMZ61Mk6IuBN++MyoCbeGqueuBlsyJpOds
1xVZweMt2/WM1bqOMpySJZmmTKmqbSfqAhSZGe7SOGOe5Clrm0xBT0EggcNl5pXFlnquYCPTJ7Pv
mY4e8lE417q26cKJFrKEKJe2XcPnjnsPxd9gz+Gm9FvuQLJ0xMVg33Ix6vYSVWOIFivV6mQVLQ38
dPaOcgrG615qdHTovPcIvym3qkI3V27X9CeUT8X9bGIuXSWV6+zdtERzH3R3OubBzKr0jTiQD6bB
MpD72Re/rexNisN2VSVp92j0Vn7Jx8lbdyXDsITTyENrZ6xaPrqcVdBRogkX0AsinniVgsdcDxbK
gKHPbhFjPQV2m68jzYNtVPKQqujeRY+4LSozxdqJUi1NxOCspi73D612kRBm7vJpV+OjkDLeCMLn
j15l6y19RDSfhHjdu/UShJzrjNZ/6xzRDBdbF2fERNHR9WdY62LbTClqNvQkH2Vu289eQZUTZ+S7
T3Ucn7xeeY+e5/RX9ejmUHaijjXFI4qFMhkK7KvQE/3AOIv0jch4eslETW81qRVfM2Qth0rb9qE3
gvR6NI1g2kZdNO1CSxO1UEKRGcHkrBHkNED9h2TvtcWSlWu9CLDKNPyTYQdSkHIEJOEWdbCgp8eH
cjfmcbYNMVDmSP9yPm1L0t7B7RUErwkBaHzmcmDMuTigSJUyyuuEuPmbtPORlwjH2EKv1PtCWWIr
CCQjd8Hrd/gki+cG+yP5PxHx1BFf/3OKU8JyeoST2VTemMTJbOY8Eo8cpfO3brbVJzBA9oPXTOVd
08TRdkbpscuRm58HrXzYJTbOzjwzMAH4Vs6iGyf9Q2JLFN1xJ18kZLmDlM14TZu0PPvQ4w+T4Zg3
Xedkiwe056ka5wcaM66PHt9MLjjw1bUIwuG6cxAgiBiA5pB2GRonnyUzj27MoEsPMPwTVOW953Om
9D3w/TLayFRZMNBUrE8ir+MdRL0CoUEOYh69HECd2qFjnVgJ5yVjSK6tIesOnRUSGaXN6XPBQZee
c60f5SBJlw5Tr10xaYHa4zXdB0SzIDWwBlyTMI07L3cF4CKnie85hJoP+D0sCHkphm28Vow/ZhV/
rJu6u5V6CUXsqpD0s2W1Z0efXuIMjaaMbQ+IJwYZZggSvZVla8DHvToxbLlT/dylNxHaXqWeReMy
sUPFO5qZeAZjndPUmDCzfeQQH5ZqrSq3ZyfKBLpIXcUo7Uq0ttveRMA+S8IqtrWY9BdfDe42zOZy
3bYJS3BMA29Yte1IVzGe+/0oiscRRtE+AcC65SYNj3yV+aYngOxO4ieE0e+d+sioN43bJuv3ou+f
+vhn9bHArfUX5fG/8pfPL8X3FfL7S34rkH2b+TKsF9tF5fk+SP7fItn3f8GnBi0aMjd+1nfg/m9F
slzssgwSAp/2Aty/gBL9d9mG+MWymBdD3XBpVMu/x+Jf2mx/7CrxU3z6ist0fOHb/NiexVNvYZy0
DfpsNGeWgBV96AO7e/zDZ/Inc4QfT7fLZbwAjg5XEz7Hze+bV9rs2hn8pXHotE3aUVXMG9kL/6YY
B7ymf32tH5tAXAsknyRYAN0cTcylI/2Hqp/vIu2CQYaHmfrlhhSM4YxwRp5sLSZK3ALr0l9fkIrj
3z5FyHGuuQioQPp5ArvgHy85EZvRmF6LKothFHRWUmiuq7ZHYFcZBCjieBmDJ6zV0toJpgMSOl+e
znuigqyScoC2ijNABKC6IJuoXtJVgmoCtzUHrfhcIue+boIu2DdhFOzHpR1RAAdbl+FUnuZ2aZ1n
9NRyo1UfTOWWp2BoKZQgTV7CWSUXO0qdciOjMt7DdCYaJ+rmbaO64s4ybP01IDToKc7s9smro7Po
5wRjRQ7Gt87FQRNIf7Y56vnrOJX9ndX1xZuWurrRwOA/WOQzgoMI8x2rbYkNpRhAk5fjQVRhtWlo
FmECERWyyXncmvEEDkzJ7sozVXVpa59OJIDiF5FH6PLdsdloPE6HZs6xMNpTEDJqN6zqlQ2ywMdQ
TPBedNwjqhxBSLe+vROd1X7C/0PvdzPFrUe7xJvHaOw+0dZ25u46Lut055UefqWRvhz5hnGFnlTI
ovzctx6hZ33kf0xZwO+DSATxelEMfEn9DlGsGeDPYgg6V5hz0oTcm8GnrBK+jD9ncb5ob0s7vxE5
DWVm6hEg0H7sr+a+HJ/ALDCLDpN2YzGbO9kp5nNkDalzk0jzPp4SsQ6XiKO4CdxtZ4r2U+FVw66a
hEJeC+2OWtQtvmAhjPdxGb/OLdtXhN73KgLhVq9MzcBo2/HhxCTGnRvS0j9CpjfuJHRlqu3QZzw3
mdnRLQfBXD5JoRQalfFgI7w6AnOxD8NYdvBYkuxapFH/Jepc9Tkz5zTf6kiD+jNUEpz4CLpNHLqv
jcrXozm2FxxFgIa9/As5aCPeFPsqNBRMjiz6EBClxU1a53uj9tFlGcW07qYRR5Rli3UQJu7Kq9VV
arS2RMlAD91lT3yhH4DK2vB+lThrNjFpNlsG5s19OObWtRt3t86E1H/FsMLm1ubpQW4y4Cm3sZGa
w9cJM9bOaQ11zqxSf1665Gu+WedzPWXZDUBqi1awUveNowx6iP590wTJtnf0s9G3NLh0bG0Jee1o
kWq9HQN3fCjLgEObGQy7GbNVORYfPRlW1iHJ/HGwkQoMjPtKN2HbD+lrwXYnABxMxuzXVrrSXTps
sqjInK1rYVpZz3lD+A+xavN0zAMRzUDN8ZSLVWgYkX7KutGmapmsvhsJPWLQs+lnyImPdpv6kcpJ
dZ78YXz0qFtAL3WA7Zx5sfwgN8Mu4TTCXQUKO/x+HLTrPU+YEfydN2eWcyygvkBmyY3Z33Up6GN7
FRXKJaNo1NH9wCDD38k6GaKLi/CBIwXe+/E2co3IRyThNl18FYRMmYnfDEfnk1VzME1Xolz8gGM7
BdZT2jOV3XGWdrwv3hTzRcUqVsYJJA3SpoesgHwLJinosk+GU2cP6JSSfStKluGq8GjSCpU/eeGM
UyyUFi6YsXflyZkGyIKjHhZbiREzDVVSnkYqwmtzQoViFSSir6aM4Q15WoH5aMGETtEHLH+MNRps
JFbNV9cqCUEh2q3e2dkSbAkhkUMcmS+b9+R25rrlKUEuv0UCpMt1gRCQh90njAvsCzxrb/DM3Xtn
H/1hiVeXbmaJLWRaGUAm+AbC4Nep5b8aCP4PDEhgjTql0debYRiLu0na9VebLtg1v0gS7ZhoEb6I
EYtODScIwKfzWB2Bfwc3GIvdlxzmGJMnVE2kJ3jFnTFmSyqOX/C7EfbM3zmGKt5gHudPUqjpNs9S
V298XVQPURFDbe4oI0wWjwwVRxzm39rU/1SBP6kCLQnO5A9VweZFvfzXN/bK5aX4+v/++/J1/K/T
17b7On+nQvz2st9ViPIX+pAUcwuu16Ea+r9+qef8QuuftHuYXcjPLf7m93apSU8U2IlvOfQzPCAs
/1cJ+r8AHkaUwd+gAxF/j6kCMfjHKgYFOFN62j1MItCV/DBithpiWGXvUHwQt0sQZSsVyOsKe1cc
Ds4V9q1meIicLjxVAnPpcUhKdRfXcOQAr5qsc2075AVncrwXHks5DnHWCqsmnZ5wSDtBotiJvZch
l4iCJl1r/HbkLZmx3GBKCx8nq3Se2a9ecpNTMD/qcWhwVjKD0nddGzxWMErXeVln9qpy87DDb8YZ
rZWpPvcjePuVj03+HvuPxHetxHOQmcR8kOtr3ZflmJ26dlBbJB3kHde8cHTxPqA8ni4FMcIbE4Tw
faixBxedEbxRWLAA1dWyyQ0II47RAJeEqiSrX+Rgqi02r2CNTor6Z/mgYOb7m9aLP/P9owA0umX5
Mof2iABSw+JlCE6wT9EfdUa4gid7Xtg5Y2dtrLJG+wSCvgg+Dqlu8GDnvqAhovTZrYldcaxAHwqO
iAeSadvjYPRc3fTHkT6YMTM7VzAMk0qSKKOC1qHMSHCbjp3UBzYQSHFWHRmf+l46Dz7dw4ImpDSv
W3yLYj86Zv40Z7nnb4aoN59phFB3ZpPgp+VFPN34dW686Xgk2ppG9ymLp/iLAYMPiZvv799/v275
rbizMe6n/Pto5Yovoyz0sPZcrxx3ou3Lfc+etq78Wu+goBnbzp+xTOiBPcdTiXUd+SZUPExvWTZe
A5Ii8y/MzUwf3A6BHwZwUkP3RKESU5QCqEE5hiZB29VxwLBsrVQ69DuVRNZzjQzQJaxi9sWeW4Xj
jCq4F/w6O6U9DiiujmqPNkeytZnHPdCHy59aQ+YPcd3Oz00dd9d+KYPHVA/+DkhB624aNHOn0umj
K5Sl8UeCOCSutNnB1c6XjRCAMPdMOQgAKt5kqun0OJqZ8N4Rgb3KnEZRKQUK4yqkxU+6HOe9j8Ju
n4P8ehtdOTIdpdSrwEjqCd6MlSbZLkiFii9kNC2+sx7eo1u55IevbbhESYIgF7DfVkVZdx8WwXxO
NBEIcuE4ayXCc8FBB7hzNPp7cxkZtuQMPOULBbrwJ6NaZW4MHHpSCb34zBTdg6rsZ0fl/XXhiI+w
d+Z0TbADvZm014beDll+JmScBHA66O4uWcjUtoeaqV9o1dE7uDpZGNaE01S35G8Ud50B4Xqc5+IW
S7VJZ6IMEPFAwgb/ZR9IJlNbMKL6FNsNyOzMGuV6zB35YTLBITrFzCYbti4PKqOEFe0sHgyrTLip
FiJ3qWBzW5UC082eq1Eqw+5umLWc+4XnPfkSV+rC+FYL7XuIIW2uhLdAwKN3IDg9O/s6D5qk34wT
xPBBww4nUCVaSu2Upb86tjNfvV5Y4yXCclAC7why+uaY1wWveQGDwENvpAuwPFrY5U2AxQxHqBlv
+3gAbm5kpYYWAp1YL+zzQdbtSQMneTJcZ95bjScsSnCD0NI2qoWxLWEYQ65jyLyx4qU870vH5FF2
KKt6utKbYSGxjyjy7uJJdx8D3r8kYwkG0bEuKmp17N4to44US+rsMhvJRj9D4Vo6Ce+/IYBKx14F
rA3AGmEWVvzoehGOuSmnnrTaIr1CMYCCCbk3097UAsfKAKJb4wya9jERoutxLpAti2bLENw6Etfs
Xaq5Nx6zDFvWAj7XC+oCmCGCHQWzwNctMKgsO3klsjjkJPrOcgdWpQ5B3Kf3lQUpUEgWa4Gur+IJ
xY5pim9PUQ3o92GCBPPUwp/buIZgWR2AC7BqzOwwbeWW+ylieWbuYtk8DqN1bzrLhVTcTpvS6vhN
ELrr8yjGgYbxaATlhW17JtU8q+YNwSlq2/VAz1vfdL5JRP4pl35SLpk4dv6qWvpXm+iq/L5p9v6S
3yqld0MTMZUMbuEGI3aih/M7b86koUY3TaCytRaOMxqf35tmHk0zXvUtovI7x4akirIwRvLj+BYD
0/87g2Uoc99XSiLAJ0iqA3WSwCHCiPn7fk/ReNBnMnckbxXITUOW2KgKSDS+41aCFJvBt2A7NJ7S
/T6zirwQH5VPmbfNiOLpHq3CVhr3Mr0ya5u3aVsTweCRdF37D4lb1pzE131aJibpPCMDtJ0tR8Lc
OJXOh9QYR7TnJZrOYji2fc54gia5AmFan8t8TsEUIcAnsoUBA5C7dDrRgxrEMWUUCXieOovZXg1k
3oVnC76NjrkXsZ4Fm8BJ6+u06GgvpROHCAeE7GPsJpw9KPfGJY9pCS/ysXRtR9k04wZKKj0uF0HH
vc4G8nRrJq2rUnXDORExaTBWrFi7W8YXGp1QJPI9/uB8Pw1t7uP7rpIj6TysIAE693TdzQTaN4bB
Hu8ufDz1jsozILwxTYSfVy8kvVQvUD3osfzg0k6B7RULd89ywvKTWlh84zuWDxm62sRdx8GaoQrg
PlDbmlQLaH6p08D1Y6r9REAAirc2amANTJU/QWxuHd6o/c4GDOH+Xi8FEgF97oK2z7A2R3Vj4sNu
r8eqMuuNZ3vjlvgwLOO05Z0jo27vKcBjcw1SlMS2BGG92sVo8Ygn41aHqLXkuzUkvVnvmW9yiX9z
qyUJbkgV+AT0jQbtwCUrDr05yE5C+ByO4kNxaJZYuSnCjrOzRsLmxiV2DqErCXRYI9ja2ERIpjOB
db4hfhRQlU3OnA5P427pRYGsseeXAgWdtQvagrg7ZusPZgk1K3NV/lwtsXihGEzCxY1IHYguWKjV
rXcDH5AovSVUjwBLWMZ1nCPoF+aSuxcxCdvNQzSR/dMGN5NDQB/MwyURitC+GByit6qWKD83lw7B
BHFP74gItCNef+uolvg/F5rZrzwNZAKWqRl8DosBScHcqSGDNdJYj2Ge9MexLQjCyAdG50EZdg++
PbyK0TE2wxJDCAmIREKegORYeUQHrudooniOsHddozKwKV2JNFx6sHsMxUi1HbIeyElZ4g872gly
05GJ6Nh5e2l8oT/nqiBfpInmpx7v/SF8z1M0DKjUq3qJWYTF3t3M1VReGicl4UC9JzJaA557ckIA
OMdh9cGNGrVatpxjGSTRR0WfDvCQCvP7zCbusdNZvR/Iw1CVz33ohTbdDma3d07cEHUIXCnYVaWN
4s53QtiDde2nq95R9Q2RRsGucwVSEDObj7SHK6wazeLknwNSDNRrSs7bhpx4iIY+iW9pHgSwJqyX
aZw/OnnrQHqKgmkTDJbXZptGIoFZ6I5NXPcupiBoRFw2Y4A2t9/65f/sij/dFR0GA/9ZafWvNnsp
u5fujx0EPIa85vdZUoCqinwDPOC2+775/e+2GBBSZGJudMkAcrCxB7QJft8WSUXgJRzp6T4gLVza
Dr/PkiTuYKB7AZYLZk1kG/2dfZHB8ff7okkPAtjasjWbjsNvyi/xxznIgkXgtu5BBeU+YADHGC4t
hfpeh/F0gsFCHJlRYauqxnH+4lSdd+1k9oJyN83xHjCUWPVdbbwQ9SjOGSbjC1nMYAqJOmVAW7vl
Jups74Kup7uf0yF5BJed7zMm+Mcics1fqzr0t3nqpScGbls1d81n2qgpg22/JSw1HUGGdH2tX0WN
3jSBbGHRhc+sh7ZLslNQ5uVV6En4sCi25KTKc+UsZ0Uyuyjyi/hkDh1heklBKGVhuNDSjcg7FQ2D
Ekj/001Vw5atcz+4nju6BSsPk9LdZPTBBaabOJtzIs4z1f4AOEE2O6Rz+R4RTPS8xCaSnJPdmpPb
n0PLfNQCG5jphmxxjR2AAedk80bM7ZKsOjMVQQ5jrduiVbdIbmwaxGQeStuZaIewUu6dXNRfmFs3
O9nKRbZOpmLZV9mHxk4xW025ne5r+HSHoFuktPZYbIQ3w1lFTvWx8pPwRvXxeKeqRL8G8zg/L8lB
d1HmoxmY0/biynS6c1w+HGFZyY4uTX8lJrf5TP9o2gxl5O3qIR/QBmW8jQiVE8ycHD3ue7Cw3X8x
ArnI1XERBTDASlT4oTFt+wRqfyYqooUcTrBZvbAXjCMU9QwGa8WEY2ibfdMMzlsUpKBKUpVcKRc9
r4su4QiFpLg1wbWwu8GcPsVzFxpbqVNEJPacPkVzEnzyGreAxg2CL6zp9NeYxR8DmlNnLVxxplk+
Qd5pZfIRZSDw9F7kD3Zl10DIgIbAt6zEwUHcl8IUkvJOz15yjiIgu7MH6wr5l+/dE57H4L5UnA2T
Tg7X7piI26DlXqki5YacbOz8dRESXULXzQ/z1MsrVzE1KWo3gU7mJUsXwryUUe3cFX6uDxMxBBdh
DPLKGp3q0CKTu1F21dGjkDRmii4/FkbPGShELBCUjn+xmtr6BP/LPTeRTfyemdeHNM0BtRUg73aj
HTs3eT1eWTFIjqFq2oMhFIfWSL3EvY9QbZ4yaCV16L00cvzqNHAworkeyCkpHESPob3zAOhtcKFZ
T9LOXucRLeHaiGzrk+eXj9Ug9VPX1TPstFLcVTGiIty7oXFyjE6wgUM1vcQDJqz1aLjNC9GB6a0X
Ib1A1C5R04R+vIfmD9dSJ/kHP0G0M0iDEmZA65VGfImjlJSPPVB/KJCQKmWnPkuf2edKZeajqsoj
O5h7qsZmX5Zsr4xGIFwmWJDvOP/l906YH1xilE5uqMujnRXVpqsRO/cslmTOBwm6pQLcUEKyBcAC
mhHllN4zMbC/6onkFZlxyNYxqvIU3NezJ4zpA8dq4662imrNF4oGsI1JYQCRV98a7USGrdtcNUwR
03UQ7Bx6cfuwG8UZn0G+b/K7AQrBsxHiuMhcad6lIpKHkj5tt+boP1xKMbSvUs38JrbYjGLy9pU5
EkGam71B8SX9Z4UZieBkEsVQZJIFT4dtjm50V2V7A3QdNRV42HU7TC55ssYICgnWIoffjiNE1WOC
JhDgQ6RnpAB5FtQU+FHDMtfRPMCuIa6ofuszgR8kd5jGcwr30QdsRDWU5AHjGLdhzNeWaCuNBFAN
3MNcdGJLXdmsrDSrPucuLuOwioM7p/DdI124ibityFB3iTIyMK3l2uH88+Km3rRPOerdis4tFPAa
KS6DvwSboMvKV4Bq3W0hq+ApYNe4aDuOPzIPBrKqh18DrdwDO6JewyAaLh1Cd26lMb3uUjo3ihCs
66K321uVhs0Z/GzzZIRJfuFsUG8XhBboiiraaJIxcB828mNGwurBVbzLNvSrXTyl1lftRf15dIL6
xZbNsrn0Gmc3sNYPyjKHfMVsMNjJNIjgHqEZAw8FeMIM41tMwyziHIahXDXTg6AluSpjR2/mWdXb
brJ8bAacxDZTXsU3EoopNxoFOd4Zp+Gb7fV+jmS/L9GYHbNA1x/yPtwnUNEIgQj1bTZAhauHgSH3
rATpcL1BQjpq3p3bVMPFHCLrBPwo+3VsrGwDkAxrv8l2i1V1uupCqz4gVJnoDzZt8Clz3WRTlKN4
JiQiPLAyxcdQWZsZxfet7lPjtbY9caqVb+yKyOtuzKTMj45thLigo+4un0f/Ay3IcGeKRjwAOxJc
zguN9Twb7k5yYLi0c/O5BIeKoq9n+e9bpSHQTjZ5M3I08VEyiCSM5sopxWKiKdsEgFVfjU5B3nBJ
igUrWiLultMDe3+aRo+9QyFC27LBwkAjV901UZMfqphHGnGhl6ExI6gG2G3oN29BW2fHIY8h3E2j
cZ1YxRb/Z3E7INU7KKf/5LQOYoSqQ+1HRGj/OVMEhyXxiwj7N0IXPvnVdF+amlmgpo1byqY4tsCY
t22TPNLsrE/EzHuPA0lDTxmxNq8ISaaPbcgLh5Ic4RcS1TjnnlCtkql7ImOiGWDpojbV7plSq4zc
lbYy4cCCoNu5davk/7N3Ht1tY+kW/Su93hy1EC7S4E0ARpHKwZYmWCoHZODiIuPXvw3Z1W2ru12v
5jUrly2RBMmLL5yzT4Jmz3Y3/Tj13k3TNbPzsXWir306Wx4928gbx3LSRAKC5CaMan3fw7hFd5jI
+jKVjVY/Sw5Qai9/2BgTw9Qmn+PywtNIIW3HzNxQ5OUnA8bmRa9S99me7eZFdyMUltGUFCc3sQ31
ADAgifaIPAsGBFM7LjXEuc7OPgNLabVHu4EWgOZjiCpUMGleHxs3tTaVps975dfVbnDaD+yyR6Tn
cbHR6f1ZrIsPk2aOByclXwb9fn/Fv5x2PvsJ8mOSi1SJc4+bEBWGVsP1i7nLaC66ImqRx2pJim2C
JQEbkq/dJ1oanxEqGGFcMe6jl22uFO/mxcI0vkvS8VXk/nyhyKAJWqH1e6OaiHjp13LLWjCng/9Q
pzQ95tEud+EZkyPYHbyCkIC88dI9YEE9JBfnFgZHuwGQGh8XEXfHPoqiC4V3/qLT4zMc3iLUXUOe
UVF0mzl2m5fecorQYyy8T5sh3WUdaAIS6mmuU6b9YyQIOqnRwgYdMbahzdt86BmtIJYxS1YKkf4V
FARltMwlGnEmPZbxGaaN431gvl257adegCq0H1lWUHGE5B2jWv+7ift/ZWkwo2F6+Isu7r7u/2NU
3fcf/N7KYZAB+GI4NsUErdIbLf6PCecaVYckgHrdZ4Pyk3fG/s1HxcMbaqEp/LGTE+ZvwlszZR0E
gY5u2H/JOmNa77A0OnHMNp5/A3s4y2UWqT93cr5OPkwUNdpJIEK99WwE3Msq5S5XUTfs9HajL4N5
Z71Jvlfxt7HKwD3DY3uV1+PDvIrELeYqodF0Hi6uVUNOplsVkpHNsHOVmOdozWO81QJmByUNMnSB
Hn1Elz6uAnVUrh7p1iuI7U2+3q5ew1XS3r6p2xtRmPfdKnmX0nRRB8fllRiH9oEjH3CdywoFYiaj
JnTzM/p57PtfLdkhEIv629mfu7tsFds3o43uHhl3eYdqv7+giWtOuBm41UyrWJ86lvDNokKrzsKY
PhO5brbK+8Uq9O9aJP8UNovD0k7Xr5Sj4QkYV3vA8OYUcN9cA/NqIFhWK4G+mgqk3dhnXXFYF+ad
XI0H1mpBKPEioOkrcW9iTwDKa27z1bLQNNxAu9XGwAcGSvhqbWhWk0M6NmGcY3vgzSpPy2qFcG2N
lnS1R0SrUYKDQO4mM2ZBNb05KezVVMGJfd/YVbMZ5+SJBtJ8BPPjEDDvDs/VastIVoOGPlt1dMVO
FLU6tQgBGiEIeUM/DTTly31FZ5n3gLprTyN1fTKYytZFry273mnxNUEHapeQBDGBs0B0zMG4N8x3
jVV5V37ss+wagbtMWKPYMu5LIokP+COnPUV6RZlOYMP1VK5GCJgAXUAwV5l0gbfQUHGbAB7m5ool
kUHOyVbLF6gb6NM55bJe5FcaRbvU8J5O7Ib29bcsofp7tFD+LWmIX7TmDsnhLYXIRajtkEm05hOp
5S2riJFaukYXqa6GAnkbkQSzr9DpuzFl2YK8Z+dHyVqPiUWq7s4nYGV2HkcqOv1eG2aH9CP8B0Xp
k00HigzpJ5sLQj9Yvda2Pl2OaTXLZkeoVNWHlGAGnbecbkfu/GXAHL8xV4A7E95ci6dNylojCjXK
RX+bzoOGYtNO8425uOWMn7ucLtniUl1VfvPZXuJmAZFkRndVkWgy5CShLQDsnDxFRK2UV1o2m0YI
W1+/RmLlDDtoQ2PExDaBqAIVH11pZiSHuiK+L8UGGoekmM33inDyOKANmz7kVPw4pxrHemkSYW5I
Vo+vm2Rurp0m9bbdAK/cSYxq3PMEdLrr1t4y6sdMU9HQpnMlbxxgoE8ks03E4TSGIL+Keh21m2+g
Iciy6Jh4Dhp36Wo4jtvOJamqI5sHoUZHhoFRubzl5N2t7v5uDgwI/NtEb7u7fnCrGxhs8d5F7pYY
g33tZ0PMEBmbqiykaZPQFS/Pb6f831PNP5lqsm375VRz86V4HV/Vlx+nmt9+5g9ZFFp3nFjowtGh
o45x2LZ9vxUii3I9fKDfQ6d+kEVZ/m8ezk4U8twm3yRT/xpqIqsXDCB15PHfUlv/ylCTrPafh5pM
Te1Vuy90AyE/C8d3sqg8G5KMoODmMDtz8pG1UiU3jrRYP03I7sIJ81C3k818U9TmMoYrjx5tv488
W5c7ppQVilBrMT5G0JKTgNAiJ0x9ffwydY6GSTvJ6GkZ0q0g/MrTtICd3gtYbyiuLB52FQGSe7jc
8Ra1JTxELmJ6iEqEK1k3VueJrv6qyGxKWg/AxQE7TCTCCKnShWMQow1mAKmiWyRUvMBdaD7UaWqQ
ZTmlxbhqsrP9yJMjqk458kiSenQkorm7q/wYPHGbvmRuo31Mi1J7AKENzAHD0Z4KPN5Kbt2BRCh9
vUwt9u2pvR28+LNN6CP7B16pkZi3wpwRsvggcWebNL4srrq9HudfJRM2iGQ+JLdKZwEPwWUhdRa8
Frzc7g6PzK1jTSttorvssNiiKzBvU8N7QG57icGWVOapuofzaJynEal2kVcDQwFMbKZXnsFknIUn
P0Y4rcLF6CbEqPGLz2Gy9sDBOrgDKPPS2OuQtq7JdtCW57yo9I0kb2OTe7Lf9TpKHkIsQj6CD5MV
bSNiNIM8ctan0ASOza/2GxJg3MXVr61c03Zsq1Bhtn7xhCBCPBmTVRF0XsiQYC5r59BWMxSkAEn0
8mu7yBuKwOUQCe2iE3PzWgt6KuSlRBKmkYmRUBbcIU15U4z2gfQSjx1Q11zPQ6I+itx7cFqY+PWE
GcBoZ/qMKHe3i+sbB79xvC371cdikVrDOG18BCQMWLNk4B668ar796P+k6Yj+AvdRrduOzTqV2Xa
gPIazWTy6D6aZVsk1b21hlxbihUhkQ7WHWk5rJ08oh8tK6HG4JsDC25IN0mhDeFQTo2/V41FSx1L
wyCTZkauRRZy0CFqr69MY+pPBH53cEjAOjy6YkxPonT0F8EL37S4FcIyzcyUtVxe1zuDCHvFKH7W
T+OMfvtYMxNiLw2P4Cu5ZYtGxn1dR19n3x0vC1Nh0IwrkW8LOk3260XM4Cgz7v8+6P8/BFvLttaF
zn/fXz2lKk6r9CdZx/cf+tdRb0KpXQ9u4CkgbFkgfT/qPes3h4AfllTf9lcWTdYfCyz/N0GPRPmi
Wyy4VlDtPxdY7LYsh1mx66CQNU3nL7U97hoS9pMditGaS34hv5JnQbn0boG1fkhrZnXGwfPminXo
UHuh0n07XKq5IQzWonyJXubKswvmxHHyqPdMvQUZs8StxP0V8SL042qwdmy0DRp69LY3yRzLk3Kq
4qGumJ0GmIiOTdRxkESTB4W8edX5xqh0g+0vfmyVVj2ZHcZEWY6AZgdTU58RN9SnOon9s5gn+7XS
mwLNltnar5Z0+EemI/ynzqm1L/nkTo+5VZfTFx9cL7uwtBXjFVv7rQIm48VTdtKpBNFuMpl5GC1G
FlkQaz3oMUaXBrqzWntg2AjQZ0kIWWHlvLosVR60nBDEFpvWdGWoqVh5gt4L1iOPLOFu8LgstWke
jGmMz5lEu0I0Nd0ZO8l6G6FWtXdYVEVA4ujvAj37KR6Rq9veQiYDfuWPKoOhQ4IEEgkqgrCIrPHJ
NOkYMFAZLIgI7qaSL+VN5C+6uycBWBxZ1mjPXVukRE9P0yPVH6d3ypqDvNGhcZ9kmw4dzeakgWxU
CyKNCR9Ms4v8FTHmAkg3r5vUWpqdxkn2oBpPvPZSJKChilE+ixjh/mo2e5hGa73KCIqBQdTYDfzc
hsI+m6PxQAwLk69C2vz6zlrdMYrwi6uWYJ4+dLuWIAYLdVq59eyBG62X+Gh5NNVU+W5kKXcykOGh
fFz/szAwvgPKcZQTgPHh32Ey4GeAs+fuWYJRf0YLzPrRRpzwlAkPrrvdO965GwSy3SKJF2MTT7b/
5NU5dGN6eP+J5QA+WeUN3PpgOWCVMGxexpvxeXQJniJxybeOVtLZr5JMl3YvunVfqqZ2OfkV7WEw
Y9Y/mTFyXCIeF14Q9xl+T6NEduryhcGc5s08gdFoaC/dmE5rVeVIUtvKEvtqxNIGzwpS7Y3HRE5s
PEJFzKtoKMhzaDuAtcdODmiE4jrrPmcZeKk0X/izmNZfm7CfKvYMd7smrDUSyoYAJSB/IZjUQrd0
1hfvLV22rKNSrqAaV/fc0rhoIx2Sa6Yp4W1Z2k4+O3GvhUKTvIioN/UbLx2IFl4f0XEx8ewGFrvH
sUDYFTTDys3HMR89jSrvvJBSNHZhMZjDslfKEK86kWZeKOKpPjm6ks8N0sUhaOxJHYhjs8VtnBHA
klu0VcfUSoEZRWivrbAxIZcGsVXwsubS85gNFs4H0WWz9vT2LFn69fGhmAnvDbEj8mSB5vMpA4pt
XPmKJG1Knhb0dAvoDIr1Gsp93wGgzKHgrm8pw4j1mmSz3l51JNCffOhUpxlNe3vlzylWGQ9LPer4
GqJGXmt8IACD4oQfC04oN2MhKErdmHdpI4uvy2LzicwcxEthZZgFeyNb88p93Q84ZVyjnPowkflE
MZx346bzzQWnpzPe6SM8qQG99DOsTkYlOuYUj89pVRqBL3x57rw+JKjJIxvM1JoBJQ79bV9WMUlT
qnWvHMbOp8yf/SfeTMIRcDUYd9BS6QALgoWeO9G3EVFo5nQ/8CkmjNQrdwsOC5JLYvu2T7v2U6YB
gA3w6/lPhV9M956jlSFZgXywTUUeUsDESjs7OjNgYrty7AMLEV5t2I2qwKrpV/iAuGQDe1hMTocR
4s2nhhhUa2tUtWdtRTRqHA5tLo5xnIkjFjyu78y280lh7Dg7PVUnD1iO16Nhk9nDDobZQAeTDkQp
WINSCQkkIrVgI3kJGVbcMW6BXVR3xYDAlYS4gm23myfmIwZIdwfDdP4i3NK6iKAqH7LBMz4XxMKs
yMLJ3ekcgedGOekXq5lG1iH2jDi4YrFBcEDIUOMRlLJ6SnD+biq0tzVadubZs0ECBSSTAodVNfL/
pmqne+W8rRAIf4FuQFK9NRbtybPJ3EGt5s5Ev8CVeZ5Jhjh1Y4QwDBmKcexJy7ksMWCSIj8q/LBT
Z9L0RAt6j3UI76jyC3aYRGwXxIQQH+ZmvqiIjIFjod0ZJTO0LTNJBlvkfbXGucg5zW8XYSXHQff3
+OSn3TJYFIxNLi+BobKu0vrophoUp8nsBlWqyf7OqKqPVjwiVOv8don3qBCts8zZIz1G0qqfxqRQ
98UobhJ7aO5I6IqDEczEHSpw975yuwSw+9R51w1MvgNERLnVY5h5bJWnk4i8hyU2nQ89Yx/KcLtW
e3usato+gxHDYaBb44s/Hibpk/krzZu2XaWSpUzsbaEnOvpBHKJz1HT6bZvU9XYyXeZsmUJdmJGG
AeW2YwHJ4pe2JImS8SWSU1mEhujtbKeXfV8e5qYoetaKotgOFhtpEpa6B7PKvefUZILLrdDSr/sM
UVmpa/I4OBaf6tHKXiZu7yfSgPorUBQvoyLORbKCIy5knCSJPejHzkj4s80gfPN+Zvd4mqfMuM0N
p/s6kOT+Mvtx3bxOHebX29TB9Hzq1ELVTyMWykZ9xFAZ3SaJEbHKJk2PUnA6Dx0BKwUTnsF10Ki3
lnatVOfgYoUIHsxu+aXoCElsljTbEh5v3mZpNzx7qRNBxkmcG1/69vXUj7Eb5BUJzwFCJHnl4oK8
1KPGrDZJr2u3Iq9tZJn9uOVyuaBanOlCtmX1kvadCGGqkt8m9YtcV08dt8RtkvE5bTP92TDjYzZm
7VmbbfFxHMHD8J2bVWhErbHF8JicWCUz/PPq/rJ31YF1IFNq14Q9qRswDt1aTuI8Jh2KCtczQjMR
VrGBr9yDZpi1K0fwUcE5dS5HD6JuYXyIMuEGceGUoNJqQRpSlwOBJT7PkAOfA1OKbcKqnjuFHy2b
WKA0BhorII0yTiFXyJTWrRcL58aDcnRfK9Fzo69gArdZ0oX5Mu2Yng6XWLhQkPbxo6M3jJiVlm4M
C0xSXM3wfrqyvE+zeoA+T/mxMysj3UxmkcEI1ycNRw4kDbSYCYCfCSdObunzg67UcJpbS/9A/hgH
lBPXl5xAA3lybdpuutK/tTp92MuqZzfWoQo7WfBu7hK7LAbCtdpxi02cTXgy1jhDRNYTGOnoGxVB
AgJZeK7zeH7UW7J7cIL0T0mffIQSh7SSsFMKimmIHwdJ4KzbTnTMTWtdOAiaDpMes8iFH7xzeof3
oWNy6wRlCd029Nwe4O6MDJRvQtnloUSqugM1z92xALIYNG6JfmsU3pP0eeGDnNR9lNXurp2aKNty
OyREEg/tpllHn14UBfqkMHNHToXuKkvEBrFFewKLjr1ZB9lxmpQg2NA0J2vHz0yXbjklXsj6dPic
Nb3zldSnEWg7wXCHxO+KT9J1m4NPgjiqcEortOJgToYZALYwGDUVZeZsU62R24wA3tDrPTQI0iCK
aC661a2D7dh1zRNwleFqaT1pPXJ/A69bgYcewhKLxQ2SKStsc7u+A2seO3cFvKcltDUimXB+UBZU
o8AGburxzncqZqyDTi2YO0Z+HXOTxZY3nau8bbdzn/tTmDEMuG0pAy5NIlU5eWcrxro2VDWb+4wa
S/jP+MrquyWCNRqUccKyuZ/PdmvbVw3hTSrwm0ZjTmX3F1ZddKfJaHBHIW+4MeyufUjG8qIZm5P0
lmnT+GZzXbZ1i7HX1VHONgpRnh3tVew9UaiNO7dVm8FV4jYbZvRYjBHyfJdBWC4uIGXBkE/9ZcFj
LEi9IpKlqjMM/s5y11u6/H3Ky4JdP4idgWQklglW1XNBrGg5573Syk/zMLU3mj8v11oChmEby9Tu
fwfD9SD7ucrdQKW9iMx9qXG4HaMJIHFiuXe1UXyQVjElp6ogfu1sVfor6nB5STRtHkDLJ3wrH9No
BZ3P+dZDWOTeEQOEESst+S/Fjhw2+00t22a3GnkUinhbjh+WRAAjs5QXuzexKZsb7n4oqrmDjn8R
CezjDHXYWHqs+oBjvwdj5xRLkdPq9cGe19bJTjPKxJ6tRXz8YWTwH0ghKwnkJyDJ+kBwAbkjsAJF
fsLf/0jvUBTzTcEDFUlhv9KnlhApq4ZajbdBvLYpkZi0CRP16MKB+22I/18Bsv/+6ABXiNhxGPf6
FiSRnx9darPhEqyHxC6T5oMzQj1Nm3SmlCgUUB+NR3U6KBNEPJRU8L9+6QZz83ev3dOFqXu+acAT
+bfXThaextaOfGdCDvntwxj34tLNG/OhgrNUboTh8OKBj5HvEMMqD3RV9fQA6C2LQywm4+HXT+jf
SCq6ZXvsky24Ndhc3r8XMaDtmd2hOrhKieNoMX5A+WI+oHpsP/vK+NOcK5TI7y6AsJAjm6y2deBI
7xnHjM5nRBUtEWWl8s9gBORzy934Ncf0vg4g+08JebbiKh683joq5VjRjB9RS8rLzM4Kbnec5lun
qYS6LtVgXCHTXeSFMg3/acAci4sRYmAgkBVTq5dO+1mPdctnioMh5950NCwrzZSrQ9r39BYys1+J
XRi7e+Bjdrtb4NAR7liRgCZeFprIfKX806XHkW3R4MU0oDm3iYfSteQzuIf2M+dE9dVbBiapfkwb
1zUt/56sL/msl2Ka8L1OrrbeMHW6akOLbhet7dsdUBbV7j3c14eZf6iuRS0NZ68SA3hqa3j189sA
pHQa41sO2N97rD/ZY/ExZ7Pz36ebaHU7lX7q/lF//Qd3hr78/edJ57ef/2PQSbaWzibLE6uhhDkn
n/Q/dlrub/QPgNyh4zE7Ejrfuj8GnRj66XpXNT4wKEGE0b8Gnd5vuNeQfhAyYbt/ddC5zlnffdHw
+vNd46u2zk/f5B8/nLLABrHdz5N+yKfVQfQVAM/1NEfHjKi7aqwOZapfwLLYsif4aBDhnVnt5oeL
d/PtRP9H1Zc3NRSA9n//x//3oxZ/n0OSGSgrQd7iu4O+Bm8lPS/WD7Wa9atIfJwZB7RDvq1K6CQm
jJ6u6Tc+ANFAFKTsYf7fuyQWbEfzWQzsdYhZlBrAIszgaQ3kmppMusZVs3p7hD0ESCI32hAzgZSf
BDJTUigRJRATk79krYnqNQFfLXDLz4/tUu9TkphbbTvb/kHUHYPLmBz2Rh+qOVj0ru4DTTHS2+g5
xhyrepo9lAF8Jg6kGwREGgXgqE5xP+LgypZbwdgPNr3HzV27ZF9B5DLco22bnxky3DL/6Bkkx7Db
USc6/rNhYYiPMRS3PAM2FoHvWCFhgPBIgDcmuInrAkFJGaoeeq2Gha8Z1TZvy+3QyRfWcfo+Lfqb
uHXJ5qh+XwBK4eINGwKd9s7C0xgBX1PNVJ/KSejQGpi3zPr4qRLxJnb69kxBTs6TThST0/JgePRz
6zouszh8e9f/Plz+5HAhTsHkO/jfT5enL6qsq+7HJfn3n/njRDGAxfFdcSzy/BykhxQPf5wo1m/C
QmeLa/6b9ItH+n6iCHbrfMlNj7ELqGW2Gv88UVCMuXztOKLwCxm6Ldy/siZfFyM/lG2mT+PFNoFn
yIMI8FH8/Q8HCoaUfuFbSDyU12I3TxKPZS972x+uyX84NN6fGR7HBa8RZDV4f67EuzMj6oeGbUIc
HXDHVgatic9WdIrql5UGcFM6zHuLpUHFiqn7z0rD9f368SVykhsW5iuOYS6by8X++SUmTlFMVu75
VFo+c1ZXtSPfSYPHtfX8LjPM+jUmotanHkPnyjgl/TJpSGm2TPMtlPTGEsx9ljK+Is3GarTmos+R
eLdeRkYVkzkwt7NCAo6e/rJv3egO1+K4+fUF/I8vwl2P2xU0zwfp3RXUmTRagEX8Q7NM5nYSfNVL
jQl56o7zY2Pp6IWNnMmmVrL+XlnKz6OPLcCu45nnl/rTjVOZ003del6gD8yOfR/D/+DlxXECSg+7
jI1IyahlR1wwiyWthGj369fwvkhc3wfP5dZJM8I90nynx2iJbexnd/QPaLzGjcLrEEyDmvcuAr9f
P9L7+vftkWgIWFaulrr3cETWNW0pDR5pwLpMHBHz8c7xmgvVWc2tbpM78OvHe/clevuE0Wh5Yl3X
mdztf/6EmUbLygcY/2GIU3XLiYIro6fo/vWj/Ifrh5aF0ArXI2bJEu+un684LpizQvM1x3TvcdWk
5aeHvPUefv1Ab1THHw6F9fXYrGvX5Sznwr8dCllsmP7qMDiYEByOi8tdN/H5zMwzbxxR18B+jQTA
B2Hx+d082N5ZFk6+EZkR3SW4Uk7IXJpbNTusMpyBiGVpoCPFrwDZJi4kHKKiQkPNZ/NxiN0KN9nC
ED+IMxiJgYh5kEkCiQO/mQKTRW4+Okt6+PWLZNf8/lzwdHSyXE7TRafEBuDndy0yIyjri5oOY2YZ
TDhqEhDiqD1q7Ex3dd6aAfHgXwFsaBs7LxBGzm52YJTT7wZDdrtcKnUl85TU664iE8Gp9A8Gi6cr
25/Fi8sC7QMquy0kdvPeYEdD9896KlSsfR9MHZdJsqTVphsS9p8xrLsK0cU+x8SC5O2F44zQ8c62
r+PehLWW1uzxHD85lDKCPBI76UGDKhDWdlpuWQgY+9aqvQcV2dkxw/NIuFiD7BIBy6cEzXFYQmE5
CrkM17IwRoKtF1ecS68p9kPk2Fs5mAISouxDxm91gZ8whp6u6vypa6uwIG0CLNCsXeObmT/PLM+o
kZJuG+edtbcjwbwocxJKu1w6bIEXgQ/a0pmttAD44gTZEOB0UIO6P8/4jCAfgp3XLWJUkumj61UY
iEpTHWzfL47ZDF4aQItzTXy2t+m8FPqMVabjdc844fcqY7qgN+1Wm/wMVHP+Rcs171JD8LgRccp6
xlUXMOd51o7RbHPTX3P3qqs6kkyz2Y+QTKdIz9Pcag/z5bxez01dZGgtSYEiGW1sA6O0nu0EcAwZ
efoxzoFYikjOj1qRQywySn25YjfLXhlNjwlEAKNAVo7WnoBBjx2KsF4Zh4Li5zpVR+z96G/d1nrI
xa5KJJ+IgVzwvrGsV9aj9Y7tkLax5OSVQW1W6rGaW1Zr+TTy1kywpibQ+uPc75LEujWjst9ytg3H
rqgpBfGGeXjVzM+W4j1X+NVuZ1VcppENRmYccthQRb8BoK+CBFMGkghMPyY7Qz2mgs78Kb6vsvgS
Q+1LgljnkHSdzhplmbeZcj7MZJeYqHo3o2qzUMscpAp2BHeQHerZZaAPWin3g3pYYDnolNI9Zgq0
nVAhXV9LOKL6MTTKKgtFVpPj4MX+Pm+nKpw1L3rWZDLzZKZol5g52Hm0D/BG9QYqBjcjd8NtKN+l
sYd7OBtTlAK4fveKQvtkL3V97jRMZQovxmuG+ZOFYQu4mrm4Z6JcyBC31dBNA6M1UIXPhjgm1VQc
DCvVDy6Krb1D/Dp0cL8xF8TQJuqpIHETBnldEoWTnlWf1CBiZtdG/9lx2/mjNajxgpXvcMzhaWMC
k+Ks2M7smy5nvA194dizRCbWPSf2vpgxe8HhcVsD47HvLs3GWA2spR6XwaQt06MY9GoHRyQ56oDP
t6Jgj5DNbCN85IN7ENMwyMGbAWkt14hl/phVfS43KQ6jC18iEXTqft5rDsiQptXzXcTk9OvQqbG+
0pn1bSJJUbAMM2bGGscY5kZmYmg39gaQ0cBEAIMnczS3vGJ14TqI1tlOIkxO9BlJut5+WPxRXJt8
Ua8wQNPS5VEH6EuX9fDFyNS48Qt0i3OWqU+JO8U7DE7uU5J21bmyXeNB06kvilom14DBqE4GSr66
HoknxwLMswO/gh3MAKQy6U5+V7Ak+ZhlVr7J9WXcpBp1IdjJeQ/on70+pKmdjP3+qUY1cmxSu/28
aIl+KDLB2UMjGjSS8ssp6uhigU11mGdLXlnJEl0wWebONbJ/Dh3yQwgHrOQWqQ+vPE+Ta18vx43d
W+a26RZzK2w2RYsrozaAQcbPmH7RfoiRrIa4i3kmeQ99bRg6XpLmGDHKEXdhUZln9hb/gn3NKKhA
dQSMRXZs0yFzFKHv9tEFtYoNAZ2tEHWkuhgQRoENS+av1MDDUzoozvXabC6yuWC1Sm1j7g0dAmdU
aTZLulq7m3mAZKMV3HkXdrY87TmxX0ZiZFnVOkl3pwMCDiLSnu6UbjYbqHbGR92zT8RS0YMPTb1v
M6SuAfWidbInfY+6Hwk7HnEIV43YyaSZjmXOzncosmRXW1Gyrav+wYg0M6QVTUkFHu2tiy1aRZU/
BHkSD3slhznZc/nd/JMSXpOcVVs24NTIUQm6qerRuZeKHZFlqujso4GVnKxY7YPKM0VyNY3mVC7f
xtF/N6x/0rCa9AiI4/57w3qdF69J/TP4/PsPfe9YQVIwYTJcG03KmsSzIim+d6z4B0E1OWtUqqmb
a2f6z47VWiFOzE/X9J91avYvUgXFJJ0qgAtcTtSuf6VbpTn9uWhDQwjwgmka4UUm8+33pb0a8jXJ
2WguRKdNG0sUu46F+47eyKPoqNDr2H6skS7L1sje5srptUcEUtnngo6E45RVgMT2WJZ+Gu01Erbx
Q7KOP3FvSrMbINzqBYQa1klIyheJERfoIzBW+qvFstHTtLzgjpXvnNWCCfqIU/nNl8mNvb4cvrk1
Z2NPGulANsfq5SzffJ3Dm8fT0xP2vN1q/BzG1QQ6r35Qd3WGZm8mUcsZCO5g4Oylr0OnJR8xQrUl
kzbWqjvZIsw7d7ZO3MROg00lVoZfmkxBOaaeNV4VCasAd0dVt8grgGy8XBydCu1wNWciOnStg0CB
hJBG10ru3cL2igCzic8iPe/XgBfPXKJ+BIrB9SQNYy57nEoRLelIQBFE3RA4jqF/GlGTjAsmJyLp
AD9UrU3dXmV1RK55rxZtjcupEDnx/Uaxg0pNcCtOvKURcHsySSJD7gwEBENwkmaCP8TLmF1ln5eI
kokYi66ka6V2qVMRMDoc4r2ZT5G6Aq25ZqhX6kbP2CYvrECDcRAqyNqkOiaaNuxjW5r3ueb08O9a
HTYTTpZbAyn2zqF2fXVllm8RUKDgyOcEpiSLucEr8zO7dVQ85LEfaWqAf1UDxqemqskvG4r+6A1T
6PZJvitLNqQImuJr24RNPiTFtMEyTfPT2RZVMHVzu/jRrSqBT3N0dxLtOYM80jHkdZE5jzD041sr
btqbMRnc20Lmw3MC2nET+wb2U5lMt3weasBMdfoErzO6Ibh6/kAE9HoG9z33HdeMNqORrvStPHpK
5MQwM3G0a1I2py5Ah+rvWKVaZ2jKEL0zLV02hqvy+Uk2no2NrnAeQRtU9+3KigjKKCHbyc7wdBFp
qNwpJPl7OVYK0S54amaVPYyy4zgtaj8Wefxkydo6+YvLSsuQ9vggQFvjb5AqyjZ9roqvxigc7mDu
subG1AxScrNmhsKw/QailXtUo80g1EXs0AsLnfvkng2g0zGK9AUYGwiq4bqPY/MEMZpkZoGpblXY
YSYoWnWbFE71pCgjqY9d+TuV2wcDNkPYga654J1GLiWx+s6t9C6XuZhuqcWTiwrxy0NMA/qRPJ+y
XFGH5qesBo2gLRWqqKax3IuxmPydyOSXwW+iA06VBhlHzm4ID8G9n3v9RwJ5ig8zEscP1tildmg3
Xv6hoRUjoIxvGMmMaq8DwNv67tjtUumcxhpPH+zaYp8pa76uoHxcjFPrA4FFfiUDfla7NuCGBou9
ZHCiSem7qVb826QhZAhrjIJ8ihGmJbY3FQG8hXbDqnXe1mMvgeND+uS6dAEckySMNR2XYjte1LqP
1n+2zSfhatZ1p6nHdFH3mdTcz4ieAKDr/hqPY1MY2aEpl+zBVZk4lfocnfVOyMDJ2mjjpvHR/z/2
zqS7cSONsr8IPhgC05YER1GiREmZkjY4SkmJeQjMgV/fF0y723ZXlU/ta1cuO5UiMcQ3vHefaN1b
NTaSR6NvHxlL5yh/9erDIQliVeMfv7fQ9v6QY4VTxdCW1J9irG+iNBLPUUwauiNhPELAkSqYZz+6
FabRv3YAwEgrjMg3KnRaR8NApDqhL0rq6L0l9uYrHxHitoM8mX04bmxnnIJ46K0XcGbJ3tJc0yOs
bFQncwJoIsD6sabrTI0nTsT6HZJWbdtULBlXvu5VD2jd2P/WnUFsfT8ZZEUm9KE5uDWcGwR4TXug
d9OlGgXSUPKkLYSJofcDiAQiwT7p0foyfiEiLozVBVICWpehtN97m4BJLCqNA7fB4D3X69Z0Hxll
SBtAzsvKHIV+e9XdItRr71yqWLWKemtEy2MzVmhhMwA3HhJCcA3vpDGPvEOLg/1mtKt1p08fJGqW
F2N01CHSQqTgcQuYOWVSYWc1qjqi3E9atwCPALt8iKqxf1aa+AQYYJ4Md2hRmEi8hrmfbjAQodAt
tOyWXDLv1scJeor1igz4dP6IqRlXUkckyn7zudKbRxyNgDuMBmwhGh5YGU68TXBwIYaa/QdpNNVG
c8yYlQcoYULN47s8g2kn+iQMsJ4Y3xNpi10a2fqW5/0jnUsg/mY7rmOZV08R5nrmSE19HNOs2DQM
L/Jbu0L2Z7cl4qdSj/baOClmSIXT7YRhVA/cucw2dH+8x6HSfEqABfrKrI2csgf9T+SE4shvqAJz
rIkvsGtqzTyzi/siBHafEwlxMEocQDq8oEC1enLS4PsQ01dWu66f+kCgHHw1G2wzuYelcnCzt641
fqSSnfHM8XgaxiIi0Ksd43tqXcB1MFqCqWD6oayp/WmQ5b7pDdU/pjqDlUGw76kiL9sKr8IZ1mjh
Y8J4ctHHdrvRB1Gj2qQ5DxEzqE06+5Tygk4NnXmsHQilaBIRg1YZfzS6yN+QhfbbCDLsZ+G5xkaB
m0If673FXv7VZEl7wOLpQi3IAMPZ/K/Qdv2Vsm2HCVKnH3QU9sGQGBhUu8QgKE1LP3wSq3h3xtoO
+DMExTbMH9KO6AsIrMm27lJ56ClINlA5/L0FT2PrTlReMGhsEJnxcJMUVc5zNJF21xmaFugK1vBE
l7ix3Lb86OwR2pTIn5I+Mta9ip39SLOxTuzbWYz1vhRFRlMJ2bAy7A+p1w/gbCgdsN8xNsAETJO9
Upb2Qvq4WsVgLdlxoQRyct3ZwJy6I2v2wdXbnd/K3TwWpIwU2RjocXnxtA52dDVH27KpvRWQX0Z6
SYmOgKCyds6jbSjyW4uEREzAzFtyp2eHqFIYMhYI/6y8V9B0t10B4WJGv752cgULvTcQaGbAJbu6
CrqZODAiRLyFj2iAq0GUFWmudSZbg7woX3OfOsEYc07Dag0z7kuGDpBplbLXLPpiZSa1zUGWxZwH
Vv8wonj4SAolN+SGw99oIWRMQ/ngkCrMYTzHq8HujTWRh/1hQmuxT8uIwWkye8eiUw95Yr+J0H2+
Ngj/66X+oZdCLLfsw/59L7X7qnBO/cU39fuf+b2V8vTfFv8pOIhf3dJijvq9lfLs34CboRpiI2U5
sHn4V3/ICf7UPpGsaruCvaHNA72A+/6LYFU2Xn/tnjBJoW3gh+kOsiDTdpYVw5+2fb5ZlV5Yefne
8qLXMaN16Nqs2pBV8AJX9rEByFLqvXzxCuMFAqWx7V049dNwRJztbWZNmgcLkN2hzf15VRpwU/2e
J4H5C0RVTQJpGvzmpyI2Oqhi0PSV1+ongtXqN7y6+kUzEdISPtkHVj7Oa7oc8ue0EoBc5F5w3Hr3
I9CGzAOKUI7JyE/rqSNHKTetZkIvQv131LtmLYfirFrs4HUHbwL90AHLwfxAwoEdkE3trg019k9m
4mek2E340RNqVaEZD+Ns2Ty30XdHFAknM2t2tKPxbacnxk1K9uaaZPvk3nDaZmODN7v3LHcjkvxb
D2Gmt2C9KunY+8Id3jFEoKW3BjZZYF9+MKWObrIRM7zlz9WqJjlmRx2mbxrRuLuRoe56FPm0wcP6
2aXoSkVPFY+EFGOV27+bg4Iz1Q1HEo2KLX6tMeC0THZzV0bUkgDsYre8FLLddrkiE087h5gCNr0m
pz1boJFgn8q4+LWZv3SDXX/HIbst/PEBE21xyeAXnJLcawh29zgb1iGxzk2NxH5jeoO+lpgJXvq5
Sh4y4vMOVqt1a8sqCVCoo6F5lBaHFisG+0ZkanZZDRI1ARBPnsiNT+6aKh9f6CFRliEQ/DYVVsaL
i9EvA0pMFDF0h01LdXyQfe49kOsOaDi3EMHl5mDvO8urX90kBeebukP+rcxK+8ZG1rvTEVrfiRLP
GFGCOYvbSK+bkytNL6jJYuLL801gx3HPHBHFdYnrOSTEhblveZTajNdXeqVLF5tnkIGNilQt5CB4
afDFb02cEG+uiWkomMII/5qZ4MvCIPPoWWGBAj2pHmEgGnckV1c3Ykz9EzTE9K2uSUlcsWYmE4Zj
yNgWKfzDbin5lD0kWPEydC89mr4NNRzXbyyavYXFAklrMqigWZxqOHfJbkiU/qPp2XyT5tun6wgV
0z5qIJs3MbNPvkBtDRMWL5XPGutpwNlynDp+pGv2qg/0MlL3ZsStafehyvZ2O/DhpYrUBQgnv2NR
6dOFMJnqpkWyQ8IA4TV4AnN+IMbqWKJUJhdHDSS6TV1Rv8Y8f7vEYc25mhhNBOGUYDNyY0J+aqNM
7pQU7WeCPW9n9Fb9hVVqug/7qj5ff7M0TGtvy9HIj89N031g+EGlCbWJRPcw9h7ExD0olgwc0ikE
wwfGim0qxnXlKAePyfLBO6tQFwUm99mdCv7DfOEM21g524CAXLXR/XbAKCTSt+udhnmev22OOJFX
BpOUm2SiPMcpWp3HmknpKsbFtbZnmX8TrDO/j6WWVOQFCfcBNJg4VGTiXnA9VgFuBhPYR++KfT1w
UXuCho4aFhncQeFYb2kqu8/OjRNQfpVzBg+kbjAAmZeQOcRllBo7OO5IWjjfDt98kzYIzFmc4Kcn
6Y2jm7/RRWe8zaNYe6xmCVnVSatH+GY+1iH0jderxcigekyixZrWZksApYHkYF2h7TopV9gnQ7Yi
XDms3obAifjx/aiitZuzJZoJEkCzBCcZPPbalES6t+l815ZkF0h132vt0yDxsQw2mosE9h9BdPQL
t2bXn/Uxuo+XXjDv2C+mzU979G98NN2rTsMWY7qXqbW21hCzRJ+/RU3rBGBQsEcx7FjVIVM2ounN
WuFjMcvq0nGO9QSsVoC5EsO5iDp9bo3UuHMG3uGZ4UWB49bW2nBLQS+i7gj1DQgeAONcHa3SDe8N
RntnYzLTrceKOF2NnhOTuZct3rdB0N7DDnExq+yHAZN+52WSqXhjfJbMMRCafEmcFDeSUKUbwEDt
pjQL42CZ9kdjdHscwA8ck2S80Ume4byxiIrMl1bzPlRfwTQs22LLyActjMJEqxWWClJqxWxlNuaA
zMqpHnt25kx+0vmzGOidcduubFBiFMsT67S+PvputrPSjsKdBJBdlTjGdpKsdtJRZSck+c+OohR1
fXnIJlUcCF609iMv4UAnIg6BGcYb3YcpF81LbnL1KtG5rqay0k8q091jw42/I/paDwjnftWNAlkz
rhq6jp+Wqi914rlfiQluQoxSf3MdDZZrlj11Rpu+w++zsM6wZEss6a3BjqH1b32wSMBUl73wzPvA
GpAlgygFJY/weT1XAeCBR1m0nxj4wo1eeuqO1L6xZhNNY4Fd1aQRKeem3wCXKk+V4dwxIcweuK0g
fzqhQWKrEigAsXwxItTSfVayyxItTN3WMOuv1jazzVyYB1UQ2mfV9XsPlSOQXusHqTG86CEDVb3i
tMdJYLP16j9IFHhFpb/TlQyfR6MmcdvKBiy3xKlUwtZuGwFJTZX62uExZLZURi/4KpEBtxadiu6d
QONEG4oE7xM283Bx7cR4zpRcagjwJetWOOo4dsSn4eVGL7yGDfxMlGxGkySKr5ah0FfXNDlZewUG
iohxSTVow5YzfdxmLX82Kix6tE6/c7GjPKDAYsoXSyori5zAsW68u3qox7dSV/kblb91h/WlWttU
WCtcgHOAv5gAt6JLencdlzaj2Kzw/JUzpdFpmKClHonaNbCc4dm8M32yf71IMkzpvAhT+aSdHaNh
lmGZk+Qisi8Nm4gs4yztT67dCO6YktTLSjIzRVs9cgxOfXVXeYZ7FCBUN6G0iw2x3uE38la6y8jc
K93MLeHSq84vtbsu8uwDlULGpqqSpHNjU2TUWuF+aqafZWGaZ6OIuuexScY9OEX53ZGLa5F3YRDN
S2ijO7aBJmo6RHc+ZAVVWDEM2lGveIHVZM7sq9Bu12Ca0nUaqnBbJYbHr5XLnRL5D5dsa+ad4XjO
8BXfspNqtrmFo0/SmJIsw2KWmuF2qtKt0LQd7k0Ip978mjZNVQd4cfL1NMoG1Ahz0IRM3m0h9G6N
7Urs5mq+JXMO5mG1mER7SCB23g73M2tBApKrlpNr8M4kE+ePMm1xGFmZ9goP7M4AhPo1ugkFCInF
W792om2fMw7SLJDZZASzy25mHnGM5uwC9QsnaHUuWaiv6mU21MLGZ8g67aZxigLSoB4V2IO7KTEN
cBxeulMl++sxgS5rMFwYquhLTmpndRx57PjwFCYpMlV9mo7LqIFEijY8jDI8JZG8iNDGZRd66UHN
znQTptjauyDVYqjBjjVf/Iy3q3Hj9pqTDJt0yQuodxnjMYbWTgp5zOyXsEM+MGP5FeGz5CBGkSQT
MfsVkIgRmbRE7OgkJ9qUKtk6jZZERYKXh2C65izav0IXObdJYCwgrporuNskM8YZJBiB7GbJbFwG
6BMpjhqDym1xDXbEHPgYLmGPxhL7SDpqBafHFrcdmZBytpLNXDuXxMcTni7BkRj24VvBZD1Ll1hJ
lBRqnS5Rk6gCuttxiZ9MyKFsIsXu2yaa0hsIqQRsJI4wRUfefmRY+kuY5eg68hJRqmxM8tECReYl
3tJwJYs+fR+XQMzkmo1ZQpAsNOIyo1TXoU0iniHUgwj3JVazXgI2pw6oLU6SJ38J34SifjMvSWXE
yn66JhgcIQsw3Ua2Rg+AacJsgxD13lFF7KNIzVyK/kg13Q9djN2nm9nkpC9xoKbXir21RIQ2qf+o
Dyyp2YiTjRRkQ5cd5muu6DwLdRJJA+l4iR3Nyba4bePigwY0KjbsnvsawfFs3wC7qIKE9FJZEGPa
abL4dK/ZpmPYddueLKdtY+jNK+WLszHhSlzgFcxraqCLhX3+bF1TU/GbW0cIUlCYl1DVaYlXdSCx
3sBEL0/zNX1Vqo7RXSmZQc9LPGuJlIEV9hLaWqAZYjJ0zXKlNcTwNWJ3/kR5zosDj7hxYaLkfe+W
MFjmNainrwmxwzUt1rkmx/bsip5IhCKJy5g9+MVdhc8YI4ZnzIdEATitR5osaOnZXYIG/BVAmRE4
0gXrZJdxsiZRCtayyV9+lhFFSVp5MCYQdHRPpDI3UbgBclQSbraieu5mtZ4SNn9ZYLUdoR6yHX7G
bVHsXQu3dyOZdk1aCekDnnOrQix6VnvKGqZAddR4F6fQh/so7uoL/OE5yKAk4StDF2czXgJhbMEz
9L3wyC/2TOPHcN5nT4TYyzvk5H7+L+3h9+DHf5j6mLrwkAL++6nP7Xuj8vfy88+a79//0B+ab9Tb
wnVZlFOE4ENarCJ/aL5h4qDgxaJGZuMvf8kfUx8fXTdZR54vIO1w+7DG/2OJ7v5GSK5lsFt3F704
/+q/GAP9XR1Lv+ggfWQ6pBMYgznwr0MgBjxpU8Qk9LmRYc8E4YqS5jZSz4UxsbWOkKn86ev5F+rv
5Qf+WU7KX+harqfbeDstjx30X//CLvfJlZ0dtaeDRh6rDcPa4fz6B3nx/zfb4iP5QGxInXKEYf5d
XtzZrT5IO55+6X3RlMiHrGIvmLgCpZM2LmIwVEtCptqlHYHt/OcPaZPf/vePiYp/YbySKMA19v+m
AkbcDJNEud2+yh0sbdO4CKBcREoDi3bQz8isJhZcUOFCF4xGHVoh9uM60ejV0DI/osJHT1SFnrpl
u7BwRgAEgEcZsy2MA/5bJH9FsbZyDVbJVKcAJuywXeTdnlI/ZacyXhxeFsyThy1Z2Mum2JHHAhs4
DDvMueHA2cS7xiBvBzYbcxPcuEiUJAZE3FD1XTMC4Dcnxg+dhWJpdNr6HR8nmdcETineZYtkvMwH
8gjR77bpVJ5C9n3rJkywzY/IFwGi6NVbnAAOMSKdPzhOiX9qJZp1w3HCiz+www+GttarA1/VYsGj
Ejew45HWtTOjgY+pL3pjiHbmk6qUF7gTYntbzrQVAoIKvD0zxzCE0LrK0Xezohm7ddqhpmqB1N9y
nMLZW0RdFslJx6w35UNbdMjCenfaYbtDPrYIvQyrG76lejF8k+nsPHJ1EIS1yNFK087XvTPJD1Uh
XGNLxT3EAA8ZSVi9wurjysi61PfOSLynOzbh0epKH2C0luwlJM2f7GXxwDf8EaU37XcHbukpnJg4
yKgznvqc/L9fDMCqgmhfeHwjfkrCx0oUo7akfM5UUznYirZGSzaWSNUqoO+XmuhHanaKWNQizYcI
+ceIvanFNtCcWZZNaAFL0cuPidCsZ9YfRNUnfX6oPC6uchdddZ/mMTVl2ZT0ZUjp6sUQwJmPBFdo
0w7UfXaJRgOFixfLOyzFEJ38aPjKdDR2UPBQQOQUe+FgVG8A3YdvIWSTW18O/CjEbKSTIC40lmGP
P2oEZWTLw65J+wwne1gLUos2jkh9+geylzF5cysO0Kq+jAz1s0pMcY4EV+IqFxQErAYEPIkiyPFp
/yTErH53Keio2kESBx2woJJBcxheHEASH+hU5ttyjNWzict3B+Mlw76BcpBVTkd0FaSoRCRjEEf5
vL3q9NqI65j2y1e93KLQgocv1fDp5wwDLTAqroRwKrUDpqx+kmoGGSlyw2NOKPaI3/MIXbc4R95P
RL6skROtQCHZhvSxcWu/6aaSL2YY9t8ik3sT1xhRqKbOHlCwy2NPM3x1AhIGdlVuyonxwhRzoYi3
7bYgwOsz6Qni7Hejfe5VaDyVCeCcnqi6N42dEtDAbN42Ji4aq7AV42vNfpw85dFopB4xEeWIscVj
B7dOCK9Z+Q2BmNcP58U8BKiDtMuk6rILJpxvt6On2u91qyHoh4IF7T/i3jPYaB+nPMX5OurJvquw
K61RmSQ7e0qaD1T/KABY4NGfqtiT7Ogy/5TqCiOKY1ryrnPMyDO/e5lvZM7rUCG//kiaXrwmBsCe
CH/GXIo9lZNWbixdH/tbJdEz0jlbvbhYmQKijFTw2fAUbZnTM2kxmDwGEsj+lvvQ1lcdKYDMm8Fp
Mn4s7/rKh7fOHXYU5PIgY9UeKj2/aHZ/J4q62Hqxaz/MDTm3tjtZcOWjx9AO8RtLLIIoOfcR85xD
YWbPrS2MDX1bv+mF+pF4KK/F0H8i1ybdpiRutBfxIZ4dZIxGX58qhF6b3EYn1IZR92kkrdxESXsz
dTJkgNgYx2nOfAKTWcvmro1/r46SO0FJfqv5KCjXtIRHJ/WOWsYmNUFzP9MOhvLACiknymMSa6lH
9qpIaD5XRZ7/jOoZ9bdll+6ub5n6+aK8qNJNNoSi+TdpHNW3rZOOWyfmgZUpXR0lL7sW3wN4r7iQ
BF6wEy61gYUGrVHNLB5RCTKj2kKMPpSIRmPdrdeIuOA42om/Z4X7aC0JZo5w25NR+la+MfnuP9p6
HB3UML42gxbiGkJH6Ya9WScuAE1GHNjjT31r5swT9f4Qjb4RUBc41Nmhww48bD8s9CzItyLOPAw7
DJNjjrnYnDqgGXRfWLwMJtdZu43IHmbmkUE98r3pzVtooKOVTTclEXsYE7Ls1ceP766dyVE7H8rl
CEoOiYhve/HaHYRFhYgRiOrMYw1jW+6h5v2qB4qXSLySWY1/h0DE6lbkLbidOZxpjnTzgM6kDQCN
8lS1pOdlclVW3IHIPuxj7TTT8wyjh56hGNZeW+7HPLAGrToajTO/17luH0xVzE91WlfR2mj9/TTb
/qFgfH+Pa3MOhrCXR7JMcGKYecHtzjQrH6Nsg3NKPLjQ0ykOlAFhvBkLVubeVhLhDas6nxk3M6cU
vpW+uE4EP0xX41aEikgkf9C2MkbU0UfFQ26gD2oTfTwkiTWhvRqGINIi+FpeZOxy0n4ZAlTxInfD
Q0ygwW3lVwKMyKhdioXzZMhZHdUV/iSuICi5MKEEcKh4oUT5V2CUGBd4VL5wpAoRZwuiyDjUcQFm
Konh2OYLe6q/Yqhce0FSmQudCnYWoCpQNvpXTVJXHgi3dKZAT1HWz1JC/C60Zge6wsah3zNEQb6d
nkQXtR+FlTr6rdGKYY7IFjEi+xVxk74f46xNVuRSkdmtMVbdLgSXHxV5wCgexqUuqOUDJN6cng/y
ycYbiuRGg+NDniRmH5fbr4gPDdL/ky9bBPqg9cAgIX1IwLJ7aHHSpLLPykSPxBS4/mHWnkbmbg08
l2ujQ4SiRLqq2vPcmPcpwpaTD6qcl3PdfZLXRfJINJost3T8RhHtqIcePCdjs1ZaeKkzd3kGMsoE
N9RrcEo2mxn2EMWauD/7PCeJdtGquubjJla87dEleEGE5HtdUOTFgXAm6Ch1P9ebeCF4XaX/qqcq
/FV8SWZKT0wV2k+waKkXmEw8qJOLEEXHpBiLUIY6j1MmKcuWgrHcmINAQh+b+cEiC+BEkOi8FzqO
ymLR9oPtQahW1ODRgthuOdz9AuE6LOT+WwItCmsylUZpO/UdA43lt/Dli6UtPrFQQrZnjl6on3CE
MGD7TPcOMGaMe16D5acFR28ItMgZSAQdeFVGvIgWAhuH2hJXFRsauKFE59oZUvNIei7wFi57jht9
SPn8sG6CKOIsryi2XusWF2CrlvLXd6pXt5vyA8okfWVFwnjyikn99FSd7KY5JIwpTUjATkZkjgqn
h7mqoMIcMiauD//QRPwLlIgLd4CmkWYGWcDfnbI2iuSa9J1mP0neJaSUkQ8kiQnfVmpaFp8lvgvQ
ND8HUw17VL8ogQ3z3Utr1lsRcU5AlzaaPUZBT6z07dCY4nWo65KUcZJhdL2w3kzB3v8WCnQ53DT4
fQ8h46ZAF4Cck4kvEvN4ukcNbZ91A5BZMxXUCXnhnzi45205WepGEMLCKpMVb7VcWVP02mWIGudR
s131s2BEY6/MUjC6sFBHcVg41BtjlR/6nhuHfE1qJZoU6sEo4z+aGb+XZKAWPAHXGgmyv3wAubNc
S38pl5jKv/gFRkKhJ86jsLJ6gwy7vstQiJP1Jjn7DVo9hojDt2jWYAf4tpm/NRaK6WOXz+5wkuEY
8SUlJBJqU9tNGzvKYn3d1wBCtb1lpT3YOpts15YIb9GX5rcqFLC85AJFdjHjR4dsASaH8/J/hBRS
YaC3rALXIfsdj8UDlc6Nr7MldfMF0iVGaqlGjwn2RTLIJyZGHVocNz98uokSyp0MfaWhBCIgDZsq
XQ+3tifa7zoxaWtwXva6tbWqgf9UM4tuKJi9WNQ/VNpn2yZhB9QPnGp6NkKjRihAbG7p9N+6JH9z
4deu58moX70xZ27UqGSgmOe788kVT47zzJfPw65dmtS0DgYPLLt/FsAIkYjyAlidHzrbq97BeFbv
QhmcySZ73VU5cT0tMKP3dACsJZELsoWk2XLysv2OR7D9Pk0YdvSpq966paYuY39JAe6GcS3mnJA+
laNhM+aIuKWWtXpauhaeoMR9KKym/6YbvbkxSzzZ9uLbgTajbmqDrgVB4cyT1xH09d1c7EdS5vVd
5yakyoZiqt67sERg53VUpKEQnYv6b+YZaVlxGavJ4F8SqyU/iCXiW1myyFqqcrbymIXKmHeRrCXT
EKy1/moiE6JAFJrOW1u5NN6FKV9GJDAnY6S9besYOYBRN8eEGL2Tww5s1/Di2kEotNeVVw7f2ELT
Vo0Kn+7SefseZX6R0ZeTxEVnNpbzT2iM0bxJvLl+JXPlfpgQM3c9gOwRh/LZKDE2FWPsAA7kh5bs
Dh6uv/UkfIYHHoZQtMH5cg1gOx6M5VGd6GQ5SFC/1TSpb7ac+u1ENDwEUB2jV48J4VktTUMy6TRO
8SRwQ5cNV6ZiL/Z5fQfWZbSoYiNT3WQWe9el2KCftvAcMdDi07G8uZkjR91Oi+/3ehuaE60vt7fU
91Ovqdurg9dqlXy4dtrkl+R8FHaujkHHKgu6jxxY3T4XHGS5Bwa3D/FXXdsyLdL4GoSko2DQw1e/
DFDmxFP4bWnExzj+2Xizup153Mr1RPwVXlLYl2svYmqg11N2kbWAGkLhQewMWKx1X7nTvezBgMYl
m4JVNOqY3mc+0ZK+SvM88whW/sjoAxcVYxdCu9Z1r1UbP+UWLBmYjMBNeGKiqbDPJti3Rw4aHemu
M7TfO6ySJe+wTL7MFmE4K5j+8iNK6XRbvVPPpcZjHppNftAWDxzGLl5rdFLh8dohA+DVV17rls26
nBN+UmHSZEustBvL4K+/9s0uSsjbCdQYTS0KHRi6Xzr+ecoUV+Py5QWH1NUE+OvWTBgZ1YKWnMye
8KIbeXmqFw8galzv5HWtfKkMZhdE5jHL6JcaZSys+DwIKtx1pEOCbTT0PFXuV28To2nM+tJnCcJ7
thrJvEOKLpsPvbS4IGTJGPBRiOAjV4sWMeWZXu5n2SyvYXb67Q3oSCZBfuJSa2QNf9zHAnOTQIx4
ipdp4yiXKfdMYfxmeNwSYu7bz16G1TscyujskoG2NZrl/skEhRdvolXu8HHCZepwLSu8BWYQsVO+
FLhet7PgmERzZz5dzwZjcTgu1O+zyyuffp/h1aDZ4uxGms1RMfreSfp8w1Jl5hMuyGHtF4K5RUUF
AlR6WMdOajzVjsXWHEfOwWcwd1C5zhbD6kvWXBQP8JKrTUy99Nq2Y1Nvm7miKBqxApgiGr6pkfKk
zpiL6FVuPl3xCiHvsReIDIhvnDw80jc66+soZiBP7eAR4nmMyhgl2MQgo+VtUpP9iDAc9BR3SDXN
+x6z7S8gdEeoJjnjOQ+F0ofqLTc1BoMjszoLfutedBQsloOszGSoh6TtqmhYXrOTy7dBx65umkpE
3+mmFAmEZrHUcbhPjqAjp/uGZvm5dqmWCMujVRzagS9T5/UWDzxHmW9xajlDTW3NaqfW9PAyjcwp
zBwl1aEUtjyO0FXf3eVVuYBSNk1mZWcE1ahO2FoxbdDajSV9zgfCsJkKzg1TwbJz1S/pvCXd/gu8
6bRD84MZXWY8uIlP8VfjMf3R4i8kHAadxiEteciSGmen6ZZvw2Dzrc1YIA6mF/OoDBnfQZdjny1J
kH2hKknZg4NQ4lDWK5+6pbeTu1HTecmOknKCmAJr7Su0W0PPBQcfNN/ikAwv13+8PpiqSDliNKNv
PuyRM7XmUDlgX57uJ1NT2yIGHlKNFQ90IuQxchfgOPDD6CxqPDL4PpL5tnZmKmGiP7dTm/3sxVw5
m7jFDnsd0Llt/SZMOoJxqQIUKaZDUJtzv6OB4xMDLsjTcd974nVuojiYr8QLGtlNby82nazqvWMX
snr/z+XqlfX018m+4YBPAN4M1RdRxLJq+JOetK/g1dep7PaC7Xm8dubePl+txBGSt6MSvNpin+K7
i/SJlNiKCK7WtvYzxUGEOeqiEbt4JNBJofes5Qu6K3EeEnN65pUwb//hl2V/8rc1hEFmvGVaDkwQ
gA9/+2U918tIHLTaPVYvfTW0pfOokC+tdSONz1pPY8K0gkLUGGiKso5sFJ1RxjGj5nlH3QbmbXkL
/+df6rqV+Os3aOFkhJjIL+X+C1Rfz53sJ1G7LwpLcqP5Vhi0Xi9P84ibrWn6OKB7nzfKsphNhD1D
NhyHFI8xc1YlBgA2mKOP5LnxNgjt6rNOcvfBc1Ds85alMNSaCiHCYrb5z7/5v+hUyJi7Xn1Y2NY1
EuLP174x/axaIkHwfeBaDn3mNkzuqR5lKpuHfBm+zkiMgoF34lurOEUAlNEX9p39++7lfwL1f1hV
GtY1ZPDfryr3JDglyZ8Xlb//kd8XlYYtwNOxlXMt27IBgbCz+sPq6+i/mYJNmiBCyeY/Yd31+6bS
NH/DGuzCjtKXW5ZA+/+7qTQg4enM0QiHWGxuHkuy/2JTaS+bwf/3dCy4KLCliDlN5shsgLy/6dWp
z/I5tSPzsW3rGnnMXNCCY+mk9p2XlrQWUfMQJzmjaJejO44z7UJXTiUuNN77eUL5h4eSqgoYxBhg
2F93vkY88MQkv9V1fg6bc9pODbflfdpMdUYUOEzICt/fthemuakNChpT4/2FnAQwQZoxQSAd6TKn
0Gx8wnNJKtP6r3LWMMHGAmaChm7oTFwawNeYY/sd+wzOU7YjCfIvvjYq3YGCucmaeYtYVx6BTNc/
ejNO37toVPdapojzQKv2qpq5WYPSy1z0u3P3NTSRgdQyB4Jp6sZDFDsPiCWThAC/1nxeBOrZPzzm
1rK1/NslcHANc1V1qFyGt2w9//SKL2YhUlxnzuPcWP7BtnpoMeZCcfXBqiLVM2UHOs8s/PvKrc0T
SfHLjtHxKpsoCEjSc5yqjeva1cGf++F2Bk1yZ/aiYkKead9LabeXGI7JBjJtetvbnUFc7yI6Rv3r
7SLcYdsetM3Z85pnXEn2HnzuifBZ88mMTd6CPkBm8uv/87vNX9A/f/nQLLaWG9hjEkOb8Xdqbk1P
EjFwK4mQL8JXhqY4+qrKeDFMAZbC1ZtDD+v9UKRjtxGEIpirQmMB0SJ8uZ36Sf9RZ0tL5NvjdI4I
NjqOFQveUPG/pGWaX2ZdGTe8N8dz3DvGCTvwdG974Td04yYTa1TdWcnu0clyAPa8Nsnia7RdNlhO
gO2t28w6hBvQhPpwo8/WJ23/aQSWuu84AvaMZ7GDitAKkgkq8WTT+2Gwiv8Pe2eyHLdybe1XufHP
cQKZ6Ad3Un3DrsgiKWmCICkKfd8l8PT/B+o4LFGyeM/cE9kOSwQLBWTm3nutb0Eg/pyWXnwwzWJ4
wWNMtgJZBi8Yd429MwLKrVtBoGeIdq7su00bDeqWlzK5YtvkZWoSYFPGV52gp3oxGx4B1ceohVzU
Q4QEuLjnIqYei8KJva0+1Uiqo7ldmefqVuV8S3CSovgyC42KY1Qq4cvk5aubonha5EON2tyySGtT
UDcA5TTNzlNldExB0lxiuVQ3bi76SwtRVYu6uCOXpQqneDfWYewtCfCVt1rUquumFdxQOevzJ+rt
wZrfTYImT8xnmkeThMxnL0iCC9MkF1NH1P8dw/ofScTv1iwLFYL0bEAJZFNAAnujMfz4wswzbD/o
He02pN9war0uZ6raIPhXQIlrBxoQfXqenbqYXgbpTsumpX9Ju2gMvzIaUFelTW1IvED1SAwiUe6g
c7cVqWhqPu5WnZ3dZxU/JelrwozinrCylO/+oqDLtNBbegoNqeFrhLTyVulIGRfOyEcd3ypznLNL
lqtxgyZBzgtqkSAnxhS7tlpNriPMP/xMFABXNeGop7fHlgOeR6IaJX9dWeJClAR3UWjon1wtax69
mIZMrk3VFX4H8ukISqDxjCg0es71ZFsVNQiAjmDUcGF0nb01x4nAs8QN3WtXr1D1//nVfX+g4vYT
EuLSOCVxysI09Y7qNVSiQZNY+7eyLsnpa4UjFmNdaXeYK/kEIpYIgqtGO8f0xLBbk/MAz7uGRLV1
9YjtxeAdRL+eVv7BZeD7lPR2PS481Fukkona/4zCng8z21MA0XTaB8fU330Ac95eBYQ8w5HWfIz9
YcHNp6SpRYghiiNdu1axUFewbYJNhZuflkPOOuNXA+uFnNvmRNBrazKkS3LNdeuIS9j/xrtnsDCP
xRPWenGBbzo5hLLsfGD2rn9OnYqmSZgHiGf/fPPf9uN/r5vzsw8AxHQE8hsoHeb73x2zS1Tj6rRu
C8JL8sXQNP43nmYfZl1Tpw+CaKDLWDXqOnX6fNtmLp9A5jnZAWXUH3BBR8sB+8Q+tYZ6X5BgeG7t
zNsCIiJgjoZzTsnYRBcoJdXNkHkp/UCcx9+I1kP+7UXmc+MP3V6fJrdHfTmpm84ckhz0jVMvmbJP
CzV7M9qu8x9lKOKd5mruoYkqBAeuw0S5oZ9epqH6TEuHqKCh95EJhvUaREDuLhk1q1dBDl+9kJlJ
bl5TSrGmH+xtjCJ5Flh9mtDIqwX96XKfmojzaW7We84E6sacXz3f04KvNZEU/ZpeBr8eUv/DpGp5
i9ITV08W01JB4R5+1RmabWI99D/z5PWvZprNK8h8a2L0B12UT5cmBF2ilDJWvjKqmUPKLDnrlIVY
iCs7guYfM1TNyG8PQgWnXjKZmj0MGgHMF6FCeW3hHbmKBdLSDx4EDok/7aA8CeR7cmYACm69HQff
HRtYq7OuSXqSI1JBL5YgZWa2b2tzSlAuEqiKUWw4m6lIow82HMXKJ1u2E4411qR1kDXwPGBEhGmc
HqoINwFhVnqULHstjrJFEOSbtkJkv+BN0p9HWnr3LP/tM277/rVD86WtPNvKgEyEbkHbjOPYZU/7
b53RtuA5MHNiNFMj9dNNKhhILIjn6nYuIs/VOJXOXpnZPdYgtDVO2IzpUpPR1qts7YRybxxWTad3
XyuLbYXnK1xRYxU7JSYiuOZCzEnnRh4hE3wzQ9Q+NgqDlpbQQ1AymtaeMT4KhjIrkH3Ggt8nzJgU
8kKQ3cnDGsuGETCCwBeIrVDd+j45kL1NG9RL0XGg0sbojMK9uGQGYjIX7ZLwgX0gemi0mOwEUpAN
WFtRFj8yTvAwZCWVHexCzi1w2gxWg0UTluFXzXPELe3D+YBTq+Kgg0Tfak1mr2o0rMQFh127xiqW
6XzchCUvLRpuFN0t/rvfdrwGYwgwZunajWmu0knk5yBom72vm+w6k4iN5xAR1ojGyy6To4Z6iOOP
N56CNiq0NWHH+nNG+wZ8VgWcbDbm6UstJxs0sIbkMPIg4FQa8Oxp5hhijIBJ/UkQfEX4nt5NJ1o9
PtYvJ1ZEP3f9roWlESyaZpq+STtx9243abAessReEEiMtk6vpwERR484prEj+hU1IlwCLXkKo4pT
5oJm56r1rATNbenrKxLm0m+OM9yi8p3DEzi20m1OqHHTgTBmx8nCG5k5w5LNAMF1Q8DE6W1F/W9l
+1FlawvJkvGfK9vjU948NT9Vtt//yd+VLRArCzmoYzHshhCDbf7fla0u/9LBp6GCNV180PMu9Xdl
a8II/ZfmFhI8XBAxl7K0jSiE/0klK8y5u/Tj1kgqBRUFjzDiXhd0zjt6K7mRbhoHyj5mspwzhmhP
06MWAwaSZddoZVuBOnqjLyXZnN9eEOBnLWtL12qPhh7N8rv0O7ip+Y5xAiJYg5xx/Y4ZZGfMmFXn
jfyUfMdAkaOQESDZfkdEjdIZTDgdmg08CoZeZl/0ZtW8ADo5YUlw/KWQGjOX0HY2Kah7bN9VMPcY
xzvNnXglwQRGJOJ6ggzLhfQkaAYpauzduUKSsYwbHaqmU+N63aUVDawbqsbkrq5873OTTgbhaE0F
uaCuGcYfwWyF/roYvU8a2aUFlxjtaa3Y0MHmIaymthnJPcP95F4nxBd/rngLV5pXDF+i3oxvJqt1
NkWH9jWqwxoLeI9OaFEYocbUrQDKmEwZreAuDb/YDfJX2RiywAMceS8wOl9SNV65eh1HJLThZucP
/7LvbOM6suBDgssW6zY2vKUyKHZQ6TPnB1wd8p6Po75qB7rYC3q3HjLariDpx/QJeB6E1e84CGc3
neiaB9ZNfy/rcdhOkwM2opHjgVj5ikWTBqe28Nn7duxu0VeeB+sUI5Q01n0hteswy92tsmxOE4US
F3gu8nM4OZiJ3a64KZiWL3sVsB6abisv0fnKR436H98MkO1rmvgzfT/FZ+c4zh7ax0QNZY39ioib
bi0kCHvOH3IxaL7aGIRIM4eLSRNgS56+aGNWboAVadsKry/DDzm96Jl00DOK8g7ciH+F9aC4KLSg
y7YmqC+CvSa7Fzgce7Nl2YXp/P0/20SafXipWZLWzTLSszdHVI9KrT7EyC+G/JD5zZAWK6f1q9jb
yFoD2SFcRBj9d8AYxx9oY/9dUf8vKcA05OY2x39eUa9eh//ZPWVlg2b19ceF9e9/+S9vg/6XLWgD
2QRgSPpx//I1yL8sGtlIV8iIJyVDZ/3716Jq/WUAnIDei4VhXm5Z2P9eZGHZQ6Pgr8/xj9At/pmx
4b3PgGKPHzSv6hQiLsv7z5WTqdkqqFyGVDAEQpjS5ElIO3j44abcfF+xf8y/mFuOP6zjeEO4CGEe
GDj4nAyIf75Ii8WzJOyDbnsCLkk5zbQKqS+WZWK2H9Sy7x0N86XAKrjOHN2kW2+tuR8qQVpPTPQD
XlCFuQiOQZQcpTTIISZOlxF91O4yQVtITZbJpHssPrj8L7eTnj6tL1Y7kE5Ejsw72g+Xl+nkWoON
B5MB05ljzqNLQtyfb+a7TZFYKi5heRSLOt8bXd6fLwGIeex0X1Q7SwxnZRkPjYc2ryNmaYFW4/XP
FwM2//67Y7uX84EAeSonX/1dUUKbDUGcR2fJHJg7AXYWJYN/WIiJ5WeHtDfviQSF6YSesdVxEhdQ
esAe0dfNkjqrV03hR+zSgfAWIU6LfTewByz7AlzcEtUgdvim8eKcdFBRDoQpeKTLeehG48x4lvGw
DYBxfcvNueqtW10+jI1XLrXR67JVwijsKqSvg8A0MVak2KuHMUY0G9kBfktDOiCpzMrLzraVBo8I
Twq0dbVx8gMUiFbL6Nu2UMRCQ8yQerbBVYeAF5+/hyuZ7Rj1BqF5hD1gs3WDyy7GqGwAWTCd9BbM
4os9uae2LjIoJW52IEDwSwC7ikuQXKdZ/Ew0lnjSSmqPpLIoxnNQjk08vNYhNnaHCVoJ7h0mR1Gv
AVh166EY7CtF8MLS02z/IAPjwcFdcIhBBC+rxikXUd+/GrbmnVVONt8o4vhq8qqAkt/EgOEmS4yf
AXTMAC3i4PeoQFJ/HesqvAQ4uexCHLR4ZYajFQAQXnOMb6k0ICJ4+xaepNpEheOdK6d3VyHOmqV0
I+ei1ONYP+al8OkxKoKo7s3c0R5DmmnXiCX4Oa5S8lyIpD8CyOh2usG5KgIQAaoJd9HRz6r6skDM
i0gJZ0E2cAiosiq+qcgfJ3M4F2swoHLTR6n+YFLArIj3U0stjGT3uYvIcQw4RYgLbXKCcxRW0zqP
CgG+NzNXYWU3yWKIhLefNFC5NPTqE7TS+iarmwvfG43P1eS2Z7Mzkl2lheJSKMPeZTnPAoL4aAMh
XW1z6OUhMotxkWCQ3BB3q3ZmE3kn3SaJB3lhfTkFWnEDo3olm268JAW5JAAWhfKmHpBGFrYFizGy
YQkLZSFt8szuiFQVtclEmmfkNBvfp7FADUhvzRPBFwRpMOxs61H1wcHM/Ap+/3BCBXtPc3AersTa
1szQG0IgJTcv7JtF33Hw1PxBbKXBmUvoZbobs9bcW2TlHWFzw95A7l5cZyP7Bk+0JK5H8wP9ZPjV
+NTM9O+Ul+YCcppGqhpscEN5ITo0zQIYniH2TXz6B5VecTUYisDFcSsby2Imjvsze1zNFHI3aXPc
R5DJA98fjiqO46UDvGZpzwTzZmaZZ0kG38LEl2r6HRX0zDw3iPg4TPSQLpRnuLC3Id+QQB8vswRl
le2ET4ZvPHozST2ggX1LJ17fyd5AmedfaG4a3CUFmerC4U4b0XTA998twYDVCIm0duXP7PbKFfNI
Pb7Umqo8xZWfrvJq+goSvXFJLk1gbtJo3vscxdaMKE4KSHw70+JjrYsXhVdy9GTyT8iZXd3XQnPo
MjSDtipn6nwnC+OpmUn0xcykb9SGJqNxtqxyTsJN6nyfgw4EHFIaT/N0bh/NhHsUoRh5e6j3YdjN
TBsiBa78Nyy+MRPyC+GmFyxI014ooESltD7XM1Ef15wGxgMEGukPctXoIflpTDVmEn/W6z1Q/lnI
lWYiv2pmP2sv75MsBO3ni3wZuPXBrF0NeKTmr/yZ9x8A/vfnBICJKACnk8S/60gjEXGScGA2mbew
5vQAlgT7OpoTBWjZp3t7Thkw3ChZFcM0fCrUYCxmB8+M24DWT2QALxBEThV/82ItfSQpQT9jODdP
xhTbQKs8CLgkQJB8YaXGFuBmu7aJNec9sdXXbE5IoFpBWYjnJqmd+MEKrXw3ehGRCiShg9o2sXHE
JqtH6pK90E2kMKDPHGgZztkMWeNqOypSe1lVzosjjADQvMf3XvnkOrjAm85MM6HMzakPSHtH3Axj
tJPJHJYxp0N0c05EoTrGZHN2hB2JhL5PEGCSWGdzvkRKx2aFeEfdE4+SIXT13A03KT0bGACWlk4G
8gJqnryjg7i25wwLbIXmF9Xb4ZWNj+GxIeqieAu9iEvyL7q3JIw5EwNCWLwz55yM1OYhY/P8Rtyo
RNdNmoY952qwPw77Hs4hzXRVOPaxFdko8bakTff9XPHftslHbRNSoThD/edD/uVTlHNsen2rGPZf
//f/zTlS/Iu/D/c2TQ80BSZuT8t2jR/R3474C8uwwzReMJvgTPrv873zFwZWh6GLp0v3J+OyCS7c
mpswDhA8HTT5P8qq4hK/Hr2ZQ7/FSKE9mQ+sPxxIR1rORjtqE1CQ9egBUbx04+sf7sb/6XRPZcPY
aM7E0oUl3l2C6UGKHgBtJBiBRTKx5Yw5zcMPTqK/fpCfrzL//z98kNr3lLJI1NmhUGu0L4V6bT/y
XH90iXeHdycqzJxzKWXKdHL0E9KDavpgSv7r4Z0w8jn0lRqBKB7n3SXIu5Z5r7n1jiMj5CDNC5ZR
WZwyMgus0My2//CbYayqOwTzMdmz7F9c646yVGsVpHePBS44veEPMnYB6gVl+kFV8su941JCwpkn
0dSiUfiujtQbu1RomvlgoRucVWxW8Dx6cam3ffLBoOTXimS+lDO71pF2/SKgE4kF+wed7w5DbneR
pC2pP3U8Ln01KdJ7VLYteugi//xWQhOiW46yB5b+uy/OikCXaQWNujHhLiJPtRZ27QIi1Pjjz5f6
pYTlVhJ6SSXr0C/4xfqfGFo5laVW77KRUQC0ZdBPWgV9JpHkoKe4c2/KEYJRkk7hZYct4oPrz+/r
T9X6fH2aCybJwPPS9O59HgOz5KSEvM7N0JjYOR8QEez9nz/kzyolSmQugqyQwpK+g+448ufXWYmi
HVvGlru2rcTWGUIioQLH8K9SSULKNErFcddT64IacvPnS//u+TGkbclZm4Ps+F0B7VmEBwfSqHfx
kIzr0rBa2DzaCPJf01NOFUFoMaSB2fXnyyJn+PXtpwsE5ALQggN6Wb67s02qlXHQA2GztLx+YTvX
SUTXkZo4sy3e8pP0lu6pf9BTSAIGLgyErQZfQcz5ZVT9sI04PzzIEMrYMpqaeFW3zklaENWAfKvh
woOAtcE1qq+MVvUbgariLtIloycH6M55TFy1wKIXHxHhO0u3KL9kLkwnF2tmWoiepEHsPF7FGVLz
hE197YSXJJ1TFVVdsbABDh7tuov3oZ46R92d7M9a5lAxh4SqXOqVZh/TIB2Xk44wOdQsapcg63hQ
Z7fgxDjsovOy6Z6RY7pimCahV1YvNl2Sgx9B/XI1Mt1hktIjlc2Fmcj2XuWjeRro1hM74aTrgsim
vZnN2L1OmJsmYQ11VCkuXR0YdmyYimG16m8Np+WHwES9cAgZXxdoppHAjY24pAhjK4xZdoOiC0/k
/wwvXpuNpx5VerO0fcVj0MdcL5peh9z2P4VlV8cr5ubTvT0wp1gNk3it69k+YTVm+02rTBUuVZy2
D54ksHujAJKd+l7nB8032DLFZQFTHjhem5VLe7TsFQFa7UVq+wYdKoRAax8/cgl9H4SRR5d+2aWx
dgUJ/rVtNBjwY9t9jef4o0m+erlnfVbSCpYYyKJPbaLivY6liIDWkBeJQPtXlMI1zRZQOLu4YsWI
AQGATcLu9NDp/LxM8XvEykkOmWc1D9H86JMs5Bwztwsvy2zw14ZVCwzSQ3iC5BTvA1wLK68u6w3i
Gx0pHwFQCzacYOkBGKP8H3WqCvywqPJMuZsYXYJbmOYjeQyxOyOXjcjqnvpt6u7a0ucv19CjF4kb
Wac0GIuFnvrJAWUjEbVa0a17YnSvXY/buahmbGlWl3IlOTZdESUfE9cm7QzRAf32haoi4ZMz5Itb
s/OD0xhE+t0c+6RwhmLIQ3KCJTsI9K0wa//Zd+DM8JRo/pUcvMJfYt5yuoUpckCvvm9eI12AmhuM
9lJNgXkYy7q6qDSmvgI3y96GTHbja4a2xTVi3Dig2i4G03qgxYFuibH3sFRWr+86+hJyX9Uk0Xad
StWSzBH/uVWweakxi3ZhaJ22LQAAfDPjxP2mBX67bLRmONaO8J5D+nDroKsw02HH0dda03oLnzEM
98PXE3slJvU1rRruZNOrdI1vnX5AI8YdrDt5kQaBedZVMq390UWeBuVAbF3sMltrMIdPrvT7Lzmi
whNZSaBWIpnaKyDuEdyXqDcWGfLWF5E07QFWV3aFRHJ4qlEnXeYENF4zsjfOqUeNQ83majiooNwO
ErSq0eOTCsravSHQO38aQ2s41SMqNBWH7ZVqKvtCKNwJTeVZxwSg1VZUFrq5sbXvytHAbDaN064i
rrGnrEIvuqjEvHil0m9PNVBbLEO6n8ANtG1rhZGz2PT+oH8zI5tWE37t8K5iVPaVHJpmJ3oWoQS1
1ZZHw1opmtObciybbVvAGFw1JY1ZDpTmmiK4OqakJZIWUVTheZIZgL8AnGXGSxPaAKSY9GGMmA78
tsFZMk0/kIRSHa1YUv9acGKWgGX0eGFlsbdHtm5tipjaF0QY6s/GKzYtRNx1qQfatg4TpBi5bfBM
uLQHNxQI7Vof63qv1XrKx6jwbfmoPNaO3xHRLvXUo8vRch9UwQFH5q66yTkEPA9V27KM9QnCcdPd
hjAkli2rwJco8nDf946za2XcvzIanDYwJawj/sh8OxRgjReuFpdPcKzFc+vkSEJSsn2+NV6HYqZR
w7Un9OTw9tdljnUL/Gy9HxVuU5wXznA9TDGqQQATa9JQ0aPxDE/c3RbbqQjQOLxdMpro7y/QOYAV
HKXXLIy01Z8TXAKPDlTeVW+F/FWzJg/6TSmHaSxeShyGt2au/M+xGRYPfZRl2zc9IFhQfx1N+MJi
jCb4n3SkiKpLDkS6PTEsafeokcipDrrYWrl+gmcJnxWLZ91fea3O7XuTfdXCiy7tRPWXQmsDQP+i
ULtC80ZJGgsmzFoaMPp0XO2HuBHIPpzChr2Ni2HaIb3kF9YVahUvSuw7oRr9U9v00ykymQ4vylmL
ZZU0aZxh1plNZcdlowRbh0KDtSA0rF++KbTKyB4GPLV89a7BoLiYJU9daoRfPcHfTgi9uctq2zr6
oqDLZjfNCuwq0ruK8+aWQrTeG6WWPAxe5G1zdKJ3s85mbc36TLdt822QePSb582O6UAD3AQ732A7
Gv44lByF19DE8W11Y9Sj+QQMNV3nJQ84URDJYeKJXjo6oxnIjvkrKMIOm7fenJsEli0PUnBj0yC5
buPOg90KucE2G28b1WW+dWvD/tSiUW+J/5D+RYrDelw2oAi30tdgJLXIfyZN71/73NfuM0LjlmAH
Y7FyNfvv7ylplf9t1PlllWkMG3pU4spivHqmgcUiA+HkEKeSiaylos9517gnr+jVRtM769HoRvOx
rzXzMbbK8Yqdyt6EVaitRmz/K600w53jQ6mgm1vfFkyN17JmaK4lhrp6u+stDOIV/jIXz6K+0cm4
YONr4iOJJWJRFUyQ827C/MmDuCETRj86VZivcy9u99nYGusSq+ZS1brJS+x446GTY3rtuyLYiywE
7Pj2LE+w9E6eZrqcK1xohm6krmDO+OssdcBcmG3P7MHKk2sdX9feHpX9yfP9ftuiErLwsbIZ6pgn
H4apwljVABMCc+zRyPeMjE55ErIECnEbatEzEUboUsNq3GONy68d2AMkOFldsJgJAA+6KiwLCu0A
o7QbyakQwGhSD4BwlzjxtZGE2qYzZHIwu8w6kjWrboQzaGu/LhWEyIat28EhunWqQjMWasoc0hAR
fILTwLe6Zm/q9+RzkJ/nm015ObSYWJcIA4tzV6h807HgcAbKnebIFKoFGIhxsO7gFQQYeAjQEeWB
8IdhY0gEuGBGcu383YLgZnhTLRN3YUo3G1HyrDBsrRKscxNZ8crtCeSuylkxKfL0Qe94nLISXAzx
v+KZKE8st6DhV3A3kMJ5LvJVFaHu1gjzOISYUNeRsCQ6w2E61YnjHOzBHNduO9Z7d5R9idiiL6tF
5tk9gQB9wUoHI3diYKB45zUD7tjS53+ciR2iI+n5YX/RtVq89PmrNzT0crrIE4lJYJ7NbaQb0554
Lns74FOaP9G1EyrCYT2U/yhAkSF2UXYnVQK81I3z9VS+hY8UbY05dpRfxnx0YYLk1Z3RG2PKGEM7
Bn5/05WjsyhMhINDrL26+A42wsw/IQUXizQmtoiPAfBJx3mEGb+pN3gGhjUJQ3Lr+1EPoddvj/BP
645EW91Zc0IMD+VkZcs2HG9A1RTLpLGzFyfXXprJulaoRjZSwVrh3FbtIQfBbJ6i81CE05J2dLBj
tdpyI+bAbROirU955yXuJ0Z59RIBCSMH9PD+yh3o8idG3a50lwCz3CrNdeqUfN68xA286ID0sWLn
l6r0L8s8DNB2w6S3oxT6b2H0HRKSOPwSdPDyE9Q2cx656tcQFIq7En8OCr9Ar7CLy/AYxnZ5kwNX
/qThh12wq2efURd1L2Xv2HeOqE1Fsg0Eg64fp8MckYBkMex2AGAtBc6hMm9Mt55uQBDUdxCKknWf
dQ5gS4zkK3uy7bVihAFIOAy3TEbjTV8ldOP0NDoEMbE3IHoQ2OOGPwpPw+mXpJZXr4YiMOCou51K
kmOTP3O8F5+x5biXwutaclylVZz6KmYcIBm+3PgTQT3tSAoAZFoyD9yOVzHLdKyMjGVmiC7fIuR+
69kMzQpXZziN16Zo41NuwfjsorH+bNecrxZKhPJqdL32c5KGzgEDcf4I22Vmt+ad8aDPO6QtsnKh
h24I1CXvjmHkmpdh1rSPeYvhBIDTcEitoD8OZLu+wJZCZx8Kvtyia/2b3imzr1nj6MveFuZT08SF
5BUpnYNAAHNRt1TgNhZwYzH2uUmt26DCGQF43Ru5k60T3xKMxPo+vCq08TXpHfeTLBzobN7kAmOE
VGY1KfRjQP0LzngTWyEC+27RaQr92FizksVpvItLQkNLgCJ8vey2h5GqAjSaARpIgIRpymnVRNlZ
S6NPKkdrRghru6BniyuPUOZFIsrH2oiNVcJgC2SO6RD4anEyhpZiZ2dSl0jcnVK5J6WJoxT63NEP
yH1KSreDnsFYKdtRLtnaK0DXGSNbW3vR2e4D8Nh8Qd3pbqliBvAekX+fGlp7waaY3nBUjJ+UMIr7
uMI/X3alcralZo3gmP0qSragkX1rASYOQLXW5ieCK4ccGmGkviS1LeEbMbI89LJ7DQZ3WHR0dpnI
ufnR4GT7kpeMUqAtNitbS66mogeD1Bhaum0TWEQDX9UFCn8C1LyqbK9oBAZXBLGBSzDTuFnDDqgu
ayKllg2UjFve/69trpO2xp4Gh8/Bu2z47XTwiqa7SXSaDGaQhg+qbgw2LjRkMM78U1MaxTNtsC+k
ZA9fzFHdTR0C341jQ/HXcgagMWzDbVsym+RVS+8QZAA0DMOqvrV00h+X5Ndt7LDTN1NP0oHFE7/T
3MLckoXkXEAjGFlcCJLYh5lHbRrL4NkaGVrnrIRoGLQAKLhyzpQ67CeBl33xkUCvCNN9ZBg1HPVS
SOIVbWDrqmrvzMiEX+KSSEVT6zmY/H7Tz8gQ7tsYX3reRCx1DXIDLIu7rYJY1fRXuCmG7zw6fWie
o76oN3HHjE3WXrgYcs5UhD55G0uztq0RyhtqkAcW5ORalZN9qBh6Q8po7XWZ5v5T4SXTMq0Hlzah
EV/Zyp+gAjH4Xcia061CzQfmZchv86kJOOFq9Juzlon/mJ38SLNvHChpKzu25ZUIe+ObCAjULGJQ
9XUXBQc/D7vr3FLhRWol1p1Zxl4eLMfJ17rPMfFXPsSobcZyu+5Lo0R3qfQTAD97lw6I2Ii7L7Zj
b6R3LSsutvE5SRjS1JbZ3jnoYHorR7cPRgBlqB3qLzgGnV0chOxYHAQPLKTaLjO8/oKjHGmDSPev
mqBKOP8W+beuhSG8Stvy2ahi3Iluizd4EVRh8ly8qRYEDo6jC/lwRbcEkCnAi3MnNTUuNU9a3hU2
yEAui7yq1MIAcG5tqpw2MtCY2rvKyQU/5xmoPFiB3jaMGtSdtLDOtmxelQJXrCPjw2NhELEzDS8A
8bODlUrIGJZFkVT1I4ruJN5nkUdQWSN2JPLEB95/C6OB/ZAFnI1Nn+kzp8J0RbvjpcH+tSqQDC71
mP2VPKFdp+wnhxJExcDBa/3EGWrOfaFNpHWueDG9dDiahQU9sEKNrSd5fR34YtfDc/sWkt58gxxW
nhrlfauUqT0EvHr3WFGQxlhNUWG4q9Vsn0Y+pOVWsdU9RbZ3VDGRb2c0XE4H4M+N0F+7oLR+TZ0N
mha3tAVS4h8nOUYDPMqJ6L86FT4FkfX3NiLwXWBT3XoOjfw/X+53kwmDYQumxFm7/F4RFtSVLtDK
crmmtc6VrLZUAGpd+Y7+wbhFzJ3j951zKMXoGhju2XS2f/5k3jT93dTG1D+8NG9N+tHvvqqWJr3W
pOKSvpK+td1Jf4L9RkU50I/788f9Xfd+1to5tmngkX8v6Esco52GQGdm7wTmyeoKWnoBfdI/X+V3
N5WvcO5h6ww+3zrdP0zjTEwUnYmS7vs4pI99+pHeqBbCjMsPvr/ffSATspdr4rdmxDj/Kj9cKoGB
3o/AIHcDsQErstW/YJT98ueP89E13k13IgsVLm9rvROyvZzseoug67sr4T96HH/7cPD84XDkUcQc
/v7hIDQQvymBRSUb2GXQ6fJAtBjd8n6IPpHDyyOZ9/p1ADpvRc6Uvnd946PRzq+vHkRQiz4q759H
/fJuAGFaZWdoBYbRQADdaYvWXsKtrS5SjcjCpPTy1T+9r1wPqSrMbAsB4vt3r5phbTM3Er2VYpWy
x5MTCueD9eTXZ9Fgho4Tn/6O/BWq4AWineokrWCiBmSflsRgFGV/gcUl+uBR/M2V+BAzdAJpLq69
d4+J10TRNI5usWNpI+dSa47G6JzLOn748237zdckHFSXgu+KlcucJ1g/PPJ2mSWGVzsF8j19XadP
iJ+WcQKTFn/ln68kfx02Yvb64VLv5rYUqraf2VyqA7S0MnMzmLFTbQvPq+/WEB6n+9FiMG3RBIUh
a9Li0+vK/wx+QFvDhIY0yghoKxtqaaSVdMEyc0oOFnS9Q2soDWwpgGk/5TBoVjlxxAEtYw5X7TqV
bdweyC9TV0PR0caCsQgWm7bDYiDI5YMP+t5cx8CRUSbNfZ0XgJDY91O/NJ00w8s77mkTto9elpN2
27u3BGlFTxmc60M3IyzrFK+qIjjcSUD6JMre23YGIZDxjJjjTGV3n/mcjlqbfNciw6rmYs+nuiSC
h8S9BHFUFRkOecyxIWcfVr+oe+kcSJTulsoszB0DLmA6rSsBYybxijreuUAGjRsk8XwCH4pw5QXD
EqmjWpnsPh53S855vFOjPzs+vvY/PwG/edYkimkUHOxZ7PvvnjU/6yvGsCP3Jdaai550+z3fuiLL
qI4xd/nGsPvzBX+d/GL3g4EBpALtOvT5nx/uqsBMNgBa3Hku0kWaLpjSg7q9sI2y3aIqbC9C+i9n
MyIc8M9X/s3ry1ibhAGJFuf/U3dezXEj6Zr+L3uPCXgTsXsuyoJVFL1IiTcIyhA+4RPm1+8D9vQe
sqoOa9R3GxPTox6JSiCR5jOvOQZf4FkiFbQDBJCvcfwm7V57hiOuPVianfz+fKgTL0mXl9OIhIf/
HvbQaY4QdI6d8HNZUxqVGpV8ysEY9ySivgCyCh+vocsGBUancvf54Cfek7jKgAv9RuN6Y0u/Oz6c
NOzIPYXwURKLtxV+HuEQ0u9Nxn/7XfyPl9rxSDh1sp8cEEYO6P6DA5FEsAmhWWY+Hg1P44jWh46k
AbvIMP54mRJuAJgCGAUMQz1EvZcN5n6IGGc0F5HQnGyqL0Zy3feWjaeg/etPJ9BUUdQivjFR2D8i
EeAQWAoTKU2f3rrhK+UoChoJFHYbTBibM6HU8QZkMEIbQgP8LXTtcD/QII7sLufNFPMhMpQn8Mq/
ksF4CHv7TAwy7+WP8SlDgc+xeTXOfOtgKPTq4lEodGPRS10bFEw8MJkLJ5OYpgi5o1ZxLho9PaJH
KAolgk13eL3A+HKLecRKk7vUK1+KUXswamSgO/TbMKLUL//80xF4z7RBj6vz8Iq2cCOw28BJfaXr
dmMmfdNMr2NbPTPMccAI4BSpARPCBNHHoR8IDlRDHPNX+1LRlQfFEeZFOXAjfv4yx6cIo2gzDwia
j03c+PGoHBR9EEkCHrU2SGtJ95ZZ0r06wgbZ3NJVQwjDGIszp+TMGT1aJfPB4VjQTDgtD0YN8qn1
wL+kvmfB+u5xIuGuK5FwA7YNA1nQyWrGWUdAKZDFXTqTV1L7Vp1tO1ThRUYzaYPu58M0WtUdVrcp
qu1ogL+FBVWhW3uwMfZXT+9tDFEb68zTn/wwrjcnPxquMIcfhr5klFHezHxKVJg/jUi3KAPFjs8/
zKlzz5q5qZ4GEQdCzscPk6O1aYuwyHzU9jKMW6WvpiggO+25qOXUp4BzD6rStlHEPfgUaA0YogQd
7SMyadDNDqKLwVaHzedvc+oEgqsLHhE6EaiveU7f3RdToupD2CkpCAJEv6XDNTVY8NjR7f4hE/PP
o2hyRmCiXBkz6+wwQ3Xb2JagLlJyx+DXPHd1bN/mdfD0+Vud2jwQkW1kugCyHfGkkAQUyCKweTD4
dm/SWQReC6xfVFyLTR1a7s8+K5MLUCzNmavq1Jn3Rn4GQXci6aF+okYGKnN+GOrXrVBepgSFjOSx
TKZ7NuKZ0U4teNIeZMNMMssjtCAS6eDIyib1UadOtxjXOLe9npxVrju1RphEtFVM5NDAMHxcI16n
g5Cn7ua7Xa8+xpGKi5YLkiZAfSOjQO/08FZceGhFK68rfFuvrMwxtpELsGsaS3SKwqRcaRXWEBne
pJuoQ0P1zE2qnZx5IP7zzjRQQDvYLnXQqBb4e26bwaRW2FYvWuvB0jXc5iJ23KduoDrhlBGVTIH0
Q9pLhBfQa41o60522e7KPkdEFOzuwkZebOFFvMfnq/LEPNLYIgR1HAOU5eGFmDk8A8SWAu/S6Vc5
ae1GLUFUBRlN7PHl87FOTIf2BjS0ZsQqUffHb6ZrI0pdbktoH2i/VAoOq9xSX1DmEL7jiWQNZrg9
E2Gc2HSaRtmeiIYb6wjfLGuMDGtkv/w+sb5FcagsdVr3FDNrTL6xdvla1X2FwJCQ/p+/K5xLb65I
ESAenpQmNPG4dpvCJ1e7quweta06uwWWHOIFED6OrhWeWW2nvuRM8jQdHZ4uR9nB7Nq0HBoTDRNF
DavlqElak8Job3sIh35uk0h//oYn7hxekBgKfXaAq9rBDsyDGgl5+FIwW5GqykzkvNWqqFYGsLh/
MhRKNIhVEzC6h5do6ZhxmwtSNM0rxI2VYapXO629jztNO3N8nVqjmH+xPE2OlSMcsAQXIyYqA36T
dw9dVPy2rArCDt8P581bt8PR+c+nEXc5XbcQXCJCPPhs2kDBXW8m4U+z6I/q9Hd1V2MdgaH25wOd
OJjBFkNBNqg8Q+OYv+e7W7WcemAgASlgFlpPaKZt3al6+HyIN22og4D+wxgHa8JTkjQxEd73QfVq
CzOOy11jNdad3sHjRr0RGmao9guUocoVvjbh16KvHRADNGw6t04p/nXKuhYx7R70v9eKoWlr7DQy
PzbaeoeMYXSrezhEixFdpqBUxTZvQGiQ3Y5LsHDBRWTB6p6wTb2xtBrAXkIP727yEF5ShYbscpE3
9VaVKFqQQA3hdZKpRIcF6osijevraHCiLYoYI+pV4LSkEeVfpFJLH/ejh7hImyUzPNtnUTddYIZS
+iCUUJDop3IddJEFYjDt8Tgz0MCKIVR9Pr2n1qapOY7GOjHoUxycnyieYRBnszbBCr5UQ/viRuW1
aSiQgIt1oOBy+fl4p3Y4MTfBHuV7kPEH41nRKCojHIXfVtFcc7rq9fSib8WZ4PW45AdBHvoEhT9q
BEdsfHNII6MePIHjW3pbIoMFcMj9WaVf6UThoqcsO0t/DmtxJmUyTo9LlZYZJbk+zCu8Mq/ysreo
iRTj9C0aUCzBeV25Be2uZmsa5+Q41Wyh3KayWmUCpJDSCQ7ySpcXFlBfK+mVC0NFPk5rTRiooMNY
cOUW4gdtLC/5YWnYPPUDeCBMYMKV12o2tRdnWoVacA/jr1m6k1Ut0jbBF6idynCd8DxIW5cQIx3t
JnGzaVtib7yB0cX/n08o7DdtsnYUR3+ssI068ylOfXEbGRqE3ygzGLPgzvszIlYbC9atFL7avoxQ
JhaIcm1TrZVnVtaps+jdOIeBkSwlmlFeL3zXytQl1g3dMo+i9efL99SFaONgQ1+BfhuSEh9fRq1Q
6KzMWvg0nVCbQsuOZPypSCOAtc14hnR2cjDqleQsSA4dhb12zWEkMvaKEtk5mei0lWa5AQYGoLKN
z0zfqYPApuzPbQFl7yj4zcYRH2egFH6d1Ld642AwEYxPRVb/RpTrNo/sMzOpnVoXDlkSCSxcKrSu
P07l1OAS55rEacmQRVA9dG3nTnV/oVOLXxWGEvlmWbVLdBiNu1gNIn8MQTaHRSy+uKGbbrzCHL8i
ksaOQiEf8+3Pv/TJx+NApIxE/RYez8fH64cAz7uIMKevyt+GFz5GurzPDJrJ/2Ccv1QnYK8dBQeN
VMaoBJTjk4mWVHPaFzEqGOh09ZmL9FTYSnEK9po6/8M52IdG7wHjBoDltwDHowacWy9u68LaJa52
jYTUQ555ZwoVpxbwuyEPA9ZkMjOAOmruK/2wDbviN2LgIFztXV3IMzmHcWr9kpHSJCN8JBc+yIva
3oVzPjg5x4w+PrdR+Ypji72UWKEsKd+GS6XEUDXnRF7H1Qw4VrQZnlWD/PFk84TUUfQUVG7jdzqw
ZagtkA2itr7Hj75YuXhvLVElcjeD07uPrsWpubBFA2pCaQYcx+bSZqG/qqgcrx2ciYZSfU6K7gpO
Iir3hHyxK1H+GPEi7yA335cgL7nsdevMajo1C97M1KXEwbo9bMBiDgrHHJCyP5XTxYRr9aJVzSer
tPbUTJ/aeOzPDHjqE8/0jDctcAvS18dtUiZaOFYEQ36Mxx/gmA5h5onsd2XgExksmhmY+vmGOfGK
3Osz29iDiHOUXXr26OatbmR+iiziOqpH+4uIiNDGpMA/tcZODRzSj8/HfMNrHAShYG8Q8NXZoqS2
B68ZKmNGZzbLfTufvGXUd/a9GeE7I4zR2kdFlj2WOlKFiQlk6w2n/KZVnXcotbZgibZK3wOZPfNQ
J4qYoBKo+synNmYL+se5DwdrKgPJjm6mADwbDmUbUGnGpgkwE/YcG7FXG1XuzMrWXlhHy5GeDPBr
U1t9/iDGibNy5oUDx9BIc8zDUqEKNMLO2xhDc5EYtEZmcHNsZNMtAEth7flczgV2ONYengWiG7iS
I0yR00dFpU3e9EavbsYxUL9FJoE3Yp/qN8JiZCB6lhS0iXQDssfagsv9jQwZyp6qXJt2Eq0BDJpY
0ojWx6jJWQ9R56zccI9vnnGfGmK4ZtvCREEhfXqK3M7bZarzXe3G9Exifur96YAZKGnNHfrDwhHl
tiRrWoP3z9LhPoKf6yP8ED/FmhJtPp/rU0OBvgRrMIsYH6WtNJ2qCgGh3PdQtUOyw50pPcjT77wI
+Z/Px3r7boerfq7+GmSvXIOH6b9Q7Kzr85jkAFsSFPRoGMP4mExtG5Q4jQgn0/Yakiw37aD3V7qu
hLcYpSFkbWTlFivk+q9Q8o/kG77EP2v0RF/b/z3/2M+iHOs4jNo3N4H//reHAvBp/ukf2f4url7y
383hH/rw1zb/9fbb4e9i9dK+fPiX9ZtWwm33ux7vfjdg+P82NJj/5H/6m/+p9Two/3ffbh7h3z85
v8L/+V9fwA+//Iy65nfbNu9lHOb2KD/5t4yD9y/OTGTaaHsgrKZ6xFx/67QZ/7JAOVFFcy1I9G9i
bH/rtOlvLvPgehBsmEnNRBZ/67RpOD7MwSkVG3umGdt/IoZ5vLbnJitVTewnXJ7u4DzzDJSi0lIp
fYQGXyMsBLfgWYNF7JLev5udm7+W8KdibbyLTmGQGirIrqOsNxOAQGYbPN/VoW2AH38uRTEs+iDq
zlRITr0TY1CtpYYGOm/+/XcVkrBVgqku0xIYXNotg069bmSekO9NZ67FEwOBeQKqNh9A6lE4LdmL
aGxNpT/iE5Rm6Ss6kq8J//vHM8cwlks+xxc/+kZgQsCWII6OgUzvrT23qhANBtOSDvE/mDrWKqcO
XXf6T4fFQOieuQmlokRzI68vB7VDaKrQ3ctaJGdeyuYjfDznqEZQKSOnQ4cVCOXHj+RIBMdbry/9
qEfNyu7GuzEcHmHjPJYSmbDPZ/A4Dmcwg1YX8Azchg7xBIpmFezNovSxjsUFAU6Pn7hVsCiU+EV1
Z8sE6IILbYQs+/nAp1YIPUMAhm8hzOH2susCl81IlD4+QcV9B6R3YXkQ7MDFGWf21zxhRxNK/YVT
gRiUXf1xQqcu6UZALyUdapQAchg6a/T1g/t/8ELvRpnjo3d7yyUUkQom7b7iDRA/6+FR5qiHivqf
Td27kQ5OJkSdo0IKRoqyblzZQ/IyFZDjz2+vYwQlrGcU+jV6hvaskD6vnnfvFHbguE3M3PyWUiYA
96ZYtAPZS2+Y36oYnDhCbSCWcdrdWDWO96CKzvRjEfg7+no02Vw0LD10JoFLzdvl3TMUQW65OVqS
XPt6sSpViZ/LWLbDzWTm49oL1GKlebW2geJs+SoS4askM7y1UZliJyu6jcsea0Uo80AVa7zdf745
EzsJdiKzus6mc9LXESjsRTjh3FE6TbCoywmfD93Dk6oo+SNjFORrHEz1JfK7lu8MVX6LW4X+lDp6
cWEFSfAsc3TT+3ywfJS4IJqN8C/7hC2VOgOsfWTzlXyBSRdOUxW2eW1Lr7xLM7EmGhX30NTMHVya
/mcVcNForc2zQ/i5HROz2PduI5Nl5LhRsR7NTP2RQBKkA8jzKMRJLyhwFqtUtuWmwMTnGm/4YtUC
PiPfNIIgWWhd5qHTYrTeFkOUclOpoLGTCtcTpS6VZa7ydlPO2ZkDcl86rdCXgcP5FoUx/C5IHfAH
B21DFlu0S0nlFvU8HPLoMBV7TW1JSHM4dK6XK0uMgvSnMJLWfgi15Dl0i+zR7lMwUY1Rfq+QNnsK
ePdy4UA0/F7mZjfxTBKRtsgpvXZpGCPHzWCbkHkVbCofmx4WNX6C+S365+1zwNTAHqvKa7tLXlWN
b9rBoniCB/w6NH1w39pTcdHPpzPeLMV+zGbb6honPZav52URRHl7uAOoal5wqbTLQObxVoaZsSAS
iWfmeyd2cQied2F2YXwVGqV3ndiheEUDUrvSULLY2l1GDVNXetddvO28rEG3AKK8exnZTFmKAsgT
xXJEF8xoXOZo1j24E6Qi9Fbi9NmD4rjIq75YIQiQ5JApZDHBb63tbBtjPF9+0TpZeis7CuS3KCgV
b61rsnGBP6bxtLAxQ71EGGd6cqEPIEuZ5q+6E6GMn4YjkSCHNwIwlW8mGmp/bO4HA42lZAmTYVbE
RIk5pc0aSQhoA+ZUuEkZlHJ1PkEbDKmFUkOJRCi8PIUmIoKBDUJ8q3K2cViitenRW/ZcKDLlzPKB
bxI90nAPJd0Nkbx4VBw23uyAA8AVKfvYk9m2kcFw19ee/DbVU7oFEd3SkVBqPd4kaMFM6wmV0mpR
N2HfLewh1X6Ab2l+6RN7y1QCXKay3mq+Sqctv4eJae3fXIByPH4tkjvF2NnYQuMr38fKUkv5ElYU
ps9VqIvdEMBQxA5dR+guecVb0bsMNNvY8SDaBt78uFLGBqvFKEc5Dgb3sO7CbKbz8YU6g9sX8Da+
wC62cChhBfeJrOH4ReUQ/RalZ/kitbEKtiN7ujS17lvZjHJLqwJirIf5xXrqXQGBJn5tUCxYVAoc
wkbLttBzf7ddjW1EM9yLSveR6/3RYby1y4WNA25Q2ntuY+c26tiUmuCxcEeVX2Rbe+swZZ/TY0Y1
GDexJ1crpz0Mkk0+YT0aTkPZLvM+RaET3/kY86WMRc2piDFYVo4r0SXetUFci/M7uz6d5TWlLIOF
0SDbgiOL5ed9K7fafPWXJu+t58lL3Cj44NBgfskGyN+GbDVqST1Gqfg37YaOFQWIOHjuUAFcqtlY
rCQdrrXVTGyj3K08QBkzPUOpEd6D5acsI7RibjUbmxNTzV4si4Oyrjk/oLk7t1OMCoBe1+MqcCp8
fi2jc29h8dYYG6NQhAIUy7Dz6mqbqXm3SsaEQ0zvipXdM3SN57AfQ0xaQqbof6JteFGKTMAlbGA/
gnlc13F2DfS12EQ9EhhRk5fXTTWH9oVe7DOtZDH1VdTFi1wz6WswO3HgYZNq4yH7dur2Ufy9TV3t
t9pzWsl5jVjqpF2lQRtfJdYQbuRIDR7adlItFKW1kJaxNg2SBsjw4jhlGRMnYlsMSznZxdd4YIYm
JxCrQcUChgu3B2nWcnJnal2D2bLFgyzD2cJCiF0wdflt03H2KCGnR++x6VOZM+de0W2MhHZLKGR8
ZQS6+sPTunaPiywhcdFdu2mT+Y2N31kSUXTMvVD50tbxtREb8puSJM31OETtlyCZnuBH909uOror
dwTSak6ahbMHtiAiqvJrtLKCmyz97lTwbWMjekX+Fj5KG39lPz/WUg19HRQiKil5tWxVgybe2GCI
W4zhlsP9h2IVmBc5XHpz2exCiaPsEaar2NWCE0fNXe0hVrFwAiPSgwp/O2SRPKCYxzfYkP71i9RG
OIh7WyzhqgydT/XSrLf4eC90XKb7RfumcTy+6R0n5JkVSyRBB1kL1fRC9JXqQWZ25q7orJmM/C36
yVlpUKBBgHnWVX7TWC5z/WuT6/mur4x8Vzitihaz281WlshBdn9JQwZ/CUWOvT7kE5dPVnP+YbgR
3FV6DwdOTRO442Ys82jXJ54Bfx3FE+nuTNkVAlXdznCMJekAparFBA3htRmTCMUQJP9/lxaACi0O
MXtxnVJb9iPqCEQ3loqX8sC5PrpzIQQdkra9EbYD7TgxYflj0h4mlPui2sThstNkztnTPLupmrbL
Ysju+8QYIONq6O3O8b2JH54zyp3IknQVl+oP0+38EqFZxAUNxKYtike6zf7i4JC3lpUoXzRDKMmq
dXKoVqY+btmnurEoEsRNusxtfb0C0jZUwUsaWSmKW3qKtgrlaAQ5tG+U4Yarjjsa2/MQ/Sxh6p2y
9DJjumK7hj/DzAE/lmqNgrv24BHdKspFPOCksXHw3UkXps3xbYZEJyRsiED38PKsVckL+yl1Imzo
R0tuP4/xj2uLc0CM6p5FSxWU6GEWWAKeR36uQ680z81dJ5v8tTAgmC76tm9UHH9MQqssy5i2KNHa
K2kTWWgpXexSI6xCxfWFi0vsXB3P0VEn1WniUuAvPnbW3oTofinoeGFN3XjrVlZxiQ0UZnnhDCs3
EF4q1qaTB/eQjcwXw6ZAufD4xxZDAud2DDSO22AcgALEcfL8dgYKgSbbsp9S/WzBd04zPqRVeC3S
wVFx0oSPBnD7Y2COgU1odo2a+RgQc/bqvfwCHUh16DETMyHNFF+NNM6ihT4RY6UeWmYcftae0mQY
w+o+lzcfleLn56FgA7tmNi85xNA4IYpIyIhmfp1r6G6Ne6wrq0XvxC8i6+6CkSv/89VwlKizGIBc
MZJGbkId9GACTGnlYY8ktKwISAXiQVzWGBQKEb2ZARVnetfHTcp5QMeaOxyAy44gV6Im2DOxW+Rw
RbNp1gYoVnEjJIpyLKwWntk6xTTp2rbc/ubtCu6RTbG3kd5rm0jLlCWCd9YLKhhyOyA69Kd5NpYD
9LqAMLNDmJeD+QC50du0kmLfI9/eWkpY7EuzP7cHjyoWjEKhAroFLCqADQf5YBd3MrBFEUMJI3K1
gdGClbZRa8fqF5WEFEmRMSFyj1Iizs8/uD5XCj4ueeIDrJBnFUPtmI42aqkJ4K6nGdz0YYAlSeFd
KkHgPecdcWlT9NZ47SmW9yjM8TH1xuoVn9Z+3Y4S+bi2EFE8H3ZYwVRZ5xqIbpfEcmaKp2UTepdJ
IZpfVaAF7cXsZRr+VXH5o3r1f1CJ/s9K2v8/1asBKbJIPpEbjn8CjHwRH0rVf/3Qv0vVrv4v+khs
cowgaFUBdP1/pWpP/RdcWQ0NS4pn1LdtOtl/l6rdfwEcpFVh0wSFBjIv1f8uVSN/Bp1hLl2yaeDY
/l2wv/lrwVHr/x9JQYcwXCpbyKSaIEHojJgACA/2RDUo6H9kjYZngCnbainDPB782iJLDyJVgNco
Iqw2LxMMX3viTcgTQ0mnH6dGr7Re0KATurZCU3COTazEnuAtwccxk32oVwoKeoFgb1WioZX3bqb/
/Srva9/zk73bUToHMnXouTnMwQGM5eDJ3abrM3AA9R7+7XCnRUJZWsRIl6N0VAzuR9LSzwfkJjga
EgrVfElQ17f5mgf1VSXOUPLqinBv295l0TpIBGWSq34LsC+sVKQ3lcrXarX87oEsxRahM6Vj+p7N
wbOxQkRVLgInntXGJMSvBZKVFDH0Fm0vV8SOsS5ER7YFBukh0yHKbs1AFHu0CCCkUVDhytZSbGkX
VV3l09KCbJ1usBlirhVbDnfZRGSga5P1gvhZ0SySajbi8KgFhOvaCeaI30IZF8amQknA5osQ2bZN
122AiIxfRjvWH2rNYBH0Bmd9bXD3joB1YcO1yHrVLkWEpYPKergGktCHayoqw40amRlk0yjUHzQ8
gacF/gm8G5Ii1XdltrUN7Z7HwBjQHdCq1MvvuuzRwLALbCCvhyjnibwRS2puWWTba0woQIhViq49
6EmkNXRB6UhcgR10lI3tjHb5DXdcEe3aumH9hZhvUctCzuFuqoX+AElWH55wIBuUZ0NvmbkYd0IU
tMiZiou6dAnvJAzkCdkRhaGzcrYCxGKQp0OAj4BqmCpVLhQkKaKbQGqU8wpkxzAn6Q3eH2qv9ZJw
hD92IwmH7Gp+3Os1spkKagRoLf5qtamYpHg0+Qq2SavrW9Rz1/omvsb5mnk0uqUVG0xLrGQUEQYL
K/t7/AD5rHJmZ+9Ba2TRDs8L/cGZJ8dDLIbvh9bK3qsUChtx1mJnhmJK/yUK0b1SXDVCPnRg89I/
RxKnQmsTWkg9sgnR9ecpa1DQzqqQerY2AydcZValoUPVD+OD3ertFbcPiVGeoP6FcmBXvIRJa30Z
x9B+VKSjXfWyzG6QdAtfdCoTPoVj013GunBeRJjKp9JQk2GjTSzZqMdQWvaydZdRMgfUOZKh404f
bAsj7MLxHhUAm+0tZpGKvbKkw7KRtcP09nFu19dqi1fOBptfRQBX6SpDQxLKdNHSJWU3Ff0n5VK+
XWwQJLyOydiV3/llnryCBxzu4lylvmDTMl8WIWuk0YXeLUlbtYdRn788vhqVjdlGz7dNe4zW1xPy
r9+ZGTaXgx7ptE3Log82jaqUzbcmsIY7wkc2goJN2eDHOkCnLd7Vxd7SJ0qSwdCQbMuEgmES6Hih
Glbld2g2DZcG6qYhwoSznzMVqmSC2NJQlxuGhHnBiglzhg7Bur2IUr1+SLGAUB4R0J2qy1avlfpm
xGgi2GTEw/3XKSeH+xqbap7eBTKp/SFX6opKpGFcTHKO6acxZy5J6JjLQe3JAjwvZCLoQdV+kLnZ
QNSASMyurECd4ufCQk4HhQ+HriL72Jbzpmhrk78F9wjOUGEW+gM2wDiFupob2d+GzO306yTwOCgw
VUiLn47Ra1eR7VLoB1rCmEoaJgPifWGdPNda3YflAhW79pcRuG36VHNC4PyB8o1VXxc59rgusY0S
eGsnQ+pvrafAnBbQBpNdUzl88zartauknYzhye2CKv1tOULHnMocqxAdPlXq+nXO/TNh3Nch7HUR
CN1F/rIobFW9iHSDBB1eLMV1BYj1czxMYK2xGbkSICG+WbILZo3Aewesfr/U8qL7Ohajskb8MsKe
p2yWRhdGF7hjBCuq4nG6yGNAUJqhjWg5O7nlU3axZ2hzUikxNWxym41J9i1wKSnHQHDIFBdl6aqP
jVXqSyNXnxXqLNiFw2JPR4GqXtQPro+gVvgjawLn9xAiJi60WlwjIHPZ9XU1rrGeGG5RYwmfLUOK
dc4ltSLsM+5ouolnzYzyjS5Uaj2oMiMg3zr1jReiYuiUKckiKsDZl7gMs6960jgLT23azaS05N9y
ADOO7B9CaH15LbMpv7QoL6wxf8puOdbL5wRz63tpZje9ow7Jtq6Qd6pGVHhU4s6tjIv4Pmzs7CuE
nCbc1K0Ql1AOKb6m1bTLFC/doHGBzyDsZiQAHUonKNcWD1w65TdhYai9SqZGYMunFk+Rbc9TiwoP
tgRWJ5a2082W4YOxCCmDIELnNK9x7dSrrDNNX5/5Wuge61co4jlYDKmWQEdsJBxYNZgBUw3Ni62b
VVjc0twpLmapvk1oabdJUJRbzJa6FapC5bckrSn9DLq0LwTpsFyPudNdVa0Z3HtlZOMbO6VIPIHE
Qx5gcsH52PaVErXVngN79AG4jhe9MjsbtWm/HpsahTzd7JZVNyZ+JBr7QcZy+qWqWbL3XG/a16L2
zgn7HyQ4hERgd2ZYJHr70MwOQ6IxD83Wq1tzh70zdxga6VwxLFvOOTFQOKLywU8tlVzOljCU7Qb/
8xDpIJHmAaBK8Z+3rBaK2/yA7zpuVZEbLhLWaKi2JcUUMRd1e4Nb0FQoCCeqLPYBx8yZUQ+6tG+j
zjAiCJF4DUDk+ziqiW2TE/WWt6sw2/0eQ4iplmWrE+R8/nYH/cS3cWDVQbsk3JxhFx/HkVFhd40X
BjuTKjmHulpzaYih/G4NASfWnw8295yZTihSR5gljUNECYlCd25GzbooIvPiDaCgxJ23/nyo40ia
qgB+cSQDKgC8w05+FXpOib4twl72qF2JjtjfAmVLHbAt9s0MA/3j8XDbg26J/p6NksVBVx3qIedG
llsodkbB4193oMDGAEFeMfdUmhjjhjPTebxG6MJZvKY6S/rDOv/47QphIq+epfau6+JZnkgxLgat
P8fHPjkK2DkPArClk5l8HCUL9F4EcWPvwpZi4hiLeOtg4fYP3oWEEuvxGXdx1Fu3W0OvsNu2d2/I
CzumfQPn+B98JfxxDJCpZDukmwczluL6FqMZau30oI5RDIaahy5/T0McSId21ZaDnM6kdMfHB2c6
RwivBcOMYT9On4hlMPaZbe6UIrC/aR0i9ZMqCUU6GBFr4Y6qjkb1xOH1+YI83tgAEYHMIFYB0fNo
QcJvj9WpREI27dhcQcEx1doAZjDFcs8wa068IosDaBMxOADcw7PKQRyLoXJ9NyBzuUSnothPDe3J
zJyrz3MGN8yr5s/fDw6CC7DNOqGRIdVYGBEOYbvMBsYiciALmepGWxKdsxvtrYr2MS/3qE6A3DYd
z3GPd9rc81TZzrRKG89dJFpuwWpz1OyulFN9VSRgd6g1EyYPPXEdjbexuZKVxLaO/pVJclHQLQz1
5hfofoOocxI0393ULs/RsY/PPdgoBqQITnNQf4fMDRFbfTwqASs8p2a6jIO4/J4MCtcVTHqWWuIR
1n/+JbTjE2Km0hNXUooEgHaISQkz6iUBV8xOcRVi3cE1yB+QnGt/ubXGjRWVwbzek1i7qrqs+i4l
8tArI/aGu6rRqwxNym6qNkRJ8bYdtSz647OZajTISXBqBt/urY757gZXqyaapMuuzyeXoFu1kmct
pFOOmoqIFzS/zpVxjvYeoMJ5N1DKYYmidPJxz1dxMwf9aPVKM0BeVk1oiYyVYJkOc3vj8+k/NRh1
IzRpUOg4Fv0DSuFBAEbqe4DkeZMIBLTVxiXLsfBnPKedcPSpeTPQ1KY2E6w5zvSPb5anilY2gTqi
1G6RWOJny8piI5Ilfv5WhyogQGE5Lue7GzwjN+phYIIWfTzYpdNzgddRc6OSw3VLxW1aeILQrZp9
mUgqIWZogjPpI7puWYmKPbXk+RosquEuilPqBEpPskSzbyq/Tw79Y1WxKWVR9TI2Kmo6pOdVSnL8
ZiDRisLDI/PzNzn+PrPWBG0y7jXAn4eRSIwydunkTbPTJ/rHPV2KfU7LfBuq+KF9PtTR5kfWgjVg
0gqgpHfUEWlDVW/lENW7GjjxhYsMQ4ZmfOWtEXIp9rOrwbn64Xx7vTsYTa41oJIzuN7VACAffiUx
5chs15a5s5E8+I3sgNxhcO89vhVEbAcJSjzMMutrMQz6mQtAP1wi+AHPKlM2NsdzGwIC48fFaGYA
DMC5JDtNo5I0rdTEtWEWY0vfGfoSlpj7w9bS1FzJgmbvlRcChUDmO8R9sR1BUiCGOt6pXU4VcUrn
ek2F5h1xfVfz68lhHdW53STbjr//xsHFTvA34enie+CBaBOnOIDcWklDj39eXrgrET2MbY1ovKyx
+ljodgMxuR8ojTUBzdt9SuEI/EQlw5kMQQv4C+Koab1StTS/7ak2XNV2izs0jiI3KBUp0xZZaZq7
shUTXPFKV9FgTlTUlB2rw2PHrMvLNjUdDagZhO9VAd+HBHqKd8j/aktTZhaOL50WVYjIdhU6k9S+
VdkXL5hjzqhqzGkoHnWllmm/+hovjctESdgvHmawFEPHMI1u5Djwa0epwJLZKL7DX6nRk/dRUSEp
wd6U350q59/Bp0wDKi9eNsc1Vclei0Rmja9Uy+N+mWrhDG0d68FLL0JXGe5KNPujG1BCGbrOYSXb
2wbwDS6XJXp/60LLy/SumICTrOqu1aoNLcjhLkWq6zK07SK9AwTQ/MIHg7foQXtMvw1bdOaXutLm
UlSPPPFiUGN+kFe3Xqyex70vATbTG9QT81Iym5KKRkdtLk5xM9rY5cjw1EGoXLVTRCHczUfbWAMe
5G/sgKGByOoNcVENSafcD7iZTMsqnbi1PJW2fYURjNHo16KXVnunxWihr1KWS3RDuljUS210egyk
FSB3UtYNfgVdK5XlVIoSbXB9ZrJPIStI4FEK6tLpcUA2ZaD1FxGeTwH3qgacpagzalouim7TdoA1
pC/ollNlpOM81A+asOpsi7kRCwz+FbrKSlxzN7zFAdTsWX1TaFNqiGy6cDvNdoxxjx7tgE4rKu7/
l70z240cybbsr/QPMEHSOL6S7vRJ7hpCUoTihZBiIGnGeSa/vheVlY0auqtwgfvSjQaqElmoUMjp
JM3snLP32vNvv1/jB28dkZV+tuDsfODDiHQ2ni1p2u9ZnKbxviOhCan052vlbJI5MjPEaXKF9N6J
O6X1xgTQeDZmI2UKyq7YYCBC2BC2js1T1HjOJjbLbb5Xs9t65kJ2wwfi5GmMZoSJD3+OZgBUvse2
2A4SicXZzqtcVJ6G3DqxROSi1AC9cZxJjFnDz+3PdQaajCm9K/fOJsVmDZSezTIiZEDvLuh8eE2L
WmPSkC8WX6wVj5aISP1OsseubPgghk7vJKpzs4NZbTTz92F2hTbS6LGVevIqGDtXe86NZ0fK0gpJ
f8qWX57GJGOPXty0HhejpgucLpyNYU4ak1uwHzMGSCtyT2iD73yLaQ6yTKsX7lcO5ooQOLvtK4a4
eTbWpILHMUKBkCXclue87ejWLzlNyYgO2urREUBtdi50HTI8yRFz79EgW4dRTv9/Tvrr0x30H2JZ
N/Yep5t/Nycty19d1b//46D086f+GpT6f1BmUjgwDt3MC1hw/vL0+O6nOwf61Ocs9HOG+teg1P8D
5glzdYIet9LNZdP9a1Aq/tgyJ21UxZxoCZ/8rw1KIY784/4NhJciGIIYBcPmpv6UvP/d0Zjcep8A
75J4dV2riLIn/IVE+NkoY2i2xlzvFfGtVbCIkfC1GT4HmO+6F9DHc5fwijUrmTMt3XVGMuWTaE6i
1Nd5zS3r1fA5Xe2mzvhIPDN5KebBDbPEsb+OltVfAb73DysewpjIdwkbp0LqeE0m/k8yGWa/Pmgy
hTvXy/Liynk9oiV/zNtefGiTFS8XplGzR+vP7O9G6Vvli1Dx4N51BNLoxNc504BIqxBbbt02vDW7
mdlYpQe+RDW3dBAcVbfsRKsLlORieEPNOTFrGsZCuyqR2dtZANxHpLi3X3DLFk4oTBTHODbj7MVI
F2SFzL/IFMkk7VXLsbuf+JWbL441mKfO7dODOUsi0tAjEmqWhZ3eZLDNaOsfpJkRhSjUgyOZYB75
I+JKEHNc7PpZZKQ8CWAjKJPFvje091mRKujpsphO7BZsFKUv9iBTfeSSHnEE9Akbe08Cefdk6Ll9
HX3mUUY/uMZp8P2Gqn/149e18NwvtWvHz22/mN4JG4bQdrKr7fySdxYrMwkh8ts4tSkUFtMNFZIv
voN6DBqQ+WfHr/JLX7t8l0MxZdvJJmY2vCzTpR/6xAu1pE73buasT02ZWJl+iMnhOirDAXTR0i0y
+wkX8LSWO5pHYwp2vpGRt8Tx0aoK81u9iqUgOkdbn/3cza2gTyY3O1qa7uWvgJWG8iWB3uPq+4E9
dtb2UOj9rjswG1n07pQmdgn5V+Z2Zrwn3dom3DkiZmyoHvuis0Kzqa0bwVLTftZjZPyosk/0rgmI
iJ29z7g3VKqaZJjZLZHxVVOEqeP3CKp7cts3dC9hCrY57XPCFQDnehAHNfdZzfausM1TMrRXewvA
Wac1IMb3ZjVrA8aEnJaZOE1XlVHJyfRF09LHGcVW0PJrIuTJhDKOy5uhT+SwuRkZ9+PyhW56R3If
eIzVaeRdU2j6qbYtFfVxY559HLWB4ji77zREtYU1Z2eLVlI0eVV20fJlPenkInGDcvOFVLHvZe9Z
YWMkbkAInoYqVY5RVbp9fwYIIk+cyj5aThPnliTIC8DsgcT2AupzvRwYn4WdVQ+RtdZ8P1qzywqN
aPdG8zWkkjIlJSn9Za/NNwwREllEVWOe01dUeK3yQvyK0w7xU3JHeAMwjgxUSgODrs80ssiqzAgY
M8Sh1UrjgU8vL9JetJbBY1+fEHgMv+pNo+2Rh4LGMZ2OpCnhH2GDLJO1P1ZNg3DV/tKI/Ikcx7vV
iDmXDvoW/PicOYSg6J1/dpPpqfOzE4WKufP0ZZ9Ivv0EerI3Wi9d0xy8Zb5KEhkC3x7mqK1zMuVi
hmlJbL06KJO3NIxuZxT5r9zSWyKOJhL5SN/5kmnALsjECf2eNIyGsfK8ZN7VqtG7ywLgvg5bOwAg
Yj2S/sZwa25LhqPjxLNV473nfjhwq4su1FJ/OHpt/mN18fByyPfPpDhBhG6ZmEFAlrfU7+URjVS6
460wHpO0eRxJO9E8LmqtytvsWfI931YzNcRujQep0y51bVpPmdk456ru05AbxpEGZAc65fQbEakc
Z8z5d9oXxjFxO0qUrMkDIJCglRhcnlGtiX3Hsv7Yi6kOktXxT0q6T7HTPjIG1yOWCe9SSW1yQ5LZ
+q+sK8POHN14DGrRy5s0iZtretUfdG5UpFfNwETLTp/EPPvXdtZRN2g90XakHSUmaaz+gOK6iAjD
IGtQ1i5Q2O6pI3GIbygN8GfKSAol+HiV9Z5a2U2JlN2hAVutDCjHsn/O8SBEZrHGXyY1XWutacOZ
iKEXZC0vduIzOdLG9271vzmJeTIH2+E5HmoAT/kcoAuMuqk9VY48+KaM+RYb62YaSXOYvPZHSULL
3m7X7gjF4rmG8coDrBgkFGk+Xuxm0m+pIZ4Gv77Lu/TVUWQ8mfm612GhBKy0eywz3y1/YvRq2aHa
1tJa8x68Thy6TM5PM7eODL8RmBvLqPddxYnxLSfnYdcKl1dNs6hY3fGKLHlPgNOZ6riP7LExL60j
vaAZa3IgoQmmoVpy74AKfD2lVX+EcXAes1gd+lzPwsTXakaVWsRmlodr7CNQRStMWWgN1g/CwnoW
bFS9t2XVrce0sDQq4ba55gN+kmUaiZGUdvpRz44VTuZwN2cNe8KUvxjWeCxJtvPHlY1V+th02v4L
obc3rHHFj3EuAW4v36Sr8v3I9SAcqFRIUEF2GRdxQmxiRFYawyVPiFq8zYRsjcjOm3o3UIVd7MxO
okUTS9ANiXiLq6Emq9ggLktjOFvvPcXKNBaifEi0ET101aZO2LOv1RnYoaUikg26XR2VQz3cmUkZ
o/IwKV4GPQtiob2k2rRtz1Oyqxw/0Dz7NmHkfUWsUd7rST0CQ19yC6XussrhqZSad/I7tZ7nUbxY
s15/QA0jXSwu0EZERFSKLW7SACNnWdUyHtlnzf3Y+z8KbXwwUheFujX1T51dPkylplFAEoqzpMM9
Xt2vXSvaiNiV6tyszlevA8wyZ8RhaohfaFyOO7PMm+8sr9ZxQqv+Llej3aODak8A7829rMb04OQO
GXiEhoWFsrjYbnzzE+hEpe5pV8J41CsGsykAr+L9diBr7gbG+IGdivy98tzliztpCEkG700ouw4L
r3BfXYLUdlrs6CEGK/lcJqWOnoLmqe+CixAC291sbS8RN0wGYhYqaph/817z8RIqmH0hf9at+lh0
zX3y/XL8KrqR0KwhvWFJs7EdsGW7sjZQq2fQBimKWyuo9Ta/IK+ujnIYLM4IZXI1zPzYq1iFmu3W
ewYc1RPiiIbAIS8dHkkh8o6r6zRftdU/kok0P4940iKiN0ml9FeV3ZV9/7NR3g9W5xyvpOPvqOGG
l0waF6cU/qH28dvYiLz22I/YICiud4BNxjC1TdovWiVNlBZg3wAKN3fS6Mhz67vlrsATdpwqY965
afMjT2B2E7+bGQ91PRpfWCA7BGODIADV6ac0P1hlgq6isBSbV6eVbw2Tw0tCSHOUcxZ83Rw1CxaL
3NtMBYv4UqTC+KCh4nwQikYc57pliMYpvhra5kQo8p2b2NnQOuGIwZd4dodVC7IBR4Ew72MKFcF7
W7bke6eM6gtOHhi6sjFJQegY9CUvLRqJSBVj8oUsOHpZVw5aYVGOr62/npC1/2SM5RyaGqpZwbwM
f1ayiVMIUFtn2w/YJA/ctbMtLVIHqWR3eVXJYLaG72Nv4UJa64EIvViQVIbJqI0b9j9VHVOrrIMl
rvsAnVt+FAgNgrSVODDIKI9bcZOpFMiEyEbJa8e7ZGmBjLBn3qRcH5lZGuUj6VswS6yDbnwMecqB
CT0E8RDxC12nIsgbcxdrlsBJWEMjtFscJTJGVrCUe7eBEVTy3BXY4wIGa0ZYaWWN3XvcoS9qWE4y
O0BAOQZdg8V3Ven3ySczgAN+RBC5FhR+/YKVodpDUUAZlBUXQiSWnTQ8RHQzR0O0bcQGJm7NnphX
p6qynnzEJQcnET/ycnhBVWPfaw4pzgV1itnbSzSjgwzbut/V1kJaV223V60lV71dNfOVoRsZXHlR
vMw9gWP0MtnqFuJ8pEEin6jQhqQMVANTVnTWiD3HeIkiCp1WmFVx9lO1xs6YXdJQEW/u59wJFh20
oTN78Ytr5HdYvqxba+FCHZryN4ffLlBptzfkWoWppkxu6YjUsUtBCg3FS2tJgrAwiUY4jf29BYeN
Q7dHkr0m86tKWFwWrNqRr9vNzfHiD71rIeSRcHFIJzU/NgtSSL9zjBCaD6ceA9OEXstbOS/DzdSr
sKjIDFy7duuZ6MsN99JZA1iNJ6oSoTuOSEN8d7pj6vuzot7IDe3N9Nb3pHYOrtENd5S5C1+GQlmz
nmJPjXtUaYc8/a15DWRmp9PvjE7Wx0a1D0RoXMo5ZXlMGy9EO6BHdU15i5hOHEQ/HszKNuhWyQt5
T2ygUsdu6r3YbgrWJ1vfZ3f4EQ/JR1Upnp9KPA791a3il2pcyaWdy+S7ppnw06381GfrGibCvVt9
75tXY9jz/eqg2BwDkm7rWxybeI5K3bizrPpRAscMtU7qYT+QMxooL9Hx2VUTxzPtYXCa0QtUMa9s
CTLmctkJGkQxdRotHgzilif4+9Kmv4TCMCHiaQlSYXZtMFnYboPULt7ySgKXzDKjAKBsQm6bK5Fz
wKswaJppWz5OyCqPozY3mx9WHWSmJW1Ym62ehhVmzDfMFcj0aH5S5NTNyzR4OY3OdDxxqlZ4zNPy
YPmlFdXLmlywJjtRWw7PS7uiqK78e98b5EOZacZvO+uGy5pmzrkWXns080WdhypeIjLE22erxHzl
teY7Nby8qtKiwE/0e1w4Yzh2VXIn6NiFAwr2Ky1ja9+sEFBFheNckigYja6lRT1TjR0EGw4AJZqv
Uli7BN0gbmTmdVnXb2lri8Z4i1QkC/i9U0uxN9M8vneQCQMUWj68gjZ8YbqIdnO+MQ61hJTDzWvl
coIoimxxGm/I7zhWdClCVOV/x7eT7RrPRfdZpIhya7vkGNSuu0nx13c+bkfenYQUPR7XYooAGIGC
JIyVGYqM0krPT5wbT25RotTOizHagER7VnMSIQu73Of4yyW2F4op72mQmnWgFKbjImb5NiqffL/Y
0tWVrZpdaKJauC2df4GX5gU1NNedSUQ96btFqNHyDirDbLAYdzrekjw7doo4zLYl5hYloX7pVdOf
u0r8btbhCpOf5G1qC3PNbgar+54E++JBttzGakto9JW5N/J8CjVUZYFTZf1Ooee+TJZ8yEzEjaoq
ronjvlae3x04XzcQBnn8u3mOSkM/EOUz4g+3qWVglUaDYqKgIdxE+Nj/WqsaJWF/XejfB+0S0+EW
aIJJsmSeUYaFVpTB1KdcXk67RnQh2mJWZVuPjzDC0IOr2ubQspwn3tRw2ABp+tCzRgKWJUFg/Bhd
+ZG59smzmocZ5fUp6xZzRwl5YYl+BfZVRtYw7ym1eJLp8of92OHDMzL9RmaIefDmiTbKyqZLzxfV
tvGEU/fkyWG/jo4KmwZrM4XOWn5tLI22yTRNXmTSY2btfDKXZOGKxn6vPtOIvQm6BOVgr+lAn+pg
oCOwM+JsOqekBQS2VX6UfeU/ykTjRnr2oZmadIficH1BUfFAZkIPB88wd6LTo76D4GwR6wmorLK1
nZO7S0CBI5+LOP3lGc2tW82L8px3YZh0xd97oyBD1/vdjgshrF6G55akSmK2/V0jy9CQtdzhqvpd
9zB+c019Txst3Tdb63+zOyuTINZ89eiVrNJPdmVJLyA1Vo4t2KZlJR/alAU67IbWmZH5Wu59MYzm
WeNMXyOrJfphGinKx2Zp+UPs5AjeC/SfdbMvu7lsd2nvMtd3LnVhXDD6h46cmd3MKh8iujgocPKB
hNLVcBt26KUZIAis7cHClOsHWCTaU5Y3DEBY1fqA2WFrFxyNG0yoMyfy/lnDbdlFhYfaM2o1NbWh
YMRWXRxqhIXlwxww81u+0ZhByXdkxzU9h0Fb9LsBC8xHp2ZX9Xjv/Y6OxZ/j5v9uX9P/VY4l5rv/
vhPfdRn/gRX8j734z5/7qxeP/UhHkrHZVTeK1d+blow/GHaB1TKZ3f+tCS/417813YX+B64khH2+
iZ7QcW3vv+JO+ueJuW9vvXZ8TnABUbX+c/zUoPfgB8c0YX5Yrle9aJeDgCucBRax58ZOT9L2BwyB
5kdNjPl/wMcwXPjHfj86BJtYGpyvjhA+yqltHvB3/X5a0Y2tSGs4FZLUdjdRa6SZHe/lWiC2s/tU
B/5sw6rAq8MmaDQLweJjZZYowavlZY03BgMOBJOOvYJwH/jGwlBTxUif6CCqnUtuwdtaq3Y1g05m
w3qJM3cZeC9rcy8wAF19N9GPfEoW2CUFBn0b03L85UqPKXlDwF3UpsLH6YM85AlbiBu2MgZePk0M
I10+by3S5eCirDlX9sz35pRzecfHhPdLOln9TsraGiEOVeAdGEcuiJXZbFKL8/wxX+pkaL8YUAO0
s8cJz+B8yl36OSYicaLJdzlZ62OcZPtiSOaWbS7V7LdU97H9Y4nx+/RS9YLBfzBxnp4eGtOFHekm
3pTcVl9Lvagi6SN5IgHTQV+iisYCgV5g0zY7emY7LdUFKcvW9icTI/Xdb3Or6vJA2xQ1jaaoMpwl
ZdWMjQ47izF5q/DgeDgGoVBB4cS6i1eqTD6KdUnuR3ep9pW+5nSn3aWpA3pV3rd1mHuNFXma94y7
3cPgrLue/7VN/tsftmzGm8uRtQuVnohjjr6CGgCY0BRDWGkJgvD8/FC0hX5FvMUY2Y/qdvQkuFaH
vY4TSWM19QMZtyYPTO3qmLKJYdcWP34cnWV+YSNV3/QUGrubl2kosN2EfabsX1o5yycUPNB3/Lkh
xFrzo7Q0MpKAffEmbdo2ExPSXea25Snzy/5sxbh7DSN/SvHhP44zMnwU4GSJgSw4aMbkcPgoT7O/
PLsstFussd992JURPxUkvOxmKvSTSkjQ06e+uKDXo22OqSbEjpVzGnfKoNGM9JDMlf/DSRT9z5bk
vIcRK897MrL1cwBZ9Ju/eGxOvTS0M+xqfmrRS/2x7eiRTw20OGHmz1KrzTfHSeokNC31IwM18+p4
vFQWeKiI44R1SiiraZDPxakV068YZO37Sudy79ck7gasCf077cW9XBlnG+lkBaqeLqOV2vc5qIpI
jCvoAQf3+7FlEH7C/ONc48olld0cvJvhlhNHxqk/+VLlJzy3PhVG1T13uPvuxWRXRyUKcZkwsN1w
zTBTS2obAHtq3CDsyG9Nmco37mh+mOdBXIZqzY9DWdY3BSv4Rw14Y8uQT9xz1or1obH7kaIKcSfu
GGMM4tpzOdH0DLo1jZa9JubsSuytePRX3QEJwCtxzOc2ZnTgZdm5pPC9H2iI3I2tyL4i4ZjHQCyT
fq3VmF37VDXPA+iCL0BG6zMOrXKvzZn/RjdVvraj0196u4JBSqNckn7srmZkFGlB2rAfn6ANT4d+
JVVal74Xtc1o/7ZHECkImpavszQJhfK1U6nq4tTb8RXbU7mDUaQH0+f4rExOpl9fFltfaKkKDsbW
8HMoJyQKijQkHaVdUNpUa4bRjYc2K93ITIlxX2en+ahje7jozZRFuQWKwimt6VFWlL0psQXHqh3E
I5Lg5dsAtegH7sXxkS8kvp9RoXxlAmCAZZmKHe9Jv6uKWR4nnKeH2pIOSKqhUi8Q83N0QQZvi7ah
4l1V/xQaE4/VK+hezLEu9rMzW0FTtP2Da6DOpDO6ENpsjmngUcr/Xs2UEY6OV5NHmUKKhsdzPavx
CtrroaZPeTMrM/lmerz/q+030SwW5A/6kulXJ1P61e+Vf9OY3D0u8ziwUZDIdVdVG84nn+/zZqjz
wOBFRZqeQNygwUwm+tRzaEYCdK4rShqMAACYBlFeh4ZWkStYaui24vtE8GA2lvHFWRiuhTqYxrBr
nOUHvjuiyyfNazMOvFIeO3BFH0wqGepJdWYvQejcVOZ3Scl+yjsbZSmZFM9GK7unhMTqG7ovGmkD
krQA0mzz0pWDT6vZXa8jB9P3uhoYERvG9JRnFd1E3h73rpym5edCx28JEShBOSrt6awlxXiIO2O8
jX0rzmZubl6fpnmdoPc8zDb1x2IhMxHZnD6ys9Vvjj9UH15fur8XhEYMWvoOk6Wf/KT7Ifd40+jj
wTKa4KlclrmzdzBCexqNfM7Q1zoqBZK8p0Dv8vG9BgmT46rE0xo6q4Y+JLWaV7I++n3l4suCgZ3F
oe1I9bu00D5B0W6+eknpOHurSooPkSTeoWzm+DoYsXcZvRKsyLy2p9T3aIkr2DSLyf5GN6/Pb72l
+/fSK7qrMpZ+P5Byc24qDTJOj8ZFWopeee5SyY7l8BUWNaqlmr4yo0ONGX0npuGxTjrvbtX85Zcu
hnzYeFBs1xDlkks+9dpzmtrOGzwPlh7FcIczNzmV26JNcNO6xkQy6F51zxxV3MDNE6BJJPNOefli
BDK2vYPb06DjmZgyyDG+hgfYIFJprlzvXSFNj/RMvGM+qa5aUtpfPBrhSHxmcTf1vsUyuJgPCOf0
MInL63YDMd0I47D2AzSdMtv5sjGvIIjkKTHhKbRpWT1UiSleXK8f97Or0UJuKvugOZImJsrgPTpE
E6tYRt5mJWpswHr36NqJ9aNP27wPjL5ed8M0+l8MG0FC2XRmpKNlegael1rUqrX1oOImBhYyzv5j
npTuAcloFU66uPPiduK2F5aOioL2rOXMZ783vT1as+YXoCazB1JDGzruG/fI4KsmNrJbwjJeuod6
zWuyyOrmCKXQPM5ESoSrzWhnmlZ/PcRG637lLGA+z8KXgGts4f72Cm14KyrPjmJVf7Ob3N1r0n8U
ZttJrk/vOXcA5QNwM9FLkb2E61O32slBdoG5mpZtzKbdrD+yui1AkmbxdDaHeWdXbG9EuSQ8mhbl
lFT2Q8zZNDJI/7kMjrIkU+3WlTtBJKVkyGcNN5EMDUV3+wrBuLjHj2vVYcyo6sB+V0YjMBo6BJRl
Wma4R7PKvXvXcGd2BTd744Dm0G2WNNObJT4OtYyZYCvfDFyjNdTJzhMj5MnGFEiAcxq21ixtLFEV
x9exw61IqffktG0aTKuYTo6+4GVUDcPRHJEyD4fv0lZdU7qfyjwonWUF4Q2H6ZmTahn0pj59GfU8
edFVlb9YJmdAC7GCFTLmau5r1fuXVW15v4kdn3S3RsOSACFAZ1Gxg9Gujk/gPugUYaWUZ9kj72CU
Z2QDR0y/OlJ3Jt0vAbaw8/FgoqRHpiAa7y4ebbVDIdae7ZzJMVZ5caVBu9z8hiawrzJoHEkzn9Ny
WvcJB/9vKx12aTnPiQOwaTCzG74Cg6u0zoVyje8ZAmR6LHD3mxgpReAWOFvW0TwtJFEG45SKXTNo
3b4W63ubLrRNtEevppnop6OzyzHF00ZnMlT15XTQAYWHCibXTIlwyXKj2OckBXFbRDSAsAmpkoed
yDncaHl2P1qZuHa29WZ0DETnsR+CRKl8p5RHH7LI+WKKiTlEQWsCbVYdoBYsz0zMBbM/L0qTcjkz
8LhPF8t8FS121dCbqyLUnbKNDHxW4arNOOnVIHZrtVD/kz7t0rwJ1kyKt0UzZ5qeCCIKwH9+bLv3
s5OqsHZKtJY8fu8a8Q149+NnOATOsQbZd6Z5rl/TIs92YzJZ4eq1bHNdmp2y2sV22fVriKreDhdr
mIK66pNbiYc+8pVc7m2di5Nevs/WvqBOqNueRiQKj7+rmP835Il/LUsdE8EHM0O4Gf8aMZLGtC6y
wctOsugo67TZZTSyeqzS9qCcL5ZeUpFylirZsnX1Hwwa/ySRpyp1IOWbxDF7NkFHG5/k76tSVGRM
YdY6Oxlz1f5YJdk/dZanENp89fTvr/OfDAzbryK/jP9u1e+/+gIzVFgOgAZ+VW025Z53ZMEPviTV
r3//e/6Fz779IoT4G3EfIIrzzymTqloWVDBuchpqetYYiKyTM8zmPi+z/qFpFTaN0U+ZyC9W8V5v
uCZWlSS9J2NzK66Z6ZX7z4/0390Z+n+PeMMjBY3r/6zkRC3dp/8jfG+rPCv/Uc7554/+rYXk2n8g
yXSI2nNo4piAb/6XnNOz/hDmpvDUEUhuLxHv11+dJOcPhq0Gj7anCzK5HX7qr86S+IM/ChUHnaet
Q80R/5XOkvsvcGDfwCINQprXycOh4/6TIcJVoHjbvJNHFnssWIa/FcFrlyCzNscWcGY/1nqFmtBN
mdnSU7ZOpVlCRHPWDlu6OdEnjcQ6F2pf2VXSHLW8MtAw1DBE9IBU0e5nkdne3RLj3GWdgntp5+B7
LeYsnBihozCbFacxMxCDTzDq8kDlrJzkcnh3QFuqt7LzAN3qK0JpBExgFabS8O6M1LTeKeCNWwE2
lzC4MnGcYAAoXh/M3E1bku217Uc+NfhKZsuD2fT+64D9kV5wvVnCEerNT8Ru+K9FZsxPLV3/U6w2
u4WoZxdlvFmqipZRW3m04d3uZ+fpMGnKAkX5J2jHKD+hEhZ4FxCKNKPUBvAMasRsnGjNBOuQIYxn
eowgWjadflVpw1GMqXhZJ29+KAX2kk7oOEjoDhu3P1lBvNnx65/gDugleEJcX6JbrP21+ylbAvP+
BqMgYOhNxBulZRYtf8yaDXxClW2/Lwk/FwwJH8A2Jj7thBrgQRfAaWScsnMNAvB74PgzV21tlidP
CdwoUufagQBC0Bg4N94ci6F0iav8JpQm7zhNGEynMsQNcTaeRIUjA2APP/OnxZ75E/7vYi444/Nc
8w3/eUNzPcGwksAAfTWH7Q6PC4AfbmnXfQOICB5kYsEzdjP+imJHuaKyR60wuYSKeQdi/THln16X
Y5vAVoBDbQI+wPDx090wgUKxQ+LOkg0JWtgoZ1SR6l9bp0OinxerxhR2Wn+n8YYg0cfSf13y6alf
Ozta6M1YIfpc5K5mJx/pEfoWdU2joX0rzOeS5MW3refHU1vwoCtECXFER5C/aY1N/ummgPn5JDxE
vS7AFn1iftx+5GngtMud9UUP0+iT7YNJDqMJ6IfNmZ90PHwaCPddPJq8eng8+p/sDlhjOB9DEqFP
NO1cf+YGVzWSbEQGSYfCRtacR0pGY1mofMZ5e0KZeN4MXsu7qiYrmWhF2NyaHHHlLJPgc2frgD+p
UHCEhY6SCflVwRMTGwNOmNniV5bUhBibt+dk8fHyD9st8gRjp8KmFPWMjr+sb/TsABUARImFO3cZ
R39fW0b9xnQvfv18hDMNrM2iIEdX28sut4c0dsAyTWhYhvDTM/fpOiygE1+sFPdFtKEGaIj5fJGb
m0GEde7xwAwcoy956WxPwPZKgIbPDigk+PKQPXGzN8catLzmT5deY9cYHpwBXrM1VTEcfH2kcdRB
ag1kA403h/5EEV3hoVtNL2OQb09jAGqHy9Hx1vxJSGr0DZlFCDQPmAafE6EiEi/0JJbxPJo9V42z
yAxwcAooGuDrpir379YGiUhAIBOPRIVsEm0PPQeEAG6Xigf6p/hntLZbWE9hGu10jIdHHC06DV/p
39nwx3ZiSpGyAmXmegWJtFO0Aj1P9+gKecPMtti4NoIVqzCrKX1aurm+JhKjdrYADxcL7/InC9Yr
FWCdAlghAwJqvpNSeLhlT4Wm67Hx3MOP5htEBvxU86AjzKZv9qb0uDn6Rpcc4j6FtrSxbAAlwtzx
UtmuXzqsitZxHlgixcoFz2pDaWu+yY3KkZk9xzpDxXNSuWjJRVmAbSpiyVhZh9Q7WCZGG5TiLcnW
m701w0y/J5COZyr2LB5wDHjc1rYDuKXDXEAOUBrGM9QQEEY2na+dahHqBQVNN4q9rgcFsREnJpoG
Dj3uxrhlG9ioKAw+jyxg/e5Hf3ty0KVUy9mSLX+9mcTdz0RBAs1Sm6ebts0zDFD/FaWOIS/Iltvj
YLh6E30+85Zp8UN6zzWjS9me/4EkwduQjZgVAelwnfq2jYyT0fSPkPKxgumQnukId723y1OxPY/+
ggupbjxgT2Kz7P+5pEEzy4odXlUeJbJ42uEkva6BSEkjr93/T/bOZEtu48zCr9IvAJ0IzNgmEjln
zfMGh2SRmOcx8PT9gZK6Jblbtvfe+NiWiqxCISP+4d7v1lKTd6bNpyvPMy/1h4nHawAt+vmJK0bX
fJlKXF3+3FhtvPt5soLGwHg2xW7zIhPECS9TBPbm1fqJ68rN9ZSSI25pM+6tL94K00gHKPwyHnT4
ReVnGc/esa3r9TJgSMDlzEqD0QSt1820WBxkOfXD4LuVW0OcjZnCx7e6itWB48copi0oeUqITYSi
SYI1W7xzUXY98wgnnKFudYmX3y9p/j0VSe64Pi139MJVir+ytwp+RaXgU5MNM2ctn0kWshwxYNQn
3Up9o2ntz6osXqpIticvJK982ih3mqlDjPZJN11G2+tFhPQ3fwLNVqMQHdw7WToi5LM7Ggx0EeSj
ve5vLAE+jASgCDdEFD8nTmMxvCrDj6bXsb1WzaWD2Oq3veMLh7k4JPNCFtp06Ht17OKhRkDstUW4
Mt8q3/P617IZUPt0zU6zHe+uNkfU3KieddMSr8rOa21FX7GJOUpZFZyqK1ecVDKwwmLQSWSoMS/a
+oLWu+sxttiNmfp1pRcHKZso3iRmjZ7ZzIxdVuoj62Y2XmJAG2BheEHQ6ExqRGVeI3BQNlqog8dr
SUQqe25AyU7sQYw1l1t37p1Tl3pccwCzD8msIZ0rJvlskkF61ehmb5Mlc0+OHvL2SvBnduxWQeSm
NQT0eoYEkDnDGTmZuDrQBkHvatb8BYZn+qyc4hnvXJNf8qYz75sM9brWkz3gm0vr7dzRGGEyt97X
2GWQ2U0MUBZesqBBzIsmR7UIdVPvIMZm3Kq5R/fpwoj3TTNdEfJdenXbOFVXnpf9iYuv3C0ka3CP
JwIk4PRMkirGG5ZAeyecPsDlw5VLna9MKNRDbKlyK5Hy7YzMAfTWW+19x86U8qe0A2su5m/poD9p
OGsYSnXd1U3i5Z5lmeVXzlDsYGCZ+9AbnUvtJWYQNd1T4w1oflqbyijoiqa64n3kiEIyB3sxroOI
uuE0FK086V2rsbmsumPmDealMhgZ8tDKYMwa6xG9boU+oHEDDYkpahdbw+VQZHdmk4Lcck/akslb
LgFFyYdYBPurfczRd95HKNiM0igPukZasbveEIbC7DBH+AJY1zItgenw3oUszdK69a5Lat0PCY4G
9mHiAZi/e6lIp3zWZ127EMOWowcFj82citr1az/mHnWJri+nfi4bphd99ZauYwb2CURX8H7r2ZPe
hu4B3bJ2I1hGYnSVDhNWk0AQlIhQ4Iojgmjni5YVb7PWZIz3Uf36Y9t2Ow3DDh4xZxKoo/thL8Is
9i03a3wO/2i7MFfDDhT3x7G0PmtMnIHOPtKXtcjX00oeVdoaX8IW/cY2rLr5DTwbdCCtpRJMRLlV
ULqDvmEeBVtc3nDyt0WQVJJQjER3DqKbjT0ifLXtdIV5YUJ3fYkHzZGb2oDwP3CQuC3PrrfEA8rn
XDJgy1tFLY4qLH1IQjmjAEwLMz84SzdGnxz+0S5O9WYLMKJGNTqiBY1i0qLYfRvhnqQljYOpTWyC
oofpRcs63eXaA4KB1lbGWxRBdCBxEzgk+1yTjs9FYvTTC8rV/Liw4d2gL852C+F3AVsn/mfqJDtb
z8XzFM0urziOaFM7JdZa+HGQwg77hjEwukRNcROPffe6mkbORete7azEUkA18FgMunjDYGC3GyTR
YX/KmkYhJ7frQRyLDEPTSWvkomM2MVJvZ3jG0ExBCgR13KCTNMLbkKQlqtmxog2xksp9D5ucQz1M
06lWHN+K5RrYuXYx9k6KgsDy9RyPFikGmpgilPtiMN7duODWXZ1ZNjpu14h2wN+t4tyIlv8/Y1+N
zMEqsO+OrQ6A0BqoQeOfLJ5y6ihE7NHkbkqaOlcnIZf5QSEqfKIWBZzYIANgd0V99oeO//+Yfxlr
b/xHkgHLUgtwEyAbV9riJ532jzMoZxRMp9smPtR2xIUZVZSCLCqmqXVmDmmjKx9rFHPmUVXcoqyW
qy47jaY+PgzmiF4hHifvRQhF8c7Gl3Je9lTVP8lWBOBSTSQRFPM8ZLy8adfWs/RA4281JFbclE47
I6BjTvH5a42cFEAfh2VtSkpVw7IIE+QYY7rMd+u18iVZMR/l0rlZBoempiD7+8eh/4XpgzjJduCO
YfdBM0MO8Dov/INQJJZak6jR0fZGbPEr0asFo7g7rJVXOfPd8x56Fxw/o/ZY6gu93FzEfFsKxcfj
7Nk8rchY2S/W8jOLyeS/8rD4zxnZZIQBjwrX0Gt+vgmt5AwPkHyZQxXRkPsJIukoiNBzH35lP+Jj
p5e0MzUizqY++fz7H/YfZ3XSQo5jObhthWAf8BdVzOhFiWZobo6BZcS95al56DAAZjWlDkFQ/Mh1
gWlw7povSPXVQ9MzYfiJh02quX0oyuafPP5/yDRd30ZhmMh0TAdj7s/v+A+PX7MabRm47RGSggrY
2BrUg55B0kvHYIaHAICCJ6cDFEJpZBzrNQqtnPDx7SVzeeymXb12TrQjf/+o/mFMLHHkgLVhzqQ7
TJv+8loMcZgndZ+kh7BC7bktqgqA5WIuQ/dmqgWIj1l4FO1VacEl2+DB+mfYp//jd2W64PUZdRFs
wXexDnj/8GSm2JbVovfRwZo9F+lu2UXJdvBkqN9IZuoRPVlY7xMjiSMMq+FSBjVe1Zuo7OWTKwZ5
Y1YZzde//Vg8QpDQm9mM//5B1FUaQ1jFqRkdSm3NMpkpkoM1HMGjcYEX2Cc6DcJQgLrYamNUv//9
3/5XPNX6MPjr4Wq7Np0qRKw/P5NSORkb0YVnoiCNHVJkW+zfu8YtUn4hsbIwcRmTazxlTqgd5dql
/sqzHlHy6LemrcYMvggMgvjQr4OmuonK9MdPSOxUrjjXn9/wfybR/4wpgD+es+VvJtHfp/+6fp+T
b9WfhIy/ftlvU2gas1/gNIK7IbiSWPI/QAWk8H4RFnR1lg6/ktn/dwrt8EWgCDwXRiFAyzUP4vcp
tGR2zYHDxwrwONyDf0vfaP1lwyKIfmAECmCPthmq+19fxiY1c4gwZXppkcGqL2Zlkitcmk5vBoKb
u/Q2xtROqTokXKGFdqyYl1ntGltSHmgWxZ79pPpsWfSiXBa15c+pGpfzTJrL96bNnW0Ciq5dGlrN
CFM1M7ScqeEjn/3FHZh6Dfj6us8cQRhAEoVr3AogEKcxfpJE6537sRpGMAa13eNxfjR+JhLaE+K8
d/AaeaI2eOkRRLYo7cvilLja5JM1o7GKLyxFYR8tlIfxxR7LpnYfY91ZVuO4gEOJuh1tN0UiMoCi
e+pQYcrARciYi9ekcfpl2Jf16Opkz4gC5gLjrgz1t2i+xRT+O6ep1Z2l5yUMbDWlfKmttOWDrF4n
uf7nA/ivQT2s9UL5/z+A1OJ8Ktq/6ojXL/pdR8xHzAMiCTOVNQubzN9Cej3rF4fU81/TC37f/Zji
F3ZP1JNYoaGrojD+30+dvX6KdfSaUvJywCr9d3Y/6C7+XL9C4EJKwE6TXROLH4J//nwHtNJOm4EB
w2mxBIY1kp7ssd+YsLvR8tvm+C6iwoGHblUPSa3Km2VCAcYNIaRfekMaSFqtx7TPFhW0+pzd0tvT
rtsawGePVnz2EuNEbpmEWJDQp1kumD/WlJ6JnyTDMqhiKz6P+VRdRAR1ZFPp+YX0oezOqQx3Xwgv
3odO6OzNDFGRHxVauO3YLO+XJG6PGZXQdehW1wYRtppvDGC0GGe4+tmZq+kjK2yFhAH6tm/EA4Fd
2mpCKqvwoWpM0o4SbZqPg/iaZUv1BYexe10yI0SqM7s9agxGvhNUkR0jc/t2CmcXtJXt5cJnJSWO
WGjNQ9bq2jcKqOaHUyferZGWTKHCov0ezXrY+HFRy7skrgey/oz2wezM6cQAhbGJYklf+EaqMwur
MLtaDL4AFxi04FDmbyJRRueuXrRvCB6JOiHGCxrT0pRHlTRvIzrYh3RayeuxOz7Hdd8/MoOacStq
S/t1Rdq/YTDIUHJa2NeQl6YDrngPmqJbwruEWrbRRYJwy/IyBxOgbL804LpYV5jTK0t3DCpDmX/N
k74/eEvS7ySCuG+LGPJLItpbbYmsU9b29akNl+Vch/nol5bT7ZzZ7fRty4CeaZEadBpfPcreMNDi
zecpDfxphdahajbys5JOSJhoYfODzh5+HRkOF0nvekgtEe/JvMqfgNXGr1mfIJVApG0wkZyrKijQ
+kk8xaAKsd8bGQxz3j3oF+ZwHUx2ZP5QCYOEU0nYRLxQCeeREp0/dWWMjsRAWwPgf/qRpPqA+mNe
eY5lDhOrTuPyLgHNvzFxFl6itlq21qKIWWvd4lqTMHrRNUMi6SsmLO6ISrG8IEiKXggspYv3kC1+
bebJrBHhWlgIc0yVpJ8Wh6VeGP/jH8PS5ZbyBjC5dx+FKvYnVwvquMAjrMat3Vo3Se6N30rHyI6i
xYnOnkuLt2M3KGy/8Xym+7c7sFN9+exVafimFXaknYB8NGnglY78BCnQDZtYTMPDuLAFCUaVyfce
5Tz+MMaU93Iom48W0prv1ZP8kuEbx/2mevXQATp3DyY+v45uE3FQojPv8AoDWSg7AZJ3hlAaL8Yo
Yvry2PyKd1CUG4TpKvKdFuVvHZXuR+oI55pZsxKIrDPvaQF4AAaA6Rp4HbAH+ZbNV8VWoSy+wBXz
nvEAfGUUUG/tujVI7rTVd6tuoeV0TEvLIHTD8i2Nhk6ywEkx6SD4bN97B7co86O0Prph1W/xyCN9
6rEyXGJ9xv7at/f0kizzmoTPM4YeVh4IKgIX6J2P+w6R4Dh0uM/rZGsyFwmWqW9OWSWdkyU6rlMj
Tl2eAzraahg40Zi6Ob7m1WI/5mbyoI+ata8Skc1bzetDk1ixVrzrWcxyyeQwHXVRK98riyRFaljn
x0gZzQ2+euB6XmUw63ETkwfrFOkrQZONYjbdG0CG8Escw2iGYEEZUX+g1wchbkKxPJC4FzFKEaq7
NRkrfqssh86zk+mIFFFpHC4L4X0Vc1T6UdMcd5obNx/2pKbvTR5P78os5dVAS1cE/dS5amNYqg19
LzQapE1emG1dnUm0HU8haQEM3n0p6sco6+otqpoJZkSbEGGRNVu7dE5mrXpSKkvE/3GXo1JKwmOa
cWxW0mz2syie0E0O+65FhJVgbsEG3QKsJxRBlfBPRjtoxLx8LsY4s8GUdrOtjAHVfRUzvQLLm94y
M8jH4WzmjV32MF+mOnldNNr9g2L9mIk3V2WIJjdxa8i+fxuASqW34YxaXPdS+1amLK8WmbcPdpGL
B4aT0R3H4owyK1uOqKpesLyVDw3w0odBdqG+EQlbzAlo/JsBeA/POfL4UwzQ8MUlVpRDauJj5RI3
d8f0vbijMkYnGxXWalUwYUXCZcGuC00BVA/HNrcdIw6V3DCsGuAaOAx1ja4oblJP8O3amcYmK8fP
2YGB5KPu4V+XbWdfyCOxbyH96FfLKkMMoUsfPppuax/TJJuesIW5IANHjHbGoqlb0mOHYt9rTQXp
UYU3XlXXj8BrnGPED/4NxgeZiqq19nPPnmIOm+UDneRMNiQTg0Mkc4a1psKdDQIqaPpwIPLB4jwa
Ermc9X5xjnGCNLaY0rsmH9qN1ejGbVjBgOKQzcKHaQlXAIp+becqqvxyMddcyaG6i4gJ2a/P86mt
Znnx0gWTgqk5+7RptVvWkiPeWH2C0uUt8WfYk6bCUmLSNm0zk6xkiV6dFPL2e5aM095Tnncc2Vi/
tCFblFGy6efzZDMbH6oWyYYDkqSbIqbTi1JiCwcsxhhreM39ZIgCv0tqeD4BJjJgPiUOaZObt5hW
w+vCkv3YcTGyaNanG9Qt30TF9FR2hl5trM5q3hLoAB9iCrNjV2n1Hnyt5iKk5Kjh9Yu5pM3csNaR
qrNLxjS7A6oyfdSOM22zXtrvepW4LMtKPnnxemiy4tST/TJNhPe2ra5Xj6Xy3giRWfeWMUIcAhua
QfqidPUYJf7kvSdamD3Ccu2aO5tlWnegcWNhuNh2ZpFWIxtx0W2s4ehEZCkakn7ipF7RXzz5Sl/U
Y9tE25l5gNoZse3sEAo4fkzqSOin0XTPThucUo8UqDgMvRa/WbVhJV90epbSV3omrKCdgGTRO9mr
o/Eq5YyScl9FhDUPJ15ZvQUwM7Ku77404fJO2Tu/QoAqv6XjrL94/eA8sc2qT2hanprSUUFhNMXR
abradwbCNZ1qfrDz5Z0D8IeZxF/S3n53mPF9peejgjBbNmOdNbw7npYebMfN7xqZB5NZaBd+Oagj
2ho5CnzRH8ZijWhn64ZJJ7GjLkEbQ0KqIdLMe8OaMuUPgxk3m7qFb/Lk2kMboEZY7mP0zKsEYbIK
bfOf7ulf654clzy3v+meqrL/8hcFnfz5Nf8zuzB/Ebpho3hbcyBWwdvv/RNd0i/CxPzO+EIKBMS0
Sr8p6ExaLiH4R9C0IZQgT/2fLspEd7dO7R26K6IDCMv4d7ootHd/6aIIrbMlbblhEL3hIuT7cxdV
Y1TXQ4q5WwfgA0WKVrAbhCBt+VbD/PngkHNV4jyPYta+iYFoQydHki1X/NmFoLiwAhZ67bsibuZj
vDSYzvGQ2N+Wlh1HUSauuTGLWl0qMBP5a7KYzaXqFvGZGtHsbeSQsYliOeGotQgajX2i2dWz0/eO
fuwabxxPUGHa6doiNw5icLWUTYARAPHZ2bVG8+rLIew3WP8vYlB1siEcLMKPXS76tlHtB8MRsohA
GBzNccbbpFJim5lE44ZWRGztPBf1aYCNEo+9acfJNQd4fMSx4Ry0dmiPY1WkeJmTckYioe11dq3b
Svdep5IVXKzlPQSVqFq/KzBJr7PFcYBSCIQTE/7Yk/jaVlaRlLAOyHXcDlWe4lgC221xxZboXlHs
t52/cDwucsNvnqcsloHWS08shB9Ld9fVU2qfJ+lY33gi6pyRbBy2T4tdL0cynjrNPDttNGdB2rL/
Myd7rvety+omYDs6XSvGU8m66MM7IkW5g7RVjOQIm3HcG4cUuw7ocGRC9Tg4Z5yUJNosvqR61XFT
xtmQcsV7UUuozlEWUMdGDCxeCm+OGxc++0+qsePU21pHoj6iGX3oEArdwYnR5k+q+jr94YEL+qFC
gX3nRi87q5CPqB3kjgN/xU8DPnbe6imHdcSOZbxMyNtPNtwqHlSbhTGAlCE9JkA0jKDNs3sK6zYQ
iCzgAGXTbafgZq2Jt7yWUES2ih0LYXJSntw0QwAQiWW3JEm2z6r4Vibslnp7MBOWnLm+TTzMLX7e
9NHJdSnLfdPgaft66oYHLI/gB3JDWcdiFu2O87X7Uul1/k3vG2mgVu9soB/N6pR0QxfWTc9ad1N2
njx1LD83phHliPNhLB3McvhgXj72/sJ48E7jCVo0YXX0EbWmOJNrX+wgfmr70TAhRvLXXfGp1nu5
yPm+RIu2QmOoKk0ZOvjt3YlsZF1k5xXWNrEX6cCuZHZ5HCdBG0Z2OAVRn5sXCNvLiSoMaEIqWPIP
3EytAYhSQB9DRHJjxwwltoNpX1h2E3E3Z+EHNYG3I8ZupKs0zCBrsvKEsqh+hvx9Y5WOdb++2bc4
dsWWiQCLokayoqeh5NLufdeoLbxhIFJ4ArX4UUklbisri96iOiEzqTGJ2Rozoshz6AYqsaN9mo7Z
nsyVcAP/rPvUJ6jmtd16jxHqyI1NyOPFzZyXRRe3pZHC7oTKdWGrYSGbb+i60256tRqEZYg85glG
m6G/M7zEtDgQyLcqSIXxYOvmEEjCtn5oDitbv+dp7LIl7Y9Dn38j18ADbopHdasNqvE22Wibj7Ux
IeSAQld9M10VPUF5igRO8Nb6CrYo2ZcwOfkzau2IwZRUMKNmxjSMOdoBaGarPNl3CdEOCHpDaFxG
7mG27BAFbwm4ZrDhmyCZkbzoQ5+cpRcPTximQEjwfJ66ubnntYb0pauLh77Ot7LQO2hOXBMObjTO
yW01IrY8M3c/Z7uM77zcTQ5jWJWfzLa8bS4ofTY1zGQ7UJWJWEHIY2inDz1r9KOid9lmvN2PUqvq
AvWI0vHCGaE/9UAzBHMKNVtgNB2nIdaezIsNbkHjo8ojBM7IDbbzJM10S+aQ9U7isLc1ZL08VAzO
fNrJ6RV6EmYKI62uel4z6Rid+Zs2l8D8dKP/EUHkwQXTLEGVxx0EeN1406FW3i6ScdQ4u8udKq1q
J/Oov9MhsJxDbRKPDrv4zMcPlTW7quqioKsa8QUueLs156F6SE2t6tGNxnBuwZVvTNw9P8CyiEM5
ls67QUegbRderWDhyPFjsnntDUKqaVtWnPzuxNjDcUf7qjdL5POJNLAsSf2ZwIn67E5WfKq8tqZ4
g8yCoJRGUHmx+o42on+0QBmmfqOH8bYTCk1KLAFVIWJB3ioxCy2tUoMPMf17UYCaxPvBasDSqyvs
x9TXkIldCF6c7nNHC3BBetdm1C1EgCqJw6Nha9k1FrLZSuYlH3k3IodGn3p1alc9ikl2GD3t2Hsw
vZlRoYv1tJrDBGthaE7+GCfith3r7LXAhPgauWV7B7cnfKmzMDkPMzlwMdb7Z9maKohFle4VHI8g
RK66QVpFhh5qQqBUtHWiP5b5MgLIdIZnE4OAQuLVlVsNh6NvW2ZFaxyLuwY7vxE4zDdO5aQxAS2y
SZ0tZocZOeiIp9zKNHiO/fRmzgB4rBE6KDRMbGgALpeTTKT9TefP1/wqLJM7wpgmsCbCe1WLBZLS
XLjo3ZLB3qaLOrQkSWZfHJAZT6EzttFGQ1XM7iJkULFFancZmqrd4YVH9v+f4vhfKY4NVq/Upf9/
cfz6vev/C1YxqbbJn0wmv33l7yYT5xdWCzbLXEncFhIA/tDfVgyu/ott6WwKsEgx6v+5ffi9RGbR
AO5SOC75yayBVwnD7+s95xdJKAjdqs1mbo1f/ndKZCruP5fIbN9t0CXIABy5rp1/LqP/sICPlEmq
Qkp4ZEea4JkZqMUlz8rtDMHZBAHXU8NkODMeOqltiO9jC5fMsOGEnA5Z3Gqc/qC6dy2pfo+ey7/j
kUL5wmAv37MejACogXM8V7PV7Aa76DN8n7F17MLFAYqZDiGyPI2ybuO5Vg6TL7Ps7eixHUAxPh+a
0DyVaLJG7IlRu4kKN3rmjkO1NFrreMxOEUhNL4xqQnQ6YQfSpB8Xnx9J0etrDBrMdLiPIDie+qpM
4NCWHYnlFEfjWpU2Dxb67AtfgiysFQ4lQaXdJ2GddltwUtOhNRAQLpMqN3NniNelbcczDk71FNbK
2Km2i+90KHfNxlvWnxxcbRfohY08jCCOHewZrpV4UsVjFFvWTjfm2k87/jHTKXmmzHiussraRG4/
Xl1TIcXM8YhzEm0jNFu01InZP2Z16tyFlQQzQGgT2A8buTvKx4GfOHe1BSZzSBIl9ohAr0fYKKrJ
t3zPGQOtnpKvYvSia+C/w9l4HbKsPsgkvjhMlfZyiG8jciH6ra6EmW+dMdaBl4GqKPNoMS89FFR0
uyXlsIsIfBMWrB1QNz+bnUrTDfWODLRRb30zVUaxabvS4vdhDZfF1Q99Kt4Z5FvbgZ8lyML+JSyV
OHlT+6wyhQ8U6sbHujk+yRg4cKHceGtlIJ1lb22xjEYPnYmKktl8lV9RUTY34EcwHHt5ETvc+5VN
PEZn32UGuyctdsb3sA0BGDRVGliRPV+wIH7vdSNiCKUWG5RAEsGoT7vT7KHZSm1UmmQwX3I7C9FP
2+F2KLXwnnTpN4bgpW/1TnaMcTvDtetFPt7PRGM0X1rc5kybmoEtxSjv7aK2zmnUGI8Z7c1Ws8rh
YnXwDeCFFTyyqS7a66CLjwl7yg1QES3QJ/HdLIsPZ5qqzofx1hzH1BwIioBMh0QY9FfRKvede3t4
WjRwK0Qj5ZShYb6CfYah4H4YrHQHAp/w4RyiwUccLZXYSjUkddBpDbdltjZMC7/lwHLQ7CZlNwqW
5QtodC6wS93QhANTVlBeav1usuT70nnvAoBVSwIdadyigKdrJ7VHvRM37R7LtL4XkW6/Iop/QpXz
XegDVMKUrJqgNV0oQDm6pds4Z8vCnI6wi9jWDxFnzgN/AjJro4tvMAqfkb5MRBsC4uZlNmMyyKNu
0q+d1y3R3g3xV/hDW78XiVYPDwDuQXwLNivaEN6NQ1nRlGT1VSFb3nbrGnAQ3l6ZRoyZYhmbex0D
CXMy8KdMFKEFnTNiejMytusy38yisrAbG2HgGFV8jGnUgqamm7EdTdtKBJ2vZlsoa9MvZCg42iEi
YXcPmgBpkq1rOytEzu0JNe3INE82EXmNb7Nl0N+nzXR2E2dnloTyrJapAVeUiXG7Rd2Lr4usATuD
FzNRm7tjZlIHFA17AYOEn2Go96OJu36URXQFtoj4ckiX5anJhXW0ere9zqLXsA1s4yE/49iNtkXe
IQpKosoNCHIodml9htbzprMT3VZtpx/nJVwCi3/rDBWvusrcaJKNBcSBUK2q0cXWWnEAx8weXU6q
trk3vNZ4wvYY+7YN6Ca2gNb4ql7UPtTg0qD+zbJ3CG8DbjZnOlsmkHgOiI+c1o2R9xDPaBe9dqdb
NiaEZbzJl0j9IGMaN9joOLsYYkKO9pKt6xx23xgPs61wYsztsV1KBg+C7UpBCm5Vhe0lyYcPLhYo
Tn0Oinpp2FWscsuF4eE02T5FZv8NW5WRY3hyuotZhN5ujORjhCH6YGgFggzh1H5buumemrPYxIy4
O8xalKueG5ROpXxZauNBb0txFMqRsGGy+GhP5hwwwxRnu0cCzY3tUlkJHdib9NCtOOBV9Rxu+qLw
BESgHGqPVIGwTX4gkBlW5TRjoaLm7J0kKzXP0Jtj48li2aQwibZiNu5aCWGpmnXkzXxEr3EdJZAw
cExkGBJ8ZCne1tITeaJADXfT0JznomgCsczdp1W1M/v2GqVvnhMXZRjY3RiZHtvF++p6fXGMrPaz
8SLikbPpa1HQFgqpJFhlrhvZxke37aLDMOXGtgjdmxG6Ut9B4jAKvdy4w2jdE51eAMLrbiKVPgyi
0+6nOL2bea6ncLZABYj8JnKKZTfbGbiAOUEojMq3s3cWRNetidWJ1mgc+hW5oJ6RWKrNNPBcH5qB
zJATTalCHovQvwp0bs52oycz1n5MegrtPw4xJQI48YsISNepl8eCfk97mzp9VtCkHHfZJlYHSmbM
SgekaQaF0gycXkp1qK3k0XJAqG+XcaGU6dAn3IyZbHmtLEnINP1qtRHwyb8ruM6kUA9Lc6tXOrvc
GjPVq1EP8yvM3vnkQIg6Q8sl2khpU8+o35ltX6psPAk7mzj6c9Bk8xj3B1WIBbUQJybgcvsLc7h0
Sz0HqR0ctrGxdKd4cJchIeEH0CHTygDxybRDcBt9ghfU9l0/WXedchsQGY3cGWtSyqaA8bHJGoMH
lCkkx7GIohcTqvLWSQvSLGg7KToKwzwk7QLaWCzWsJmqQU4bbrdlWkcwBjjLoYiDXm9rOnFdDQRe
cnOJnYWwHCi+imFxdM7AZibDGKaIMkDj73bjcAT6NZwhL2tHrWlsCr9QDNkGnat3Ky0IRQAflibZ
0eZi+XK9BV+QMdjEYzXivcP/gqw6Fem9G7eoIryU3bVnQ1CqGCTDyA+JZ3CFfQAfASqqybCubNBb
O+tcTPWvued525Bp06UAVmOt4QbqbTESc2d31t5gFQYtA3uC2rgloUxNBiIHdOl4QPyLAF5L6J6N
WStuTGXjnqQCatCb47Q+mqTTv4ZhnPpRLRjARYPhZruaFSzrvqwXNHCsLDm8l8DgIZ0xr301HfYV
yrFEseE3GiLIyQTsIa/N4mDq0caTLQLcqO9tUBKMWotbKDAuXqssHgIQp9famuodhOj+MmHBOOLe
YQVd4jK/7/J2yALQ8Ss+3G4Dj18a0mzA1NscCsonuXfxh0fN/awr2zmHZlza/irmxgpFabYlVyDy
rgVCQl9XzltfGN0rWVRYlSLL3CE8gWA2W+LY6mqBr5mm9ruBDWry8W63qPYg1xa57l3zVKnvuoYm
p2+IXeE8TU7JpMlAYdV4G0cSdnycfk64Q0seu9tewASMGLbg1O0JSpCVEVj2xBwF/SpBQ4m39+Zi
wMUzjufFGSfAtNH0QETaqqibZrQ1LIgr/DBfFDaAhmFxBdQ9qfo1xaFug0ZnoFhUM4Ys2DcB7T9Z
EKNwPvVSny811oIbt1nqR7QSjuVznqc/GCV2T14p8reI9Jxoa6nUO1WKPGwSiKE612Gzc3hfz6KJ
7Htj6ScYPBCWdFR7gbYgrJWOWQcKuQa1P4MlywoHrEbgyziai3I32bW1xwkPpU78N3tnshs5km7p
V2n0ngHOQ6O7F076LMk1K6QNoQhFcJ6NRiOfvj8qMu7NTNyqrruv3CQSCcld7qTxH875DrV4i1nv
EZm2tdP0fstWK79kCUCZPK/kTY7E68whwba2SrlZPIl8B+vbtVWwrE+1jjimKmfEYkMUDguJrKKB
1kHFYOfnNqNGKXFeUEAxv0sL11mYcqfTNutG96dkE/bhVirFv1gG6pogImXtpt5udv/u//+V/t80
qUL/Wf9/8+Nb/z4Uf2n9//ihP1p/JISIt22btDD2UCy6+H1/tP6GzuLMYWeGSvdX7td/LMdWNTBC
eHp+IKX+p3Hlj84f6e3//d/f1f9KfsCjwlXR1MPf/vt/kNZ022S1GP7P/ySJ5q+dvk6Tz67JBijB
Us7hjf11GVZao4YEIZVXFgAHmaKpY7vNFMnC0TbXV9LL7BmAHgnXKdypVcdQrJIGZxU3DKvMoax8
FA81b/+6X2UQ5iqIUJ/aCLHKJMxPxYRp9cSRLNn41V4FFb2/aivkKrMIhJ/dmKv0ovhUYZCvaeKn
TYeQLBbrRqxyDWILu50u/Qo9iF7filXWgRcQhQfO0eKZ7KnpZH8qQNQqBtEpC59HPdVIp/Sb4L5M
/eq+NwWsRoQknMBISlZxids5yz2alf4e2FKMV2pVccRCbbXJwlgFvwHIuVWE0jXU1k4pKDcZ/MjH
kSiXd8+rsGQOTQxCbiHHsGOKf4tqOX3pqmKcQwaKbWQl0twFqcf2x+nSe0e5+VbqNl28ptfqCs84
U/5ueAIbhFOPBZTHAoGNUqhb7fJYi7EIdUN9K5QiCMDitCXaVmZXXVaj26xbZ3jL6oUVwOqBfyox
0Nz4k0x3mkiXU1+hIN+k7PyiUvreGptIXkSOr3gdT+RwP5ILOPJ85+WqIGIM1+5AwPlBnxrWCSkt
a60ZGXk3letvRDXNDxSeI0SFoAgFMp4LfrvhMEPYufY6fbpiIDof8F1Z76ihmxOJIOLB9c1SMQbV
ii3jI2Jn+pRnbcVI8npBALHrDE+L6ris7zTqvAcx2+IVA0/5c4am9GjKMcMRpOpLNTjajUUjRVEp
vvJZ8ZyErRswcvWrr1afyZ3ht3VUM6sFiFqQ9as72lazeoXCbhgu0NiIPVVChYEls24DXiQBzQdL
9Ltl5egKu95As6AtFs2zorzZ2mwX7tb+GIFs0AnC46nVsbPDYkeFvkGp9i5N6Z9rOIR7kv7aG7s3
6NBqHUm7uYxhOiRqpwwNJItk+XXVLrZ9KJPWxzTr4qquk/xWbymVsyJZLgWQuHaTO7H2nTABv9rE
yWAEm25ySS1C3z6eazTxeBPS9JSxV97g2MijnOTIr5lRAc9Qubpyg4Lq2B7Ga+xV6CKbtpN3vZYs
r13JshK2VqvOFMPJY8BM7eIDrmVtmuyl9FBS6oNAJcduuHAsARdOLgC3DRzZiCY7AjZTQRSaOzAB
QbVTayhyfRzSJCTER6wH/ZHn6rB60Q0gYGwA2HJTS1bPHCMtew1YpDU14BbZn7OliceSnBqgwcCS
oidB9LftSdy7VEmVXPrUNiO3c623En0l2bhEYrwMceqBWaN7f0BCYyUhrbu2XXIjPbBfqk7jgvJl
U2GujkOpdY7c1XBdL5A1yO9iBFNUNxogumfPQNQPAbyJKcq6LuYkyUD1LVXzgWFeX3dUlbq2Fq9i
yl84WRHhTdCeEzng7csNJ4iRDCSKbHMjR5KV1xiVFQobGnws0Hf4O42XfojrkUqS+rrblW6DXPsa
P4WvAPxaSQUjasdmImEYkUyzi1RZ6eOgPzCrpJx7oo3CWypWFTQRaBV3+2lpTXLzQsHIS7WRLc1i
euhzlfjf7YR9cU3CYalPzlNFOGjnbf2WWJCdNo4i/5iRORjFHnhC3/PgYrj9b4/P/8/jw2YO/9U/
3gNcADX+xd3z6wd+2wv0LzxyV60LUeGrQAaFyu/xv/3FNxi6O3gJ3M8FwH8qZIwvUJ/MdWngoer+
1NX8Hv/7X9YHOBN7y0QWaSCe+VsR8M+KAuPv038PfLhvOo5nMOsExfC3miCetARet+Mc0Y+0cWTm
SwGcuY1P1A8yZH06vASEgIKMhmtgkMF98kvRvgbgfZ+c2m9fbTcfXtiSDy+JwjHzp0/yv3DxriaH
P5t4eXemzp/PG0Rl5K52iz+bA4PR70lKDuxjLu3m3QEvfsv2rV4DCNGOd1k57xH9kizQNnDN//lr
U3P97dX9VTWEW5bizfPdz83Nn18d6Qz4qzHrkPzGX6suhjEyjVlwXQR946KIdrwrdkg0Y9balyk7
IEkUBtSbWurlw/ts4BieWaekJKircMeSyLa11eu7xr3zPhtAaMfOMV67QqO12p2ttyRikea0IeAA
vZIth+qSMpvn2DSQteh+hxiZdseLxnHh0PJH2oiNJVyFmdg1X9l8kpUGVmeDl7g5e2sPCyZtvE8J
BGFnsLa4mljbXTa+QYq+mC6Ynlp/0fpe26JCeBwBx5aQITo6SM9ta0KDcD9q6dpU92t/PeNxDgse
n5v8s/1evEkSnxoTwtimAMKrtVGvP3t2bW3fnSmP0c/T0vvEk1BX6SVjNf2z6+cLcA++Vcw70rNc
XClmBkzDZFLAuqy7X1EOd/qQZUbEiB1HV6Mz3IQb0kc+SJTtNFIP7KSlEExn3Er39MqJQmWxTisW
aCqPxtik21p403hcOeiEU5i1uFegEdPQsCYkGZlr6DvQNLG/qWMBamvjuDBetnayrKlBPTCTJMnM
CXQ8k08mRAxaWmJYDg49F5xdeKibyXG+evnsI15169ui7hXa4w6FyOhQP9ifw5xEV8ZOzwlt7NdZ
zwyYZ8+kmvlPasodidaUx1JG3KkBuVzMixaTETeKR6ZIyzpP8llIvKfo1Q8Eei7boGyZO2U4IXYC
/yzhGzkPlBBIjWJUtU6tcPwYyAp8eLK+ET/jaYEUMKUr39Rz0h/2pMuL8TkDy2qv+oF9fE0pWgh0
75yM/NUA9Q0BeZ9jNAbEjNS49x7SRMutG8JaRociJq7c6YFhWqbaTefVjQxjsGdJmKu4NjY+deBH
neN2p6zs8z3BT9MH2uJqjVrEWpFuiEmHWILyq8/eZcZA8xDUGMsvw0BawjIuFq4YK5dfXYaMGNSR
E7yT3grJNw5G1XNXdJr4XsdjXkZ9IDpG16Kxs60gc0fbNrE/X8vZqGcceowHt6PEz/swW8AcD7Nk
8BZqcb1yf+q+SqJ+TJP2DcgXJRfa2JVoPDs1rJap0A8LXiweBaK+6tMpa6MOUM370GDWXh3a1Fts
Fo6wtYp7hhHrYQiDh0iSrL7kywipemw64mDMgFfr179tTmPnAZeOMcFZGeIVOGAPLyJzcwq1TPLu
VeIth64hLJkE9RZciNO8TvRRTNEcCU4knbiRt4M+Km1DTPz4TSeaRyfbrndA3McwvcLWbJv3figD
J4IdtOw+j/KAvxw5IFq/rch9ztFCE/JGZebyXA6WBpa4mCzylBnSE66Dz8a2jfndGUeAHief8Cz+
VSQBY6oNorvEzjeNsUzya80yJBugxTv1O34vRN2kQA3npl/cm24weMfsARuNcTaG87XOa4mMN8sL
nDep1vggIskwTChQKAkm5oY95yZDeHbpnRKhEQzBxokIG5ZHQNACR4AkLu6q0iAKcyRiqNmYdBtH
2FS+JLGXKhmXNOObqB567w3mx8SuKusxX7HbXPcN+DH1DfwWv9+knTe9NiiFblJ3DqC1uwyJY18H
8o/McFtMQ/NtMMSTpSb3KCHaOHsDtsbd6JZWGWlI3eXeB++EScDPSAUwG0pH28njncGy5jq1JCND
TaPLTgl6ezRBKbng6UbnOxtiaPqSwJldM6FyNNlwhKXhqCu7zJsz7XrK4mGhJxQdsBHVUe9tfdUb
Zwt95jEAA0PRPsTaY8FzZuFPDubIDsikI+2j8kw0KwPbCeCLtNCz8Op5z7gUe5Mh3byPOMeTkBRX
G+8BB/6wDg//XTj+KwMkRj9r/Po/LhwfmvEfYEr/+NHfChL/C6s05B4uSmrnUyXyu4K0vlgOct6V
KvGHe/UP/YjlfEFATZthWqhqTUrM/9SPmOiyfYZP6Ks/FSn/PaNq8Lepkk2hqju6DUWC92Hgovhr
jQafnOddnjUHJT0OsyAtrCkkAirYpzRfO6jh9sjNm/t3WE5ZBZroaW6Q8TaRZFjjR701wpGLM+vF
HdL5tnHN+oFVUvwGihcQJaCDFo7R4hxwoHF4BnxG50yTTQQ+vlHhpAqXpHVN5Ryh2C4AqpdaelMY
DWGJJSlBNItd2W27IOPuQKI2GZBA3ZRwB5kThFixMd94wWzvCm2wLykH0G0BPnldz0ltq3eahZkS
dwjFkFOz4LdSM6VaHlpydGaEdFpPcylMoI5jZVmnafGtY6DgHBHC2GHTrXhTUVfF4gevgtOqJ0+R
TeOIUpPnI5N0fnE5/2JQ8tB0Sd/hGca+WpucQ0botLe1Fr36mfGFH5wYNp5LYgGO1yWLPxbXIcCn
AI31gid13WDyzl5spkUv9aQX9wwJ1G2ssvQyjXH92FIUXsSA9u1M0544kY0yAcNv6vkg5KrSiJlB
deRVLogw78jXmred2/JB5kaMRVC3WNrgQVYeCTNL+2Ykvn8bl6B1WPf2uhERP4y+l5l4s/MIGNg4
+JNUW7UXst+CWwdEdnqVMy09DHx+O8kjEfVF1u2XNF0RTwHddSqJlkBr1zzAV/PvNEBzNzm1AnIR
3zlUBqzIKgatH1PxH8FoWScNAfiRQrq5FH0Hv2axq5n9bW6cbExhpHMWo82+0ERWt2gVAdUj6mac
pd23aam6156j8aXVERAQJds57noaDh+GVjGlECm7CH+agzvVspgEAR08mCQMkvq+UBQHqid+05HW
G1v3AYxLqTlAvCiV34kUZZnLWOeqbS0v2Y2znpzgz9fZIfY6sRxxxJnzPotH7coESMUegpoPaCG0
KPhgzCcFJuDCoficEEFQFDrFVWopCHa+xhrT6F33qTZm+zr9xWqyPsFNqHFXipP7iXRK8HmilNL+
oD19op/mTwxUtxKhtE84VNquoKjCWMt75GErQcr3fNKM+k+yVNz0mjiJT+RUSfORvSANAzzl8A9B
0Vw+X3Fxaw/zhM7fLOJrr6rkOVuJViloK8JWkivyRDFs5b/YV+YvElZS6R5K8JWQ5VjUvtmyOpNX
fla8krT0laklLL08olOdnjNhElUcpM01rU23HRiZ5CuXK2PUxXM0Nw1yMrmGnl2X+NoDt7dGnjFk
r6bv4Tegc6hamidEXgiSEB0U8MA0YQ6gwWrew2FG0jauqIkxmoVSZw198BE5MBnGQX3fLP6VyAcs
lNIYwsBv1GnKyPnzGPFsbdy36CnUHhWo9uEsnDRlzIwxXvbKNxCaZiahVK3wbvANPAC2TSJC7Nfa
3HlmSkNJMo54wNENXCZfv8fJYm7IBOBrG6C8JTaxJbIkcM6HY7WDjsMCz6nPet0OP/LZu2EHF78i
F54OaurKhxoxxyWXyIpI0KLzQEd7i4XE2q0xCOBUidqy3eUm6/x5T7SvCFP8oTucggg2NH7KYM/M
+rNvWmBxy2sTs1hDkXRZ2v5aTEVMRZnKsACNvO9iAPu5q+nXfR9PF3cgfpIZ+TdKj25PAqC/zeI5
3sHAysmqcLBfouw9LE2ThciEcMTCdT6TrwfO2Eve1uovIkELbK4HEpBtAZGCpIC8TOhqDnqViCdG
t4ILY9L2Sa9+jr1b7me4g1vRQxOThhm/WYWDzEOtNGvK6Ap1im/qx9GlsDpYle2ca9DLuyBAV75p
E/Tt7VjYJx81YKg0zbsb25TY+YVHE9T8bC8cu+KqcBePzWXHwBGqTpZv/S4T91j94uegc7hlnSpG
pj2mBIb53Tdy2JuC7OSs+NpC1KP+kzg5MtPfVYMI9g3S4td2ivWXoE80AN4IdpupXm4wEzZn9qD9
obIq/87if1wPrtIuwzrHTLpKD42AmTwBE+5Nb8YG4n8lCuPkqDy5CorKDzaYejvYndnohYVpkXDW
udkSkT6EF16Aw5SmgcyDzfcGchEyIK0FaUY8pr/3Wq8gjzGhiyJRjRStUXsWrT68cMXVXZSNU3vW
Ldy6cd7cqUXoN1Ze1JEvVgp+yWVgTztdmQOCstQ+mMAHN5K8mGNP6uQPa7CrHxAXV/syq6dQinjC
WQKm6FSzBLPCfO6YNjuZ8dQwB71HEYTiH/jLtg06/6qLzTctQG6X1clXpmUIwedaDwfbeaptR4Pv
OBQhsAG5kQZUu2Xu4idsJ3tl5W+xO5IJ3jl7fCkCKvTCTCubv85yDiJRNmbkeRAW8E1TgevHAn/I
FvF2+yOJPYmCTmsiE7beQZrIzkKMmvZ2cWPjtkQ6sS2GqbirDfemTugKK8Y224qdBDG92FxFOKX9
hBYP2Q8yGhFvQch8YDd6JJ6JUor6IoN3sJksiXkJJnHkxLqJuHE9XFlQr8UMWcXCpvAnBtrapnWM
47MoHjXTbeARd/obrBoQa5nv/eiN/n6Uxs8YeSRpSoAaNe+1ZsQdEeuV7VWhe6dgjperVseG5Fnd
a5MQo7ME44kNSszZ2bZbADi4zBOJbUrN1dGSLWN+yNa5azxlyEmvSq75DasJY2f0Q4BbTDDx0fN9
L8v21Aj1YC/psCP3s96U0gnHNF8+gJvaobDG5iH2lQyzYeGzjisEc+WMV8JxGwHedah2uBsQkGr+
9zgxv+JFjV/1zrEuzEJRbaCSQErPdeV8r8zKOILMJo0EO84Zp0mDRsf84VUTaWbGBwg9klHxqLSI
u4bp4Lcx5nC7tdmbpzRavpvuqVi8ewM0QkQ3lu9Q1qmLWXvxLeblU8+XjmsNDLF+k84DaS5eyyVq
+Ek0pwqIhpEbN1abP6mide9jlY77dsoQ3nhm3dyP6SrXRJbj4Z1w3KTZ2DzSr1BkutHgLs8C7PJa
bJIOe6GLTZAqB2e69J9sag6dWZWbVNMv8TRc1hTAMhVD2A/eJm+rt75kgbQM6nEaxtvWEBeh1ddU
a9DhVilaKSCr4sAga1COCVZAbnPHx8IeOVbmEK3i2c4VYzn/yq06lgh018hFYDmBAF1u0cAV5383
fv9S4+fihv1njd/L3FScVX9eGrAAWH/mj47vlzoAIp/LlFM3jFX9/1s4YBircCBgNo1xwPKY5/+2
DDhfdENfhQP0Yq6OWfw/Wj6wRYilvHWjtbrcGfT/d3YGfweC0TuSikHCBfsCm5JwXSn8yTAQj2Qg
k3A03YzVRwJdIi2//enT+C+m/vzhf576639/gb/Fx/TKKqtW8QJ+7m7Y52/G4D2TN1kAtufjn7/U
Z0DqnzYM1Hw+hElCZBGtgTj7e/c6YwUtybwwrnOnnHXMsJXGPghuAeA1KMBvw+fiLeUZKfS9/msz
15TOzJ5OtxARVR9N1/heghTdTvXA25OoqO9nvx5/ZOTFZtXV+MvEqq+G1vKXudXHrEi4sNbEj3Mn
dvlqhh0Y1sKibxAVc+t2QDVQOSUY4VYvrSldjZn4JC1ynp2yIqzzoQt4zvShy0jfayLeBIrAzGWZ
vlblp95os6dZlej34o56YJFzOe1gPZUWwZnCySMECuinDFqMN42xOlPAhJGdj04QsrZjWxdb89rl
nIsg1R4moNV2vbVkEgcIPUSRCxWvFJ1s2P/71PiXTg2GPtxJ/3hc9PhDvQ9/OTN+/cRvsZH1xdED
gmeIW/oNBPx9ZugubiITiz53PsSUlfL5e07kfrEDl/8F6NJe3UTci38sGk3nC9okh5Ugxwamf7iE
/51FI+vJv97WKFoc22RcYTLMYmJloob687nBU1aTXQOga2Iz8iI12wOuMn/3lVmSqK5121RDoKqq
prj3Jv8a5Cljf5l3D3hyHoAND6dxdum1fHLY7GbUjnNsufFeNnl6CzhJex89r0Fh2qCZs/3Y4/Hn
kKB2i6N3tu5sOyvMaqNRFXlHJMe+eRPYi948DdDHSbzUQI1Ze0Lb2vYaXSRweeTF04LHtgikqKAB
xUVug3hOsAlt2qnvu6fSB48PTZhEBeOUBspFhGTGgdh6qU4CHkYIsz0Jm6hfqigkObq+QfJNxEVW
4Zs/IUA3kfMmQ0fD0BgNrBobmNneNz1M2WOGlIDSbM4Ibo9nTcMEZXiF7KIUZux7Xsf+R4KylUQg
k3FKh6aCQGAQzdCp9QfmMWiSBG9h2BeqMc+EGa34LTdIz3FuUAdPgof/TrKRktuFNEw/8puc8MSm
fVVkWoEsqy1xyMl83E6677zO0rE5jkCKZkP2kLCq4csa8+uOsueQm9Nz3mTWPhcT6aFVkBzADbH7
6qokfUG7ysBqJsST4LXrxu7P6TSOL+B56nAsh1sLHSNgZBkwU0vc7xwtE3LaCa8BbaPJ3qRQ1jFR
xTNQE1gEgZFjZ7e/JRlOeYtktwdIkRx7THf2TFXIcsAjQtU27Qcv9Xa+We/NIIC5lT27pfmT1Chx
XoZm2gQFKc+M/sNqFK9IL0+VbOoDVDME1pkVKTg9m2Fu3XPb6gYhBcttmlQN1vTiec0oikZqRSSc
8oeb1e515S7x7RQ07oblOLrskTXuYMVRQU22t6X96Ym4mLmFwU1KNPykKlH+Md+HO9Vf+2Iytxy8
+tFrsmxXq8XZjFqShgvg12/ZaMp9JZ3sG9wodVIMMrdt52j3yKNwa+XJD/ZuzcXR8OmKTD3U+Ch4
XnGio3jJDjU5hJsx45hn94XKFfrTTsD8PHIupLsemsUO8R21bqoFe+lOPzC0E6WbiiaKOTs2RTJm
NV7f7FtjrY2kAy0HsCyyqlXP3jSYv4ZarG4GzYUNJMst8F6eJqZ6NJxa3wA2eNbK+LgsNe7qoe1o
SLUXYlV1EnhVfko7h+1Ya2c/rdHp38YFDZshsLtPOGgG2bk2Vne9uKpkMZ5dV3DHj73fRZa9aIh+
3dqisvcNoAP4Ntjk5ZKKeK6UdoCOM94zd528h9Iu2lvYjkA8OtwaN61vujvaZH+7kgwZfgBieBzw
KIYCTHmyx5xunuox6atwtgSvxoUFV5fc2+9j2VmhHkt5m4O+CKXkskgCWbLyVGr+6FoO1W2Cx+7E
sqs+mALQV7AXXFqKZG1XV2HHu11X9ZP4aXTdhJVoipmWq3FMfyKuAo6G57xjhKN37XRj+s6ApJ6r
BZmfnSLFkPhb0jqo9lPmt2HaaXizzIa/rJiO3pyDuEsbTgkFKazRmTQ4TBTgMC2kLLWdtY2DhTTd
JIY36C9fFRKWZ4w5BEnn2ju31Iu5ZFhfSggTVcf8T+vsm1wnZrkvzfxca9kHJIE+ysw2e676nGUT
cojs2uxnDIgVa9toMSrjlrH3U1eahU8yrsUo1C6bkxGIHZpzeYXir72nztQeCnvw3s3KyaKkCDos
bkGfk5BFLutmUiYAE/JkdoyKCCuOSUgXsWBWJIS4KYe0QWWWIW1A2rrv17t2xU6REEGqSNwRd6OB
V6NQkbdk6mbbbB4Ok6FDJIoFYIvOX+D8x259x0rsFVSVc7BlFXzvzeHOU3Y64QdA8WD54qs75xXS
BR37niWPdmn4UcEgmQW90YqfcWPb21wT2nlm5Y+PczSiWl9IYFrl61Brmd0Bt9hAdrvJJr+4LJou
r+cMumI9jzBwawXSYkBkJj0Tw4BtJrhnbbXRJ9MPgxxMZGv0+1nDBOtb4joYObUWC19NYDJA0QmC
OIrCBiYx9fhJjel+9FHnFz6LBAIvEZCOTXDolNprc0eUjC5j5nFKZ/cQVN/nFoOmzlo9HA1ccGS2
EkxRNSXbFt9ET5/l0A/8Yo46uwyiQXRH1JSw1LX2p+q8pwrOyXYJpnGnDy35XzNiWs3GKZ/WKt1h
V1Qnreg+mJ5d06SOZ0OVqDOmdVZlevVldcFfoRlptrU+ExGbCf24sLw6aPRBm65F0YLaLyNagpQK
zedvHou8ZNlbcN517tuyMHOp/RUdVog3symKs9PG5IUgRNzEFlvfds6NK66BAdeJDdixKH6yuA12
ql3ekpbfWixM4zb5THQ4Rltoc5IMDR78yTc4oVOol6K/jSEJhSkT4JvJ9iUPd7PduHrC1tj5yZzq
hy2yclc6FAxS2S8VYgLEsEP3XPr8qqW3id1jYPezH22TAUFeRDaH6MYbpvSW1L38LjCb9qj75nIl
C8HH4BVvYxXrEYdpw6mdyRefqILQFtYaoV6HMmFknSufc93Nym/IWkykN3NzHO3K3eWwCQHBavVu
yJfqyjRMbM8z2bTSmr8NKb4iaboerDPeAxycYqszansedHPBTzs0fKALovZN6oHM4QNrefuSqv+V
274QjIJr/7HzHH4WM/QDgqUj2tUp1MoguRuHcrp1gLS8ern7AORpCoFq3NhmAxdt9BNcp2nebtlZ
80GzEbKf2G0AZXaYSMzC39oLTstwBSyswlTipZZulWeSuGSESWMyslc1g3m+543ZGs1FGos4YI0j
HFk5/htwFf0VPcT3vI3FZdEtHOpSpvKQt8K6OJUrWZ3lMI0QWwm5cVJIkAT3sAXDoa1avbrv/MC5
Jxtj0ENOTY0Sw2zN0LGH8ufQW3j7uFETvlPk/avZr3f3bWs43DL4pJsDozEUwSN6tmhOrIcWS2Do
Cf3KZ6fwFdW1/g1t7KmciB+J8iZNwi6xPkp3cBjeZ+Z3I8m1KlwwExR4mEZ1bCf4rKhT4X1ECujL
dx0WS0S0+fCwTD3iNA7PawmsaY9M/nZx6zNeTQHSlMeBOhjaknM5u9L7iNGahqk5eJdAONkLHE8b
omfmRH01lVsH+lXYNgRKR33HJqoRVnPfWzZOFYB9w40qTAKk9Bi7OhKkEYtY74sqYt0I5NDPyn1C
LPsu9iaYtB78i5b3tRe9q+1B6MbVvvPK7IXTrHjhETd+LSelP9BFwiEiKuWoOxMVb9y5p66WILoy
bYjxW7lT+ZyYWT6fpTYjSFrS/hQQy9dsUh2xBKGywcnsgKSmlTKKjbJrSKUy0YFwD/2dANP4omO7
+3DaSR7IOQ/OTZ6Li52k/VNjOX3B/dfkIrI6XGuVQwoJ1dXyHPTQb3LahwGgo8EJG9InjUG0BK21
mu7bWW6x0InizIymqrZ+XLpPE7ww92tCQtwSSR82CeI8O+BG7OEQEiPCvtAubPfGtYr0VXoTcUJE
GD2USz0b0ZDW2nVZq+w1xg++I7sH9kK1qJI9Ya2TF5wn/sa2C8CGQzVVLzoozTsA5vVBVRyvfRU8
ICKsKcK68Vtd1c1qiM93rliSc19Tkpa17ATSflk94upNN5bumfvJr4qrHILfbq5EGpEQWoattpQs
bnsgRxOa7TtW6H0Pa5f1by6zgphPY7yq6gUTsJmT3O6p5NZsrXi+9728by4qSZGOB4hBAayFPvJW
ioWKxcq8qlB+wdwpN7OV7V543WQ/EFz0yX0fZwYp/XDIg7QKNnABoMSXytZCdwCeXi5t3UM0SDlH
lY9Qvhlc6yBS13khL7AaIR4k5Pb1BffiN6jecaRreZxcZXL1AHAJ9/kWtd0UuSYydPSL3sTpI/rm
SgqtPYwoFe9VJ+gFkJTtF8cF7SsAt7KRaY8912Q0Ciu7anMnC2Nz9H5WfWN/1+t1zQY7VeR7VbWP
QxHE2SugjTGsEJKxm3Dx1A7Lsqrpff8H+WzJwUUWj9GMPXHYQV19XvJJ3zK6WextQL7mbjCH5V2n
sD5Pc7saH8ubxoNtC7x1PC1mJ+7aNmuBWdnV/TQZDorxbArNym4jJzUQMBppZW2TYiDsWke1qner
mKtAP9r3eXNj210FzMiwnwaqyC37zgAUpZFvE551FOfdjL+5F9ux9I5siGTU0LjfiyQLdn2hm++O
rewD2XAtoHBOppL8y42XNek+S3Dk9w2BslYG+3hTDOn0rQw0uS9N+2KpNPjQ6/4ieSebXkA5bk1z
PgCK7CilxuSqoKVVG6h36wra7XZtoJxtxyJzQwxHiW07z9LtFGNmDUoe47HSijcc9iSRBl510LLY
ijQiSsJ6cmsQUiWzc03XZqRulrWDE1RBJfC0i7CW+b6d0sOIwOFaEbXByr+2oItMWrkt5zT90UJY
v47jLOOg7RLCUZCDFiBVFRnz7EPTMkQjW237QkgeOtN8lwo9uJEqQcDFguRQuJmzZbfNgTk0zSnT
jVvfRxY2DANo17FN3gcPLUkN9BKCFTqHm0Lr+lBVBGMZZWxv8jKwXj+562hUidCpsrR61drhtbOw
ZKTS39uOMkB1tfJDVzxY/UxfjjNpwXx+GL3BoxCkrojAZRHMRjn3EhTLS/mOGS3dSr4tMunUV8zw
5zTxo3npkGmWX4dcrtfbqDfbUZCvu1GWtXV9lkBlFsSnPBuc92JQ8aZKdDekZjZITKtVXm57tJQw
thX8QzevuVoGb2/AMw/N3s6uyiQpbpk/6Ho0wrHytxLV9s0gqLdzHVdkt45/lD+0x6DrSnDPEvZt
7us/ppoWLRe5PJDEMEaT1pl3cKaZCLT9d5EqcfIA0G10hMsn5lpRms5Ap1u34wGsFSckFfJuKdKE
GMbuG/0apdhcZwjklrw6wuCTRYjZY35hJYnkWE7XFhqjZ0qpxwzLc+j1wjunLoKmTi0UjhAj4mlZ
l3Oj1ke1HN8Co7uejNnaEC/2XGsceUjV7R10Nz+cHMt/SZVRbWBfIYvRfRlCzHAeoVJChFoK81zP
6VWm1a+i9fBXDelD7xo/LU7S3TRTHdVJi+C2MV+t1CjZyNX2x0DUWaQnvYWis3pWeAt+tm2l/T/u
zmO5bSwLw6/i6j1cyGExXTUkJUqUqGhbtjcsmKIBECByfvr5wOAWJMvdbXChGpZXIn0BXNxw7jl/
aE/R90amhawHwXcdF9R4dTjnTS5ieuqgdpbH5uJrCYEbL7CyRAfMaqq7RJIQuQzMBTVgEhAVpHC1
8Qj+KbKpQa1NfTR672AdkoSOFS3SebyFgbJF6uboFDAHdNFPZxTPRlXrAb2GajvhVcXIjK+1+BqR
OQJrycfmV259D3EazKUw2DMDKTuBthdfyRiZQDTHthLjM/O77Mh36hpNO9/03Bngfn/WaGyuYLWX
Cz8ukikEMzg0elfHhAVPNryetZ6B06IofUrZkgBP5vgry10uMA4phFkFIm+STnlYw/Fy4UnaVNaI
hJ1MZknQ67SsztZRcWaUyVfEcGY1Ax4J0Jh6sCPMFxaIjTbQkpM1knSxVOan8ASNE8PXg1mskf5L
LBTsEf5JxkSm8niBBmjqlLf4Qj+KCBdM0EjRgAqFt4na0dY2jXEeqjCfDah7U84uJBDR3r+uZPXB
k9TsAnWieFKh1T92AiWcumLsnHjRRjqrEZyfpFqRnWOVIpK5yBEy8LHgqxbWLdxO0nCLCmJx1Hz1
HZAqco5GEWxrHAFz5dtCK6X7ytT8iV6D1hmvi6haaZlR3rP2ySNd14BTi0kxSxOSUaK0HksLAUPk
1BTIs3iefJKKvo8iTDhX8yAbL1pFLSayV6HPbjjShiKl6PozoOMAFdoIx8cmtjMpilDPU5VNhzRt
l77sUqVEQkGwI32TXhtigL4hGx4a0YZRo56wTi8NnyMSJbC1OwH1TUFWhcm/aZpvxFlMLSfe2IhO
mtdRpaAPnbvFUvD07wCWGixRsV6ZJaShb9taXYw1z6jCceyJ1Uez1oobtFLV9iqtzQircmMTTcmC
brDryxE1bVtLP5UieAQAhLx6EoNUTMcAk+JT1B6RpRAXwpUEurpEqTBDc2FRfmgc7SMRgnafLJwI
TkWTnzEPgJ+lGbV9y/xUmRBsoUXI945ISRrD4WsTPXN7U+NejDOkOab6B7gp4JAuXFQyQc1lALhn
lOSle0EMkdenDqaDYyCWeoERK+vPSM/FeD11FhV0QdSq8YUkF0ZMs0F3JeRwQ3hXRTjtQHxLP6Wx
mlwkiWmiwhIZFohnkRxfgyn0uGFd+KIjaahcUcEWP5Q0oE9MCIDoRGEFyjRekDQiQY11bNhkc6WI
i0uD0YP1blzl0yoJvcs2jmN8hknwgPEvHCKmpkL+Vc47iYq8i4RYZb7gV2h8VVMXjy9UV/Oz2MT6
ORHqhKAV4d5w5HSaXKiV1fdaEeckn0Tq6yOOYSZvQrA+BVu4luus4XA4iPBPyKk1d4hx1P64kxA/
aZO6QU4w4+BdI4k7JgTdxJNSib9XhNcnlAhuG4Gwvs10cRYDskRirKimaOMnt7VTyg/rNRE4cHcW
7DbVpJssifCkBMRp3mVayn7KWhbdBK1QPgiqV8wUNyEvA5fanKeNkD/4sSBeibBnp3JsQugsyky5
zTTTuLOEBceXVFpYF3hGyN+wdPNneWaW97KskAytsbvwYCGwrI42mhkimJ25wNu0bM2krFR2rKIi
KzhSUMVeX5Hhz9lPkOsJLtaS3GinuV5pvOkNYmx56qBa6Wc3rZOBzdebWD5RSEN9EFvDma0RshiH
gdt8D+KN9AWRUwK1VscSmUxHeuVawGRHztpLHgodecpKYNd1IpXNjCE14bDjnYhOtp7GAmi1EanR
i3RRG50wa34SZ7p/GUthiGAcxejLCCelj+iY5KD7awzTwEWqY8TLFiwnuXAb+0l8hX+0ebZxJZQu
yzaeVhnIGCWGu4myUJXPzWCjfCZ7i44cHIgPIvHdZRol1WmRE/2TzjTI0gjuHUCwEvl4B5NVahmw
MbPNvMitpVBKuINKm8WZ7mr5RGhaaW6VTA3IMC6IEOUcZ2bzJqz1+rxqtHKmCwa6KfoiQBGSU0dB
xDgm35zOMtg/c7gG/iW6Ad9Cs5ZOykUjnq7NxnaaDSqqKiaRCwRp3ZGEitEkSZtPAiIOp0YquSex
3ConAgN96pZxNi7TRj7HiJ2cTeSH6PtbaNq4Si1NYCMZeGVExLJim37xAhWVIjjeZ01KwZaNDPCH
aUTkgSX85SehJpfBXa25HugUNhs0NYCfoYPlXyJ4Mqk0yjfkWCUijcg9lQD14XCBzK3f8ndxcZsp
dXNdYW1Jjdn/ZGXyZ8VhsdaE8MRTkaYiU2JbYYo8n0PBo6pcZ5IJgTgJDSE6lSVfPUPkfao667vW
hOGB+q82tgqxhTPVXiuup4yCdfIQZ8n6RneKs4UgnxFY5dMSGtVXoaYMIivCZwVkw6nYEiHXmJ5P
Y5gdHfvX3ljr5Bb5o1swushii5HJ1i51B0E3EK5NqA5jUFPueRIiz6SWwiM162IeyWE6Sln/Rx5l
MBI9lvoZylWBfGB9WcZxfZ4GycP/V9l6z/Od2LkN3c3Lm9tilTZ3K6y08x+E0e7brXzEB3Ktv/Oj
Q4H45w29Wz0phC+jIsy7O6BKFz4ta5PufVYG397S9n5/1UJgc8fF4+o/fygWpXBFM4DHiNsPxM4g
Cp391xD9QcrAuVUsFVgMn90Fn3TRa53w6+fb9eavf9N7AvsRHNDEy/LUW+a9PkCGE6JwDwzwSi88
a+OvXlDl92y5sgpg+Ke9YGjvAReJkED2vQDMhgu+oV6QJLEDEQzqBRnyjNU5F0q7V22BOng6FtBg
VU0DNEKHjOo+jJW31QvYIj3Xofm3Q0Ex3oO9QINWsnYPydh62gno3eFrZ8gGlKVdN721TpBVxunA
oaAqTAhTN3XAdoen7PWCDFcfwrfUcfTf1hiQQAQD2hk0EwABAtjjNE3pefthaj19fNN6z2V0GNcM
uO3nrfWCoojyc4jUv54KoJqAHpFrAW3TfZ73gv4ejWYZ118UlrvPm1sPFBzN/+EO+freoAIIs5CV
ACd6eNfPxgIOLKyb1ltdFbGLlnavZieI9SPieBkn/KoXFHBtHSBt1wlMsae9QAocgW5LATKyG3Zv
aG9kmqqDF0Tjvcpqp3Ui49sP4L/e828XRL1jIwAd5vPm1kVFhe8xcF0kWkT6w6AQBfq3+zxbESQQ
16i9ykihvbkIyWAvG/r4JthwbJgAf+4en5fcGwSiBv24k6h5cyuhrBDlD3183r6mo9Gn7FfCF2sA
2FmNRD2cx23//Is58A+Wix9Hr7HrBY/bQ5e3yn52NnvtB4fjxsvv90eN80e0ADlT9X7YiR7trv3X
mezP3kK5PQg8+fJwMNheZ//f9w/48tK9ax2e6vDHM2+V2unSbbZfNPvbvLI3HN3+G9jf7I399CzE
0sPI++tO/vNH7z6fvP+/afiZViMkC6jqg9tF9yjqW6RRoGRUDm/Yt8Osj/iG5MvwG9ry2A6871H6
zLVid8wY3HYURKn92BPE2i1Sw1sOw9Uy95ZF76QMP5AZO7TxySqwKztdHVrq5oxpdueAwS3vT/fv
ou/vgDkVm299sxALxYThVzml173H/rTZHZ6H3v90FeFw0m+ZjYIAdGjLZ/S45x3a6XpcQpWU7Wxo
w+ePttsbgPtYcXC7QeCFkZcd7nB7y7uD2eCmw0fvmdEiZ7FOwHVwy1HVf3mqZRLmDW324uXahDrb
EebLBXdWLP3mcIvbTu5C0MMfuq3n97aAy6iAmfC8my0yP8Pbntte2Fs9cBA4xvYytxGPssPHwx12
3SEj33KEVzi3s8xeukW2yvPemEZHRD1Gl3hL13Psfm6XTNMRZvjcYy+gONIb2TLJqyNMmLmXZd0/
IFS9Tpe07mAwdN50rUfU8g4tbd+nBJPy8IffH97z181an6Tdfyd2+pXS9eCmS7u/b+2D+qEdfbWq
3p3Zmzhzvf62Tvsdye0Y7c9WabbqrVQysLkjNT5f1d6yt43ReJcOP8adf4lS/9DSdgju6g2Dm0bM
w303tlGU9PoxMWhn6Qi7w9X2AhPbfz738Vw7QkjympTrwEF+7QdEJP1TjUwS8giL7HW6Qga+9yp3
mfKhr/JmRZm+CUr72TEB755OJ3Vo83du9Lh6d5692NtQOTvCi7z/W2m1ga90d4GXA7FTbjvCeeQD
vb/KslUvpNinv4d2/as84oFd8jG33cPA6NaUfW5u6O1+WqUbdrZey2zFR1gIf+rdSEr8COPvwWbf
QfalPzX3OduhPfLwd8aTA1/kg5ctsZbwesvKvuow+N5fl7745V3/LNP0o1b9Mv90qMT/7L/1k2vd
L5bByk7//B8AAAD//w==</cx:binary>
              </cx:geoCache>
            </cx:geography>
          </cx:layoutPr>
          <cx:valueColors>
            <cx:minColor>
              <a:schemeClr val="accent5">
                <a:lumMod val="20000"/>
                <a:lumOff val="80000"/>
              </a:schemeClr>
            </cx:minColor>
            <cx:maxColor>
              <a:schemeClr val="accent5">
                <a:lumMod val="50000"/>
              </a:schemeClr>
            </cx:maxColor>
          </cx:valueColors>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_xlchart.v5.6</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regionMap" uniqueId="{B8912C6B-1245-4672-B8E0-91C001B9BE3D}">
          <cx:dataLabels>
            <cx:visibility seriesName="0" categoryName="0" value="1"/>
          </cx:dataLabels>
          <cx:dataId val="0"/>
          <cx:layoutPr>
            <cx:geography cultureLanguage="en-US" cultureRegion="US" attribution="Powered by Bing">
              <cx:geoCache provider="{E9337A44-BEBE-4D9F-B70C-5C5E7DAFC167}">
                <cx:binary>1Htrb9w4tu1faeTzVZpPkRxMD3AlVZXfceI4neSL4NhuPSlSJCVR+vVnV16T+GQytweDC3QQwHCp
KJFc3Guvvbb89/v4t/v+8c79EnU/+L/dx9+e1SHYv/36q7+vH/Wdf66be2e8+SM8vzf6V/PHH839
468P7m5phupXgjD79b6+c+ExPvvH3+Fu1aO5MPd3oTHDy+nRra8e/dQH/5NrP7z0y92Dboai8cE1
9wH/9uzq3bNfHofQhPX1ah9/e/bd9We//Pr0Lv/rib/0MKkwPcBYRp4rqgijlKCP/+izX3ozVJ8v
J4I/T+EKTzFTH/+lX559dadh/NXj8ss747ovn/5oRh/nc/fw4B69h8V8/PntyO/m/2l592YawnHH
Kti8357dDk14fPjlJtyFR//sl8ab/NMXcnNcxO3Nx1X/+v2e/+PvTz6AfXjyyTewPN20f3fpf6Hy
4tXP9uBPokIBFZnKlKafdl19jwom6DnnEmOKvzz0Exwv3GNlhi+f/b+D8WXcEyiOa/oLQvH7//3Z
DvxJKMRzBvvMhRSfoBA/giJlEjH8MYCeIPL7na+BHsJ/gsq3Y58gc1ziXxCZ/cV/Dxkin3PFOU7x
5xh5EiSSPGdSUEYk/Uptn2jzU6zse+Oah7ufTejHzPV14BNMjov7C2Ly+upnW/DnooXy55IRpZCU
n/acfB8tMn1OGSUsZekPMXn9OAyQJR4ffzalH6PyzdAnuBwX+BfE5fS/GCsMPceE4VSyT9uOnuKi
nmMG6YZL/jXhfBsrp33fDKaB3PuvhcePYfnnyCeoHJf3F0Tl99Of7cGfixbGnqdUKU5T9HXXvxVf
Uj0XlADHqR8z2O+NvzeDb/6DhP/N0Ce4HBf4F8Tl9vV/DxeqnlNChUgJ/yGLYYyfp0ISQtIncvg2
3NU/m8ePY+TTqCc4HBf0F8Qh/y9qLyqeE87SVGH1CQfQVt/GB8bqeYoFEZh91gBf9v5Ths/v+uYP
44bmP0jy3459gsxxiX9BZE6LL7vzo7rgTzMXlQoJyCmfmEs+RQaoDWhLSMS/PPUTJqcPd7X58tGP
JvLjEPk87AkSxyX9BZHIX/xsA/4cElQ+V0pyjtjnAv5pjCD+nDMhaQqV/bcpPTegf+8e/gMs/jny
CRzHdf0F4bh682VnfnQe/yQckDp4yhinn1P6/wqMFAKDUyk+K2SA61tUrh7nu/+kJvky7gkix6X9
BRD5+RS/lZzfffNPel2Q1jmCSp5R8bX4+DadKPUc4WOgqM9eF/semycu1L+e1o8p7Mnw71by/8ni
+tf211ePsLgLd7uP5uI3DtjPr35cLpidT4b+pFT4fOn04bdnlKUERNRX0/J4k+8i4ltJ9c2Axzsf
fnuWYASgcSg3JUoxJ5QBZsvjp0uYPUcpAv2MEVPgz4BzMxgX6o+uJ8JYYCkgO3kzHT8DsXE8FRRx
LMDtwYR/dXGvTb+CrfZ1Fz7//ssw6WvTDMH/9kzCc+2nrx0nCTNiilJEGUrBgVBg5MH1+7tXYAXB
t/H/MaNparPK9VINW7J1uVzsuu51uqg3WjN62sXYbflcVfbcc+Yf8Lo2h9ik8XodB3fixsWcE2vi
dTtNaqcbHF/V68qvtcUe0cz0sSlll9EFTfN2onXKyuVVItY4jPmkZqnYbV1Gpe3JpEmbpdUyj3WG
+jJ5oTSb9ZlxrfMqJxgb+Qe1Ym2mkyXlKM6nlZhwU56WIibtmRJynG/sDJt8kwxGkJ1lNWG7ql3c
dg57yegL2ZUxR/DYOqssSrNKk2rMKrat4ZXTTOfT0jdXpdb1YRRko/kypOXrQZP69RYMPYFFmaLf
puTDUuvmtWyZG3Or6/ZlNPwqRDeebryp9rUppzuFUZM5r8s2azrX5Clqaa7MvPYiV3ETZDhrq7nh
osq2bolktyxoHs+J2PSA83aQ8aquujk5jYtZ1qLrkmq9SVY8bahAVddW+5JZTsSBNLGeDnOJTBhP
MKpK3PSZ7uaxi6/SHjXu0kZvBkBBc0L0DIUVHPPPMfjdmbo3dnVNVX9uDnz99R+vjYb/H8f888Nj
b+Gfv11+aUr89FuHR3PUX/7pl46z+Xqvfxrkxyj8OtUncf2pjfEvgv6nF79jhO/47wvRHmOHHGP4
J3zwfS/gEwt/HfeZFtL0uRKUphDIYKFjiMIvtADlwnOOCThUinIoLiQk6M+sIDDkbiYgAZCP4f+F
GTBILEo4KF0MpYaCeuPPMAMF3fUNMxyfCPa9SjElIgWXn8AEvmWGHrduwEvHHyUuA8Q2scwmfY7s
3GxvOJ9sd8cSx/1+GFe/siKQyOuYJ6ZEH6rBsSHJDYmdOFM1X6eiU8kwnixK9/6y59oma2a6yO0H
3oU2miJJ0x4CpBKC4UcRzTq96uso+jspuS3vqaZjelWlzWhppnHjYSpw/J1+UWMUlqGoeu46m5mF
a32BxTrClCut8XpONB3aPxI/GxjzDaQ/oE+g5u/2SCHoSSkQUupY/RF0ZNdv2FNg3Ux1WsvHcjFD
O54EzXp20rPZO3Gy+So0S741Fsq/HpUNKfc/fzwGO+z75wtBwXphVFJACibz/fO3lkqforR5aHFH
uyYHkuK0zpQiydjuXVwqFwpXh4rVWcKSzQ7XC6OrJzlmW7rQs5DWg+8yY0bq8JXicoRr/2aSIBW/
maQAwFSqmCRHc0ilYIR/P8kBhbpso1X3qCU8fc+om5MbknacJ5mjuiIn8yLnQedIM0dEJlzvRZf1
G8I+D3SI4raF9JHc/Jt5fYLnm+THEZECXGDoKVLBJDSyvp8ZQiMkiqb2B7cRVPsd4XFGpJigiJnM
H34bhExz4yu7eJXpcqtxmgVeBazP4SBDwq5y09kQ6QVhcWjRtS55VZmTdVxGbq7K2HQ4rnlJoifv
/Djqsdq5lrBh3Ol+2kjIkUGp14V0HDX9BY3Y0PRaraIS475L5ZzQF+Wg8Rgvu6qeFYTRNKcNVhlq
Ab6TcUtFo4s+aa0bir6fuXK5SGBYnXV6EfCj6o0kY5aunUjfE+Xq6bT7uJuQwkjLc5XENdG7ZSaJ
Tk4MkbK/GsgE240h4iZxRX3P4QZJS0aKMrttCHBDVuKtyTofNN6ywTs1NEVqRd9OmWkwhWmkY0jh
+ShGgFtBqktuIFQX2N9tlKMr92Kc6XgqUNKlkKylgUfqLrZ0PkMLKZsq76P2vjn0cezb/paaqVX0
Kl2DYva0TVFC5jPuZwcndm1oty2ZWlZPx6LuJq3mV0sbBR101tZBmjJPJlMtSGcjBUYh12pUViy7
akwZH1/zVc2beY3QqmEjS9whkl6Z4BeTvm5AKrCqgHMOXLCv3Yhxm2ssvftjFWT08oyncSHvMY9r
kFdML6V9OSjVdmTXDj5BfWYRSmPIQfTJkewGswK2BeT8za0ZSqI1cz7CcecyX9laLhed8sFvmevb
pTkbEiVdksemRv7AUB+WDynS3VoXJSvtMGRaDNq9HcZRJlMmcSpg9zftjqiNg1VVeiF1I4AQhrpP
yZSXfMKAvGasBIDWIUj48elo9A3koveD6LsUHZxqm8lms0OpxiBlKiNgGqTrSLZ0yaxeu+CMvLGD
Svq9bnjFs7qqlhu+Nrwt1mYpDw2b6UmD6HaqXZxPJleZV8KlJI+K11eiCT3KRza71yUc6hNWceMz
iL76Q+ts/7ZCjSmiwmWfyZ6GA1ZY5AsZ+Lm06L3pIByHxaYX6dLYQrC6BnRR4vatiGzXmmZ6sbV9
QDs4uWEnV0R7OLGpvq/tdEMws+eOJdW5nn3Ycc9iPnlWncxmUkWtFvlS2HrMu8Y2D40fy6KvbZWt
bBgKXqrxTG5E79dyKF02WM7g1nIdctYOYr/ALU9lstYfXDTTgax1+TCqrj90EfdbtqqW7+sWmRsL
VceW9RUafZZQU90ucZN3fTLwTNFJv14kaXaIBHTGkKqbzCQJvWCBb3sXPHSoWlG+RAlvQlYHqh6w
rticCWzxq5m0dbO365DssNfhlZ9ZOD1SQeHXOJ1R79Yu43qReSlUWcu3zUzUegq5brr3hLV4ZyYb
XF41ul6zGToyjzJwoYukTNyZVtzwguEAynemXc65NufcBzzmpazNHWq9vYiCoXOf4uMJLXljM1bN
y1l0U7xEoptPpTbJWdPRmhQS2O8BLwsdsm2TuM4CaI13ix2XxzFJYk4avN153xqSqdKCpNg2Dye3
7m2fJdi4qbDb0sWzdKrGKkPYNlcrFkDE2sZ8XmhPz6Az3tszF0e3J3Yi57zXMWspf8OX9R5NZXnF
MITP7KdQaDGCdq+inkXBV0N3TIThytbMvVttnPctIlOofDZ1Xey6XDQVt1kyUXY3T6PJKOmHg4kL
zQjS4WXEQ/fS12vo8i6E6nas1/Gti1aTbIxTzEvsbJu1MD+aYZmWHQRerLecRblcK+LrPh+2ub1r
td2ypEL6DbTAxsxCrfNSGSZPLXEynxwqz1gzsDsv03jRbtjNmTVsgoeWISunZMzXaqouUpmYJutx
p+5cAg5EIUc7thlv/XidLmm3B6JP01w1mzgJ2NTX1uhxR5fa3RIz2MM8RXxo7ZzeOVreLu3W3m6j
3uRhtGzN2lFXjytsyKEOYpp2hqP1JjjFy8yxcT3HXRUyVM/zaao6C2UWlMVZJby6VUNQH2i09HXr
SvNh3ubtcYIDXszCkEtWtvSAIFMUYxzDjaYmyfgyzBeJ8937DZnhQHtcrvkwbeyqXhGDXBaBkVDb
yASydpeeCMTK3PqhPXR8crd+JRTmP5MzjAa6b1Pq3/W2HK/VULsTvPbqRmuoHSvfjrsogHKzdtDN
1cBQOHMTW64HX7rXTkp2T7sZyIGM63zFVg3BM9LlBaZhOo9OLKfNEqnJzCSHQ5lqVtRjCqprAc47
3RJXXpRl7V5uRNa3Enj73bjJ8BoSfnUCwSYuN5yEa0j1zb5XJb9olh7TPGjVF3JbBwrn3Q37rUrM
ddfJ+rqKxo65sj3au6Ud39kwsSor+bZdOMWm86ZcuqxKtHld0U1p4Gwdd1R08gSbWOWz3dgLOVf0
UE8ueUhKIh26WDnbGpWvOmIiCzFZLeVFx+kswg7Bi1d9yHply4slsdW1mnB/lbB1eNMHdwdjqsyH
Br/xGhRMO4n2KqrWpxm3uDlTxpL3U1JOS97XC7pcZzHdNmSex0NNespyVWNxzkrj5F4hPagzXUtb
mOjZls26XgqpNi2ydgtqzjQthyuTeITP12QUsNcpWoK7GNW89HscHV5OBzbqFzSy5KUYVGPzNLra
7Gpl3au2ama9c71Z63PddKYpEjfw9bCWJU4OYvZ+e7XKwU314Sg9UKHGCAZ2B7tmlqo767hMXZ9j
Acol53oq58uun1qf0wlXrxexmTU3qE8vhrCUuFgwSMTzkPI0vOFNvUkHPOJs4CkIp2pIqvJkDqk4
4ySioX290bUkc7bGEanpjADZoVPJ6nk9jP06uKKePZ9uVALuQLaQqlcuc0lZ9V2eMBVvGpqoNCM1
61+aFSfbYUnp2uZIjARdLKqNQ07ciMSl6IFOC7OOW2GGrTlrSQD/AovuLCRr9O2Lfk1StVHY/gFF
XWBEwG/ostUSrl+EwFoZijVt055kw+QNxIPcPBg+eCV6x/DU1xddbds004ONW76FOA4Z1et2k4qp
7U6GhnGzqxa+XHYNlM5FG5t4QiuGZZFKVIvMp63Dp13lbJfZiYs1I0tcX6eBhKuEqyhy3ZbMZ4J1
1OXrWqVvsE3cw6xAmlBnV3IwpsR0V801mUgOEq5OTB58Mvl0yUSdvloTZgQIs0muTZ8Dkwb4gkFJ
E5t7IKFRprva9jbj1Yij2nVaYFHvLAEviF/iZE6n21YOujxpR8nuqnl+v211dVvV9n2lLG8zKBP0
zbKIdlfK0h0QJA8EJJG6m1SK7bxfSX/laDPt59qp3I52s5lIKbKZ1lzfuKFPC+fSNZtkw4Bf56Dv
Q1Vue2H6PhurWF7aDvJKjqNfxmKDZMOula/pjeDOuaKZZQnCr4YDk8WqWR6wsd1LOw5e7rwQ1QW4
RuZmGn2odlOs5vI0HXQlskRHdapNOxZkGPt9N5b8ZugQ3qlQm/Ou5Mkl6SIDXzCdc1N5lHcKyqKC
kHK+GyYxHbZISJ8hAUm4QGoe/c7i1Fz5Ti7h1LqlzJRfUMzHrmpzlvrZZgrrEhwFnQzTqU9hcbvV
JPhmK+HlqZL4fjy0ST0XDoJyyba1c1eQ5SH5N2nXF00L+gKmUL6CrNPsJ6HSfBps/aZtKvz+6Cbu
Y4fVwSCl98KK9jppkctnndZv0aBv+xZBJQWF216Qsn1nFhJMxqkx7ygq3dlEaBmz0sVW5k0/sbPS
Elh0hco9a+Kcw7tI9EULZcnZvODmvqupeN+VFX7bYbpczHigBbejOaVrtb4xoifdkdOizWiLxsu0
LCnoViDH4yFk96zTUIitgz5m7Uj8BzPLpNn1adNAhtJQspwOfGhM7l0TQxH6zUAhIJYW57QHHsnS
pGn5ZW89+VDXdegy0sMcsrYXtcw7uG8+pCmciXq1/FSnExEFlPBz70BrddWZtib8bqFqq/POgrn8
HhLv4jKVyGU+SUKXFsG2yUkzcnKbtqze423upqxZE/uC89h+mGZpIT1A5bk3U0mGzJScXngu3bld
N9xnrgJJcxH9ZD90JMQm98yBsG3mPt6HsEKsQFBCnTZZTtnDvCi4qNp53g3tTM+WcaxKSK5xAzEv
+PzIqJrLvRZ1OGcr1G9ZAnIkFH05JnyXjLqtcrTN/E3wff9O2Dnmnae+6FEyoqtpEfgmQJWn9mUA
DZelYan7wwKi6gzYb1h2cazrFqScAunpNp+YK1ovOMmnko5jtmrE7c7Zeaiy0Vs4RDmrwTJm3byv
5tSOSnd524FIc7tjGTvn5To2BDQ1Hcrt7eCnoXtBDF58AVVF2QGlqdRsNnd4qvr1kCDSDuxFOtFS
Zh0eG3rXIyGSIZ8TGdtyDy8edBFddrVJjcqh2o7MZtNWaz/lAhIuX4saQ97qsylAll+LYV5L3Z2v
sgRLJ/cTFGD2up/BxqRZ9NWkpr2b7Ni8raqOmapYIFTEDPRN6eCyOY4mDfsKtNpwOtVTov/wo48z
39Vd1+hhx8cVdzclIomYDzZpmzAUbmUJaqGHYDvAgSXGN1ObTdOwxDmLDpb/qBMlEOyjb4e1ULaO
/C2HEre+GSOc1veJTcE/CL0CmyEhuIz2HN4IQFAJc+BxqIQhDjfxULESxfQgdLJBvI3Yq+bdZJc6
qbNBLuuWQGVbtksKKQLoOLyZajAU5EUAQRmvUKvQyvKp8tPYHbYGEUALUl5r2g9UTsOsC96HaR3O
6QTL2zJ4aZwQn6fcU13e0MBtk+5SM9YNPUPTNK6mLGgTQONA7VCNe2tlC3ycBFN0vK8uSQ1VQ1Za
BYy5qgZElGSHJgi9rnZfs5nQsckHUCP9Ao2OIbKm39llYUaBdzAYebGB9JO7MunTcs7CXCo7ZZiN
iu3EulF2cMTpN1ZO/W2yGR8yYsCQztgEsbPDaa0f0NCBypo4ql23M6lXdTE7MoiYbWQML8FEnNZd
G7w9U001X3PE5xM6Ts2FQSXNO5JOly20jPTOUh1Ow6zQgYKLfNOquIjTESScyOhgV5bFYemGgwuI
5CFKuwzZjObuwW6o7IBamS6zFPLoVAS6ra98kywRBELS70CBQoVYtpbzg0tZ0EWpZfyQbGVcbYar
ZcSvZNd0vIC/jxjuHVLCZb6doTSAltcM1Yhrcb0DOeH8yVTzbn6oknh0XEBRkyHfurrag3c7l8le
T1iq24mMashLxIzZsRX5E+yNeNfPPQPDUpSkMjkYig2HClWs/krLFE0FQXwKb/22uArAsaWu8wGr
cQaBhMk5Y2BuXVVQeeuMjaDDL6OdWMwW2omd6NL+LKm8yfw28dxZOV9ZvY45WSdfyIGrMRNJqA8b
WgEYEasko1GOJ6PtxzafwDD7sLWzg7NRqpdTggysc7P7FFto4wHYBVOlVLt2Mstj0h5FQdfa6iIB
Gvbvobhc6pei1e6ouihpTkDBpGeOCd58AIqk64HOrH1lFlpeRp1UD5XDsPNy2eJJKMsJnJFta2Jm
G7Tcysin68X1NSwBrO0xW4Q2wKZC11nsuHqFwT4UhWrNcorBtGiKhVbN7wtl0FvgnWcnA2vbfFwc
vxnLyuwDGdDb1HmcKRG3onb9dsOo39aMSb5eQZ+FNAWZ/BygQhmsz1QzK+gdps4AzQ9b9FlVLhGm
q/o6WxxUw7kdxEr25PjiUIYoNBuKaqYzUG+iS3BhghXllNHKQ6eyGlZ/SSc7XVQEz7JAvLJi34be
vl6iCHi/hgFWqbtUvGeullUG3UT2YkyOitdLJocMNPXaZGlXqiUburGpC0jo7QK20LxcbxocgGxL
rU133by1a0GRbnbbGGFMxbk/rSLStpip/WPx9bAjpY/5Evj6TgBbzOcxDM4W/TjLV567MMHjOB+h
IGjABdLEXNK+JOey7jvxQSXlqjOHS3WeJDX5sPZNdxYT66+p9m2OG0nuxiFMw27wQq15w30LfvPC
mrWYlrX1We9kKHdT3cge+NfR/rzFZOX7kC78TVLWNl6Bc9VRMAOMXrPeavyuUUO1ZtBbdVemVB7t
xMJXKAoUcZAyS8T1TuO2ft3x6JYc8iaoOtDnRU3dKI/7lr5Y6AI2NCWmvJK9pm/H1eEqm6f+HfXa
vHXBmAz+/AG8xwBhI1U1w5Hv3bsqWVAF2iomeQLK49JNm849+C7vh2pKTl0LQV24phMvwhTMWeCj
zqEi7y7AFxAnSYnkG3CMGwHHoEo/WGgZ7yJD/tXsVnLaeRNI3s5yOao1pE+5GsDiEd7LE0/rIS02
lYBw0o2Kh4GTuX8FHbSmcGBuFQ6OOstHyqcdyBd8Pqym3ut2wW/rco1vVRlwZv2Eimrj3U7LvvwD
WmKoYJyFWwly/4BZiT+Yau7eIhjCsyTCxhGavIVOt7yMY9Ic7Bwg6uR0Z7QJ13ZCa5nJYBCGONiu
VZV0oGgw0wfIB26AMsPTAt5VOAcXLblYRuJ+b8HsKGSEQgVeJBi2LNbYvElkz27amkJDnYGrf2rt
gLnJ2qXvKL1fJ3D/3a6z4Ae5D5CgOj0XStJyFW+hojXavnLMG8ZfhLYegeW9lGqENtYIPdE6A1Zv
9Qi9htZS84Ktq1frYSExQmOBGhRDfYqmWrfbqSzbNdyWTVz4PR+Y6U5aI3VgeckcCkkhZ84WB+TV
qfS90DoJp63CTYqKOYx4A9ko0drkrksdiqfTGsHFzFLocu4ZGxb5Ph2GAKQy2q6PPfAYrxEvQOcN
GlzSNa2q3TiyysynsQMZ3+7jCv1RCBp4E4PxbJ1rax7RmKzCFynY+qLaebusXV1nW1N10Liz0MqH
5gacwRHaIFVbbWh8OVMZoIRpaEyde2PkUs5tsWxcQt1HUtrE9qptjZ9M4Rf4yy28Q5ZOfvwwdduM
1wzuYps1XwwDSZZttgZmOCmhx9mqHBzr40pYWiHVH+oqzmL8fUqqjfDs+BYHXIP3lEQaz5PgoWA+
b1df9mkekZJi/je9ze9bq9A1FNDQhNYhNObgZSd0bLZ/21oFq0wGVFfDozb22NCANyUslD2UD84z
KE9rNrk8zCgmJK+bFlp0/2YC8IrN921LeAErhT+YgvfeoUsITaHvJ9DwlQheNeKh+zQBDecEzp/u
VA8nLjHQF8t+3pE8NkL/2Y5kAlH6P9ydyXLdyLWunwgnkEhkAphit+wpkqKaCUIqldH3fT79+UDK
domypah7BzfielAMUVsbQCKbtf7OEndDIDcX40bg/3jFJUktJ+mk9U1b3cZDxuaFByx8d+DJq26g
zs2VHQ2vCo5Xm+H96xX+KgL6cahfrusGLgehQoXky7fXbca19mpL+t/iFXZeU3g1Rf8xcWnN4nCG
A0rvqggPKixDUiM2/81jBz899vaOIYgDVyFW997ww7GaUsteEvnN8gqvlTs121p9QXLAgqxN6hW3
KRi/uJF5u46PeW/bJglxsxUMyq9fwI+vnIFQDi8cxyKAG6Mh37yAQad2tuZV9EcUmEp1p7ptymg9
WFG5bTKr322bzK8v+fPDI7HEZqR8O7BR9Nk/vvPES6IiW+3um6tn9BDHVWgj8qPqZsioQ+pH0HHd
yKi3FF+smc+1vU5dcJjS2m7m30wE8UbzwQAE9uZ7guaRCE/8N3cTByZTQTNYX5O0o0c6s5tu0oFy
qRO8ruOcucbdpSXIeRMugSO5K5XayfhYNjoDe7dAoh+DMilpzmHAO+ehnNKq//rrMdtW3l/XCT5H
9gPb3RRwgtXydmuYIxDp1ixfFwhIJoE95jaDZcO4QE0vnaQHbJx8o6uBWevtR9rE498dLAGT6gK3
6cB3pYsI5MdXB5PbD2uv669VoSzULhk6D0joabXpo69kpFDI0C53+ZcyUxXak64pO6HOvpVZgKVt
gi5l08isCf+qSk0xXblLDtvyOwHG2zmG/0Bqz9msILxh/VbmsMgZFrgy8msfORquf+vXihFGYUib
aje3a8vNWV458XeAvmW97v3crNbj3DTRRR9AQ8e70tBdXJUJ9V8UVoGto2FHX2gVD7oMYsomRwYL
p5VjZauoLm0TFHxrDtkACPLr9y9+VJSwU2naLB1oG8Mr8n31ZsdgZlbtVE3NZw8aEia7sWH025Be
g5pzJ4y36R+oJzYVRQEex9+hTmQ7aUS0cd3LPEjdHsdZ/n5Bu293cQ5ZZFsqEIJDg43kzbSAEUTz
l9TN56ZjFcGcgWq6N45I5Hol+3FlOALANPNcUg2sXjgm3dwmOzb8WT/ErYmsMxVaZp67DYq+9VO9
SakWtJBFcMpHtb2eugfSAm/f4K2Hpsty82wKncPr2EWxyXtSRp8XVFdBwi8lqj7z7JfLwruTirIo
opW048HfN2AT/RHUfXt3OSgwUqz25fKBH1vrHPr1kvEVNdoN7jxFWslrHRpV5l+WXldtcwymTkz0
XLUZrrsuhw8virJzqJTjqFzOsYsM6VPlV5H7TEsvmGSeH6PImlDfIOb69dx4u4Uz+h7wFiWD62kl
34qNqCKrWMB9fTai7OkfFsf2aPrmOquLCzm2MxvFr6/4djdyPPYiB2IW/R5n99sr9p3dJ3Mp50+S
5pzJOI/utv05aJiYfnpq0TxBXoKXwMmMQx/feK8SjV/fBrrfH3dF6WlNRYIZzLEdF1Lkx+3ISOgD
+J3yuXSrcpDhUI/K+hOwqWU3Smh1xaGLvDq9n3o/ZsdpElXHh9gfnKkOfc+bCyAi9LBXReTrx0V2
hb+G/Sz09DD4lp3uWmWW+opJBBaeQaVujH6kxbbYqXynh3pKqC4uoiwftpU/YT64w5vmNWso804u
0+nXTyze7Gu+5ICi3OCpeVqJevLHJ851lFRz23vvp7FC1XuA1HCQ+01mm7cuRZZ7TsQMUwOyEGxY
bDy8aAAtmodtVYwZOqPHaNHblHbaFM3MOW1okdgiWwOFeGyLqaH0NmrNWXXRXG7qQ7H6JavTEy3L
6NeP5LzZ2XwqIIRyyOAUb1AI+03R2aJXMnVWOe/9IZGsraGJtxsYLDluS/dlHWOwWbm3KFm2Jc5e
uW0pXdNy0FiJQPAoFrX9qm7zPv9SBJnnnuGMt3FoV9iB26hd+FSayO0R17jU/TG3vE4eG7+bZL9b
OS943N882psqk0cLBBpzwVKxlUu99+PbGiBYvGKs1/eSnpThH7qWqWUKk9Z/DLafwwOsQ92aZ5TR
2/lYWrXghSy6LOL1YEothvgYSGuc31OldgwHzJlk9snJsJtUqRUwxdy5aLbdbWTbPKcObQF4IhUJ
F0yHyOZPqFEFQ4FUhqEYBg+4dafgaFkSSeBk/Ol1fLatMP/y60F4s0Z9ygWqK89RPgJd+6dSV8zG
1aturaep9Gp2h9fy1kn8Zcp3aHDpd35z+G8mhb8WS9slXUlhb3MsoVN7K1G1s5oSslm8p34UzBAo
jIEJxdnP+LhZ49bqEM0WbHqoC4n67VxMUUXJwqbHKM3dUgz3nu5ppuE/XJ/NgAU5PUCR8yngPhb+
sFQcVN9fW9zOFUO5FH7FWmEVba8jzpftRQD2bw1tsGbI82xAB+5EwQqY51zDvP5OnYuV4aeH3w4B
NgmB9fLnjopysEcwAy8MkK6LKBzGXDa7aLaj7BbllduthzbpdOOHgeMEWRJ2XZu2l3YxykWFKPtb
66qLS8u9Aa/1JLAjCok/ECvZ5zkaXb3PvaouvrlZYbqHstYlITwQWPOdOwkbNNLPqkA1KNyk24/H
eVYgt12L4aEOdWmX4lranQj2QPgBkv9lGLsorEFuTRYm1dQhSYuXfGIxTKab1yJcLJW52TFwxOg+
6mJYXairRYzzeGqCORER9VsUA7QnyCqLnWeK2RgEwEzFBhhiBbaEg8r0cQq8GNKxtBbzNOvaSZ9H
t4hhI9zBEbuV/rReMWMMfbAPUmfOdzF8xJk2edi3tT2bqyiobPskZpE4x9jq/cQ+NHlduu9XNcW5
9T4AilmeFrSxw43VD5X1wInhjd9Up3X33nhTXNXIk2qR9O9wQxT5KUrRgR8NgqayDoO8lk6y8+DT
Wv+rKCHSvyX4TKZlz1RZ2z+DccAvscuLuRcZMHPVKn9PH6AKfYpKyMlbtIJWnp+g2GCHkz8Tv5ID
o7wI6XfujZH1xJRGJdU3yTuc74O2D1XlNo13MQZRmhTXlVpyBLvZFA/zdD2rKE5TPBflPKqHqIJ7
udjYzdg/Mle0RIYwmY1vKno/nQMENq4GtUqiDtD2Yo57K0lPc1py2kCHw9Gs+6lJR/WxtkYIogsm
x2xFuxmkFSX22FB1BeGwSn/Rd4XjefwYXn9ppWnB39mBdLkcvI3bfjVjGzjTZaY7GMazWCzL83Zr
pvLRO6FMFmURKnfazkXUuymPE0vFofJliVZM/7tMJYGK79a5mRvvPosssLqjl0vLaS7ycQ386U6j
lUuDsA2Crar2ukEl+bMXR5FlYC+KnpGy1pYt+4Zdu03UlSWjziuuRdqmorjPshli4YAmd+7jwz8l
wtLZbmmdQC6dgx0na9rubTQLnb+vBoSN1Ucnhm1qQT6LAOIl9tt219EHM7KOP6acIDt4qu1LuH9K
lrBtg62md5Oep981Cdy6PmbJvI2YLIacH3WfDNZjVXrblu9OQ+xjyJmHmglg4Ov0aQi6ks81r4+a
ILdk+Npsw6w4S/qIqxWJoMmsQMR5L2JzGqkPoli2ca7cIAO8s0ar41VYFZIs90/UIgEdR5emVFq7
2Rer1+5SP1GjxRt0x3Z8HrJqTCvGy0pMjfbKuGK58TNvu+WUN90gjmFmcQXJX7VfI2vZJpjurO3N
w3LyuyJAujjsp4mIDcQAg9/O3MNENgPP+P15uk7K9ivWhITfKbTH+jFXbhTInTsHAEBh46Fztw/f
Z09k+g199TJrezgo8JfBGJk13e57jRsos+nOHdmr/EZiOLIevw+19frxfw7y6+dACpz8xnOQkHk7
UaHa+Jqnukm7U1rJlYduHUP2GXoLmB/7kQY8roNQvb6o2gDOgpQOK1riCxi0FVBW5GigNIaxsWaU
Jqcs+IjTgLF1gP0ymoIwt9et6I2xQPFLwFa7he54GcG6YQWxr70+U+Kk9Gi7pq70LM6A1Vt3br++
2tfpgUKzYHw0DAo/lFdsD7/oNWGexgJ6j0LCTTS/XGvUVMl7Y6WIh9BxJ3Ib3teJZMZ15C55yO1b
RNpBDdKbeZLZ1Q/JduuvA2qZ2fCHupC16x0sW1V5dgEk6y3NKd4QLfswpzB30/WryL7pZ95vOiFN
/yp0XDF9kFaU28N3E8XuXY9LY/tCZ9p+uFPs86Oo7G05lEZt91+NOk7m92MRF3F6rGKMCI9JK0Us
z3m/emK4kq9zJc36YPBO34ccDUbH7SyvanxOgJqLZ02ac85PAgWj/Z7KLfOnfdNaQ5Xu7D6OuLjK
ElQKKFUasM0CwADI5lWP7tXQWzgyOF/5Xb6OOvOPOcXisl7KoC+W+jy4tV2WuyJwi3IKoz6mz0co
PvL5BN0GPygaVXFbtiP/XXFF6M/KngVQUYvrqbid0F4ACsxdxtVFAmL/rKtooQuIVrPNffQlesPv
JYwHSvQuKUb/UJQcseVhsSo4K6gdjqrlEyr/jP0Gz0Wd5+fvxhvIwKTLjmNS0O/+sbo9KXfnJksY
jpN8WTNt7ReMeo8wMzLPMvHreXiPgjSZ9Rn5zvboSxD3DJFELpfzRHk89+qgjb0J+QfINP5OLM02
a8Crtin+ip/6fT7zr8XobM87pKnDj44JzufbFCjUCtPCgCsHrpNXQQhkseryRkLG8QmNUoNJPamx
B1F7BVmMUAXmjbHCwuFcxFFr+A7zCr1FtOWghq1yc/BSXBS0vmVJ71TthgJgQl3Bg27raXDnFLtS
nPsDW6XUEXzdbQ+VwzDT622DN6Zygwqc0c9xLWUFHCHE01rwlJ9myrPIupyjvuvS20BmG0iJPYTt
x8sjqREmAGOt0WGJMlT4Rz03quj3QBdCu+jjaXA/u7EUtOQchhuqbyzX8FTo27Zjo1TRNuaoIwST
73UkswFh1q1M7RSDCnxLGXnvcjPO1mNHMQ2qYJDy6M/st8wva24MI5C59vYMmDQsNn/ayw2lKtCN
bFhAUNZz81kHa9KKr+5S6OJW67ZZ0Yw5aDGsfyAPzpYIEimQhQr7Avzb2vmF8LpnEMk5H57suM3i
GD/HKpPlYfaobdpvwZROLXajCIMKHg4MQ2WwsxzT58/GHR23DkdOB3Q1A5ZaakrPU+h1R2Z5mQXO
buKXKHNCb8bDt+y/P8nru2wb1N4Ktb/cLEPRi6fnu+koQGHJrKP63xZv2pfbJ9COMmZR9uIcUsK2
+AQSt+2DkQSdKA907hu3kRZRw1KOqRajWzOsojkgZNvoPu5q+5vvU/a7mUh521+94uHbdmrFu25Z
O9h64XS2fz8mXjzX4WxXoOfuaqLAuZjbalvlsWU2OLDHUccPl7JsuMB6w/x2bfiHW3DL7c7zFx9M
8Hoh1QUcaRCmvOzXjq1KM+NtcnBEGu/y1w0Lne/2za0vNjDaKtoNhOw73bnuvozLto5CZN+IlMZX
JmuY8TtOl6kTb2Vc4i5cw5uK7bbGlwVn1TnnCMLtF7dO42yGzD2KqG1OepFx8jRUSQ/beEiyYjNU
vQ4IOPC26eW+3lxYbi+s7CpxZOH5vwG+3jT0YDnsD8xgdBBwdT/ByskAhwBe7Twmda25ay+OF1bD
XLPNtpa7raDilTOb0na791/30huO+hcWYLs89BzazNdwvbc4KzaS2pp7D6jqdWvMwIC38YfdKUha
+5dz9z8QZG+AJlaTjRGCawFZ8V+9tfV/sXnOft4iihHVP+eInS91vWubyHXvvADOih1ZJxs9OaYZ
b7hGrsg6+b45/vpefoQQlG0zf3wBJ6k9SfaTdH68l2iSDvBtFj9uzKn+nCqx1eNoCjx5MDWl8+/G
+ecLYpEEONB+4AAuBm9wxTzpbFGUdvTwKrSLc078C+/FTvh9Zf/6AcUG2/37xW5PCHZrKw8jgYNb
/y2QuRSZG1dDoR++7xgzuniW0opYXanj4vY+DpwmMt27cUa/vi/HatvPX2ylVm9czqPf3NGPM507
opXyAw4v3Chw829psTWwrdlbZftQvC6qmbqONb6MaE/aY+pPKa8AQnplZQaSw4HSwkq2G0Gk0I7k
J7R09keFa0VxlGOxW7FHNi0fB5iMxG26SvrJ3fzKZzWv2+yvH+Lta+TFuTapETAm5IL5b1lWzt12
cBZruk36fNuZzEsh1PSqGt+tlj+65OD9as38p+spwizs7X9a6zfgrLdQjTi+Pd5+P/aWOEGvbNfs
rDVewjT+W9CasoH8BekaLAx8xkQIvqFdJHYKUU1pxnGzWU0pkre34eUF66Lq2+3A+PUD/rj/gM8G
0E8uKxDnvgui+QbPRCy6pB3im7NXWV2udihIPPlZdyyY3y3Bny/Fq0OEQC4inb739tnKyCnXMdbx
+bUUmRToCPPIaTch+MtT/a00h/8WwvDXDIb/q8iH/3dpDj/kDv01zUGCEjKF/zXDf8p3+Utu57+z
HL7/q+9pDj5xe1QEQNtE9/Bl3wNeAvt/JBs2MX2+8LYgBUD/71EOkpQl9vPtvW65vGJjMrGNv+S8
uP/DEUeuskdsli85g/5OmgNSqB931U1eQUQAM1UAZhHF9Wa6epRHVjKr6gJsvRfY+Lwozia0wfPs
hEPJmRNCSznz9eCs667s23Uv+kWegHi8M4xgSiES9RTkbNy3fevqpyW38wOSCbIXYt1DfHXyUMZ6
+QhF1Lb7VSr5JYgrceE0dkHYi5p3LXKCgxd53zBfDBdwDfFJEUWDpydvdyLKk50xw3haJ9tG5i6p
VQ2k8lEl6O4KEkyKMFvrj27T+l+QAZUXuFLM0U71cew9b28jB9pNWDruRBf55wrbzpOTyCnF1ekO
cSgdXX9MxNienMkyl/1UIGeOIZi+Rj5e33Ap0cuGZRfHN3WHdCzPBv96yYz9MM6ds68K7900iuCG
IJd275dx/LlIetIWEO2fjTdO+zxtozBCDn/qvKg6z6m7g/ha39VN7V10lVMdtZWvoRkncVd5wWVc
5XtVL/m95UdWiHI4h1ya6S03re+Yt+qxs2V1mFvXxqHgunT4S38x9sbCGGjEpZsn1mXRV80hd1qz
S6zM7Ht8xTetRlhywA9uYQSbxyeRNu6BFtC7hpJVJ7cR5ZGiXPGtvXnXTE5/46VWFOaj86SXcvlj
zUd96GcQ8cjL+3cGUXw4A6Ef9VjTFDTL+uCmmfd1JFCnqdbPaFL7k2hkdh6n2DnBkEfPk5/WxyyL
9Dc47Hy9GVcnu4khjsPCb5ZkBxtdHvyymPZAUUgi0bMdW41aF3bLOVB7OiHsJG6QtQu+YveY/xHP
a3A0drX4uzbarARUErR6c19cr1nzPqFQRmBcr18stGUyrIyyb6iipyv4SyesS5uXnAZJc2hiH77D
ifx9YnL/MrJ1dSfFVN8Us3gPr9YM2LHd9uyPdU62T2tdgh5Pd07ZBVduS/pR2BQu0teU9s47j9aY
rkd8qAYbCnrGfGfGZb7UqTlC5QE+GTQp1AeNv3NEGydhWzvlBi1lGHvBLUPHHe1qVzhjuad6mJx9
1sbeviddhE3elPeWpc6BavMwoe2+6bTzpS5aL7pu8fMkV40oPmj0OhAQ6hRZvrAusE+g3joVg8xy
L5yCuQr+MPTE6SEG07gz09Lf96Pjl38ElYzMtVuN+B+G8b1qFnnf+WgSxgOK4Cc36rND0I3iEBc4
L2dylUrkC32x7ptENw8NMEk279J1is+N6+XdewcvQr7slZ1XQ7KvNDzXZQUA1Vv7UmWOfcdGybiX
2EyPkc4q3R3qOLI/GbSe5GE0Vnzbrl7pfbARi7XdoYeue1ctwRh9y6IWU2VqgpAdLkyEayH6GetH
Zq7KQx/4Dxi4c0W+W6YCdtoeguyrh6bZOvvVZNcXqi5mK6z9ccz3E8IcXLFEJ7k3c1wSd4Xb6Qsc
pWCm2KuIgYIGG3k+EtT7avDcb6srh/zkRMvUnMmX8ar9ZKUBKKuIouBQKZICQlPEHa7GxRZPMjZI
efBtxZQ9c5MiqHS54pBHxBk4QV8mtIVphokSAXR95/mrU+sdoGAihyt4DWXv63qyMEcvSENt9MJ3
y6SXI6JV/mgXUxZ2ijHeaWzPTwVRAVedtvouzGtMnARABDMAhNQ3VeC2F3kasO4XFe1VXrjQxqP0
TjgPklPlTf6pxt9xXznFtYnhTcIOve71kqjkKoIQOQJH0YgWW4x5SI3VtPsR10I4ZNq59L3upKwq
29Zqxv4V6/RAyoO0jrYHeouVNDtopzeYz2YKYm1V1a2XjPWDP3nwr7qdPqkscvBvyuAKukOG9LJi
ny9ufAIcMojfzVjYYYmk/w+kSl85o7pbSE99nD0cgemUYllx7NZ+jI2Ijoud+e8Vjf0717UiDoeq
uCgwmN/VqBiOhbXal1NlR38YR6v7FQ8uLWR8wdYZndGq2R9zT6R7jMr+JxBLeLohcppzptrlyjOe
uXGV44dxu+R7tLrZZxprcanaGtt3vBwHq8LIMtgmI7cmEU2YTZIgijUy9zrIMhxQwanHhAD/VQ8X
q57GE4I5c1JTqdowIwBhh39s2s1FndyhjcWq2i2Of5VikTkgt0Ne3BGRMHN9ul5ExI5IN19ihEl/
jefdZJL84GZBfEKT5R+bPp+KUMxuwtZo3I/g/h1nIQq/L5PvDDfCM+LPaXTqoxpQruciEmfdt/KD
tXA9J8Db1Yg+PmZpg4ONluw2t+f2eWQd3oy0Kvek3gfXUN2YZJIqw9K7wCxLrB15rcxOOYU+F2b6
jG0nvV6J5/gQ1aN9i5U64Et6TSVQGmxnfm1j7JT2bb8k5bBLWfn3igyPEw1p98X3ql3b63wvFzO8
63q1YJEpfX1RBn3wbsMTr0SW11/hlQhFWEr7kK+1fZHY8YeoqzQMQ2lTPHj4Vq1VHrDWdX4ILvdx
qSL74OI1vFFpal9Jq99y07q43S+WbPauSNwsXMTw3kK2A7nYx30fut5yQLWPFWdadIAmxvZwKuAQ
DquYPJ+2RIOnQ8xvIubb7Nk3klCXEW/uvo5S9cVZ8M0vbpKZ0LMzdgIUU3jwq2njDx4l4HjMkReX
pLA99Xpt0nd/v77//zit7b/W96xDTd393+v7t/8PMS9Rba//6Ht5T+6ar+hZPd8VeCwxOvyrxPdI
QNeorpAi6Q0U0yBI/8xwVKR1kldPE+xBLVNC/6vEJ+2eBE+56WLAzjET/a0oxzcNN7plNj1PScQe
KgAae9Nwi4mt1Lbj+gI3MNh6XsXqTnZzc4sIwN//ZWj+AyD2o6iEXvdFHwwQ5RHQCJrwppmYehv/
pC+qCw/jza2ZVnGbjTJ4XhmB67Y1weHX19u+7y+Q0HY9lCtoxXAEOMFPuuTOIqSu8W2uV+JABthF
lx1mixGELhJSiSRVywOWN4GYIXWefn3xN+jPdnFWMRlvJIR5/k/Cpday+6WGfLkw3TB8K4sSiXyB
1+t6FWZ5WCITPEeO/btH/g9DrBgtzjGi3SCFmTZ/xRyHfsi62ffKi64Uy31eJMO3ifQRg3+tW+5j
e/3bFySYdAM5uSJKdPVWVJvZ5FA5BHmdEyuqrzy/8fdrMgR4i6T1GQ5Vf/r1sIqfxtUj5lb7QIpA
U4FDg/vDE669sE1MNXWmpaC2HXXUO3fGtBRd/oyGkW0zFfi5KneDG8VDO6nquaIemXeJzk21xcZ4
D8PqOGPYwVERd9Mk/bVYguXj6vi/mQU08m8noafQ9LL2adYDFvub+604UuOsHMYzJG3sPlmlo6Kr
Pi5saN+6paRtYzFfkpizFjEUrhJPrMH1wcJodiZeTuvLtEcf+VJnxhJmIEz0ZrdAlY2sktijWyK+
yuQSJXABd9JN4rZ0SB8gBUEZsR+dnkrS6lLSt1bHcLyrRdziRrO6w+jZ9RWRisuDGIhmjdKAk8V0
U62++pNsVlQCZpkOdNlOdtVJtdxrdgm9B7rMg3NmT9aHrEgCMN7NEXzRRRlKRJxqqxXXoUPunfiT
WbqkcSjSNFtuBjeY3HdLtc7XlZ0UhIOoDOV74LpO+LIRdGvJOl2mfrm35mG5D/KWjKIlaptPY+Y0
nwyN7YWGeW2p1afmk1/K6d7ueyrmoDVsX5RxGFJFp76g9V8e6q6gLi+nqPkkk2F5sFpLPKlh9Pep
4VRFI+5UF9UaLJ80prtxp11BklgfqeVhdDuetMld2O2i54JE1UXPDpb7bj/6s/pSjIyjT090j81Y
PI0BL834bfA8w21+0ZZeHtK4Dw4Qskoe1zodfAJcraShBoiWh9e5mmSxHHeJTOfxJs2X/luR1VYa
Ui42n5wVFempnxF94x7E4UVYbZSWF/B5bTnQhwb+eBhIPfuQkGXw7Dfsp/sB6c5yKFeXeTJV2v1S
937zKYmx7MZtGVwHdMXPTUF4QehWKTMDKsbaUYXWV5298vrllso7jmsz7ycNWbRjdTefliWDLI/r
3MDrvrRAxOtIjPoUeSFZajzrjDUy9OO6O7+Mv7sMivga36V8BWQJfCvpdy0OgNuXz+DwrXblamfs
GyY5Wzzru8Qbpv0cB8FxbCGodsm2PDTim+ZMiFcUXYkej9Fu6mcCDdvFDx4k+G6HZhlwF4dq4dvZ
7UBGUqNCv4Tsf2x0ZaPmjuolmo6kcaxhJC3+QVWkwr6YxeBNC1WTVSWXPVFD1mm1UffuWyTs0QP+
Q1WECbEsTVglCGmvHVi+T/Dk87eJlCAK7qw36f28Ws78oWf4k1NfVdOpdxAYh8bO69BCAkH4C5wb
ikfFOPdPjYwStA4rGEkVrEhTC/CtdrlAfuEipc3krSLUcDdN8zkK1uVqiOvlSaNR2SVNhOEX7dOt
Sy7VDjOb+NjbTktPvZIwuS7iztLJ8DAnbU/HGE3q8wCl7jK/EHfs4iBdriZiHs+uX8dlONpOTa1Z
m1u/G+NvmAXFrcaVelmlib5t7CqICHxw12tRzWUcMneBlwxRR6eqMcO3IKX13hN8E6d7Jndw6UYo
OveEapB6KTwvepYVCr69sNz3+IFoubr2SyVIccoKcPFzi8Jg4oNyq2bx7BOSl6v+WyL4A93GuDxw
zDGXnahK0rO2Ik5p06WntR+aT0oMW+udEPfgxX6p0PlMy4NZkuh5IUXjtnFF82ntN+8hquEvS+3H
z5nSbJi1kz9lpEZ8yDpExIhKFdpzG6VJCmR/4TcBMvUgiAiXmP36SeMiNmlWgapYbnwUsvTVpSJj
NPhg+kZ8LjvLMhcGEse/kLh75bwTTb8cZYdq9lI7Un418aQ0fVB++e+kq67PkgsENE9ekrT/J2lX
yDa9R4D/3COOZ75QcrQmQKBW/BB7BXR4txBnMx5hrzGO/Jh/5a5OS3dTuOp7/lXlWe5XQsL4fMOJ
1b1H3udEXwN/TjsUck1UH41f0584cT6CUcIIXZdFOjJ0ZQSIQcbpx9Xz63PqVv6dl0h7n7GqTiQL
dvluxWL+CZUqtUgzKP9azqm1y8XEa0Ud2B3SAuvygZSpuLvt/H69WGXm3xIzGjx3pAZhji10/80u
suBaRehBw1wbJk07MlP62Pb30MjbVBrjCng2qcUtcCJ7Kdgge3oW8D0TgVQnPSTBdT/zanYFKnec
9WPGPQGkzCF4J79I8oopuMg4uNZFQ1Bq7OTs92QEnddkYh+cFD3dCYORf41nBAsXQaFgzBwm5Y7/
05DlHo8xa0nNbXHyVs5xctvTE4iZ+8WsGRv+yxYInEF4CyqEberPdpHcE0iMsZ9gEfd6Hkf7hEYM
bLAbrP5bJUm+CoXsOPkd06ovXsH52KMJmAHI0qLbo6Iskn1B2iIVw0qLcnq9LYElsTi1SUYlEVkW
x5dHvORVW3TdeVrH5X6YqH1LggwOwhTVeunMjq5IKVxLd7lBCubInd0F9afZaZvkzlETd52WDc86
T4ZLVl26eg8uqRE9p4VGWFUidIxbYPfZtyeEi/Hi6ssxJxBvR7zP+hhZtfqkE8HGunZWdj033UIq
7H9MPHPphHv2RU88FrVlXzZjYv1j6NrglIxzsITcM1VOannBs7PMTAu/6DjJ22AAS0OW3aBfW6r8
2BHpZbiTdBtRXOfkZ6qVY31sfMWB2bFVPUbbG80yAhnNWDLjCjLIbhFI0jUMjrHJbVN9s2Um+Sqy
n4W1YptnnCgtH7FQW+MjQFuhm106J3HiPxQ56k2OqobMM4It4nZNj2ueWrEg4YtqOT7hKFMIiyg3
ChtF/f+yd2bbcRvZtv0i1EAT6F4TyJZ9kpIovWCIkoi+DSDQfP2ZkO0qK6USr8/rPX7QcJVFIhNN
YMfea82VInbOg6go0xCZB04FB94YBBtqENdM9FMOCuLWKnsVoPbEYAoRMpwwUJyKbGluuPztufZY
WXKV0KfQ/PSkAfZijJHw6sF+cmBqYcCBc+loDaPN92idkK4W1DiXDjW2bDoR1kPssaRbXTzswMIb
gAUM6A4MZ441YkrcMIVxroDA1hvKkI5mFd0hI6ci6Z0yf0W0aO88VUcHn0Ym1ItWgfCqJd1eUb1W
XfuqFfOdP4nxyH1NYQC97M7vG/3OLmcVKr0MHDmXh2mwwR2DZHqcgMXsMl6i9LcTuEmoJ4Tei5vJ
HKoHrjbv5WoqTrz5yr0ocyYimtUHXulsY7+4GXJwbsyw5jt9buJ3jeYMH7vatG5rVWZ1YMU6BeTU
7gu/QLmm7q3SOFP5QcQA8vBqO5F9sgCVpCkEDj8Dg1UBrmBMxNDkm906XBCB1x3rrY3wDlGBXqAg
mjXVBBpvYLmZB7WuIInOCsH7itWwz+qroTW1I8qEtrmR+dp0LhNWm9TpuCMXFXHto4kp0f2cY6QO
FGV3+Ptt1Lrr+GFr7NGIcJnquyaqXNSeP+6imBZkPm+85tDY34t+hV5y062F7++P89Puh+yK1Xhr
oLpAD3OpyoAR2w9Z3TeHooIfthmYgz61stPgBUCtvnJWqNXp+3L4++P+tPXnuIgIbCQEcBHYKf74
/diSF1ZWT81hygrnc6/hUCnlVEx0f9HWb+uyms+Ok7AWt2qtcn9/9B+VPzQ6+MdnNov4xeFDXJr7
ZpnRPQFNd0D+zwYEQKP5hA28vspcyWrfxw1/6k3HtmStvPHlsbh//wj/aCL//2XHDkv1bzt2f4UB
/2ccb/7xI39lrhjOv+hlMK8w/T/SEv7dr2Mb/6+1hQXp+3vkyt/7dc6/THZc6+Ad0RcaUPpsf47k
hUGGFaAEhviOwPqt+/9kJM90+cdHl9p4fWxtE3eWhajIvHh0czkQ/DH46X2GCgj+hmXoE06+OEfK
HjWC0abTdnJfF3rV7ZgxGb69GQEaBnmk6nG6bS0IThs3p3lCdZb31jnxMF1PH7AZabkeOHlX4kqp
8kO8VPp43xet/pUh6Agh0ZVV6gWdkXhIrQejZipZJ2buqX3ti3iL8yk7lVllvFpUYfhxVhuOtj5f
k+PFJzcXLaEB8RJMvVucbSgke8ZdS2j5hX6HowugOcaLAbsR/YScsVjTQRuxhPYO1fQLpglWWJvh
dGX57q2TqPSYLkt2PeUiPbrsGT6N2WBuhd4ALKWJn5w718uTUNbTfK8GBJ1hY45lt7UavvHGG5Ye
ZGVbNCFVf3LVRjlsPQjyfTw6L9hd+ndSOUl2a6OACmXauHdpp/MynlOgG0HhzIioqeDZyfkTEFmp
9+n86No9ux6uxPwczXW10XRfDbx0o/gRdEiErB6zFeUwH/+Y4kW9WsZpeuYFY9h7R0z6MWZmvPUd
rLcBOu3S2LnELcQbN7WaD3M3oZZFvysDzyXmRpOVzi7T9pohIGnAI6tmdIFMFYJbIltSsnHcKZFL
mNlSdqFTuPPHHh23c883ATYJiq6cQhBWU5jqg7WVOhVUqWXJq9sVVONxmh8kNoTdGINTtdt0CIc6
cR/aRUDnrZI8DtEV1sxTyu401yLa6GVrPIBSHbeA7ag4hTsjHe9s5+uIsyIkUmbA82fAJE3mukxA
CuMTwjJbac21iAFp3OjVgPn6ZNJ68ZrAt+GKeltOhGiCUiVVcy/yNqmPS5UaYqNb6RxXmwStQLcZ
SknlHOUYbDDC0X/GXWUICyHtwtl7YBSzUnIM5QKeqNIxdLXJb95T2LsAKWqp07n0HYioekJDyZqm
FbFjIqo44Ybs2Aw0cfK1bN25CYBeMiHH6lxq14rsHgnAfIJEqnnptWK6euVE1fjZLBl2w4kah+1M
vTwfp3imFJPw4YBi4gZJDnNWmPUBvEbBYNSYeyMYQTL3B70rXRwUaXqfTjSMg6RV0CLrDqbIvkZ3
gqu3mVPwRlk9jEETNUpdg0sbgKtqwgrqhKsJVahURqAjNFs2mVb58T39kFQGXTmU7s2Elu+2kPaq
9naHMImteOaOE0wSM5c2bqG56a1W14XaKYbPyYZXvNOFZeGNzyYh9hiepjY+reCqZeqz5cEftC/a
4lc8U5pTT4EHMoB8I5A3y66HWwHeEWbM8xTVuth480A80uKZ9Z44gg7yub7uvYh76fsDK9H8CHBw
qo+YnqmJ0qLAYVXoiTke3SyyjlbddK8jrQV7oGa3Ulvi4MlNZuxjDkyKXuQ8hV6jGcATpH6zoDl9
AL/E8wi1KMOpHbOa2egncIe0GWRZyztlmjeDUB21abqeDBKqXAvSW8iR8r3nRXJbGPE6OuZa1bu4
WbIQL6j1oDWzrnYWRo2Qca15VTuVv7W8TPO3WooZFFfZZDw1C1A63SpMrnMu4uyla13g7HqvvcOA
pj5KfQK119VC8KxBWQopMBFGGQ5Kc6RFIigwnsutk8i4u+IvCJCMWkMdhZWHKe7G8RYqKSE1G4TC
zMSn0VE9kSkTTgPIVZPAl3hjO128zuIbddDazqq3UV+OkNVrmNPiBkz74G0gLhRPxhxb79W4fBDc
wj3C/ImCBe+meXC80X1w7NQI4z6aw95MCOPwKyCb1dKb20LD8BhAsZ/OVSTFbVGadNiBAJbGzdjV
9c3SL06299oa3Fo/PcfThNIFhA6bOFK5Co/Gl96z+1TZNNyUgN5ul9mQZ2p1hDM176/4wZjYgtIx
FsW8zIfScnvXhvcLsjo6wYYcvVvh5cbu/+qp70F4v0yF/E9xhCR2FS7/9wnoFX93+JLPf5dF/vlD
/xE4Ikf8Q/BvowX/dz1FAjSyP8pzE7k7Q9J1ePSXxHGN7DYJO9PZMzimQdH0Vz2F+pHqy7d8G3e2
8139+Fdc158zyN9F2Rk/7YRM3UBjySB1DUMyL8spEBFJ5y1RfFIEViWBZRnuw2ggEIR/0+/TFsGd
0l8ywKHHphW8/cHB+WfFXvjAXa32Vmu0e978uv7GJgIL4Y+VHuJLTomtU+M5DJD0yyytCRGTnZto
FqhtmvrO93P9zlsc9ErZd+2SsaqYvuuZUhzgfWz5G61RMgC0je7JqyrjQTJkRg7VfNdGLatMCuMQ
iimcrsbHEowzQipoFctuUY7Gmv9da1X+IbwSTq95rKfREoo/dFl41FeVFo5CJFvJqt6q/1By+XbR
nlkiEXgJfCTlRsMWdqKvDMPdnLPt1PlP7R/6MH/0rPvFcAbM3uRwjF2L/84vTKZfkKLalxL08ZmI
mTrbKEHERUDSII17L2duxYvITIpTb9VFvkvVDK+cuZF4qFoZ5mM87qqOBnAUa3vINd2pjTNjPwyW
/AJtqsPoaU+hk8krI65PGFjlk1ul073hT/PeJcDjijwFBbhSaWHqLi1AGj9zbluSr66rONmBvyYp
DLVgfYZC/VG3MsievAfrcGHO+mxGRIwAlbLHG8Zf2sMy5P4EKnmWGC3VdB27y6MOe/muY0C5mXhP
AkYdEXzsvJy+K7rUbAOgWCL0JzQBtC8C1TOAi+YMC8uiuvPKexsYcaICuss4ZqtCWu+yuEOBamjp
OgIFKxuZu9YvxqdZ1yfqM6s6Tk5j70HrVLvG7ZM8MDpnCCT2WGzLrnGYrKjZuiAl8QfrBFboTX0U
S08fu42dB856e+WxIyAcp9BPsWH5Jx8f2Ckx9CIOo0ovnpvekE+g4LLXdgS9FeSD1jwyTVhurcqc
ri2lA1CGvLljQLC2dPj2nan6oIBItjXTunc2nHexW5DMIcXJm+Rzzm2P7rabqK/zbkMk2njWXTXe
kqumruxRIjMUqb8XbVJse42hrjmmGFlwhZ1pA3W7QV+QgXYoRMOCSirajciX52BphfNs80sCbWID
AL122FKqGp/NOEtA/8/zN5OW001bJgI+5dQdRCPUGPRZ5nyU5rzgQGPqcsQDm3Uh6NoZ6XHvVvNe
wVqj1qbKRlXWli7RAH5LK0i3/Dlc/bDLxpGR9mRPUnc3Qiv6oz91xpXfwKLaTpzHo3KXThJSR8oB
e7nqikEGZ08MEZkuKttmUiU74P4kAFTw3b6UoxgdLHBj97SMTXUNXxCgb7O0+Y2NNG5n1X4UmF66
Pl2J1woivUSk9gpeRxGavT8SY6Gn9t7NIb/ndPthPi0vrlomyB5SHH0nqzepM/slci7o5KyE40eV
gLPbNJ4zI61je4jiLkWJFMRjNZLMR37dpypyieuwW7D2mxoRiKJj2YjjZCzInxiGu9nGUH1SXoMP
7AnmmQl1qWOHYCDJIlIGWeQVdzbeMKDgaWzeyUKMDw5jbSR9VcK8bq5kcccbvoHf6VEUj7WqNXS0
RoNBuFucW/BSEuSYX9Bvopn6Puqr9pwOVl9vp8K0biLchtda29cydC26j6mX1U9ubWpFaAypCPWa
/+5wj/rbzpiZrC92dzNC1b5fmRbvqEmqJ8+mVI9npLdlM+ZblmcWX1vm+ZcsRs+H9T6tctTAnUOT
fi605wZh5xigcPfPpjV66ZZkmJiL0mD12wm99L8xPWpPgFHHjzFc3YBprmIur9rDVDfhokF33MRs
vg6Q25VOXzURV4mvsp07qu6RVAHoHxFUgwcDQ9sHupvpmbzU0jhIIrjuhYBRAWSuz2EWuYn8VM86
IWfCqFgdOnYh28gZ8s9J67cGhf6kbnqvhPCENmEFUluriD6f++ROm3oN+bmSHK6Ie/XK+u6ffUwC
u9Z15CdHI7GKWaOOPJi1eZcxxjl2DGO37UhHl7VhOmbYbZ9Vrgz+4KZjnechB/IKmoxEHqR9S6IF
hLaA0UZC6V4bse2zAZ5Ntou6NNoTGHASXLH0D1c9mqbvl+2geYSv6B1M9oGZqqkMdysT50tm6WM4
euwemRlb71OjJwaucd17DLwGRy2/mK30uRHt3LpDw32NTpElxy6uY1j2X9iwHn13KDeODS88NkoI
sDo6x4ZR0e1s1+5e1FrDDxBOcVfxoAsyBLzx1h7W7bU5mGGZzOZmAO27ST1d+wRDqn3oTGu6EnYr
igCQSPWRJr76oqxCXuWY+UMGXtN+rUteCi2vv3CX2nAWZhdksMhc5W2JBkvI2VBE0vI67a4srwXF
Q4gjtBlDLq7YDjPjiZBmh4/4oNPWRLRl0N87Gd2Jbeu0+Yvo3Tjfzn5lMQMXyEGZ1oEzZo7ek3Hl
Je74ma13seybPGWKPSi9+5hK8B2UcFyu5LMmMnWn6SI/zzo0iCmy91mGZ3Vric5dgorIkBuZjuwf
ENmZd+zLxZESq/4EwL7f9YNWhjW4DtonbPvpYlhZ9cmClczvTNVXk/yrLbxAaDZu0pU3XiuNa8ly
xlMkAT3H9LBxI6c6UMkCfDQ3iGvmn8H5fJQYtkME4BDyx8xvTiBENIDxo6eJjUUnJgmGIhqrrVa3
JdNyvb+ts2ymb2akj1OhdCt0pGEBMS5MDY+IPMeMWzcURfYN9LMkJKrFNK9Thil2iNGEzB5Y1ihf
7JIeGM0UFcIQdr9ALWlfgBA3TJwWzT+5Qo5rgWmb3Zb9jL9lY9+LTQc1+ehlSN43fj0417hqFgH2
vBjMzaQt9CbcLFPXsIWZl42sI1nQ4VC2YRdk3Qczo8HygGC4FPuBl/4DTy1WeZ17INr6deGcVNbx
JqDBRJAqoSu4s6cxSiJerYL6C0CE9zhNhgjr1tVQqmazc+V1OQtt4lvN3qsJWL3pkjmfApb28naN
GH7fmX57NqzR/dRGXravnbjrN9DytS/CwGLvQamq9vT5pxXnV2KqSIyFV0bLzHPP7NC4N1Gqliev
Sf27eHCbV/aWgpaaHutHNBDE+1WriF1aUC7YwH4Xtzt/SN3/b1v3/7Stw8mCNvC/b+t2RU0Ezucf
dnV//Mxfuzr9X/wKhhs6bW3sW6s/7U/rmuf+C2yYg0LPWHdulsuW7699nUEOOX4yn6403jnXYjv2
Z598ba6bWNewYzq43hz/H+laLwdAvmPRKBcGczf+FevPjwOgeJz0xWvq4cAaHFNsIpeGK24y+xcD
CBBKta66zh3YOaGfvDle4wv+fbxGa57Nm0cIMlpXtryXO7e2jReSQad+Pw6mIjWDYaSRmkXIEl4e
/nZZ/tzQ/h3D/MtDYfbTEbmyVb/EtHZWpgyjtPu9MFDH0F+CByMxK1me0Yb//FCcyhULa3DRL4d5
i4FYbBaiJ1sVyf5kLW2ItjUnecN9C5N7sfX9fgKRJOuMDLkpwBv+ePkmBXOtsDmBfkrLXM3mA3kl
zitWljCuoixwsYpA+aeR3uiifmPnfdES+PPgyKLXu5jxyDqB+Ztxv0dGFFlN34PrFs4GnEayrQzR
/jOrM0cBuWlAoQS2B/P10lotY8+Sqo2GfQcoBuSCiVxqY0+tq7ZZUyKv+P3Fu5jEfj/canVG0o6B
2rnUodrMOSl4sEnGM2/kJO++uZb5yui13GDUp2Gd/TmC/K+A8J9PI69B0zeZh9Kp0S9nzFGSZxQn
9bDPdNvm5eEXXCy/3v7+e12Mw75/L5NWETsH3Ye0sD4ff7tY7I8oFNp82Fs0BJj0a9eA5e5mOj2o
QVGG/f5ovzqLfz/axa2B3jxugdoNe0+NBsJC0jQU0odmbQ3Uvt9vujx/+f0hL+ie9vdviGQeJCG0
WG7Ii6VsTnKariOPnZE4aB9qUbyPiR49kufkoYKO83Boz66asTcWQn51et07NbZ1GOKuJnfTV8Sw
mSN1htt8mSZLw0Ik/I3JbvxxTRImvysOjLxd3liYLjtr6+eGuO3SXrNXF/rlHefJGOkV/Pc96laR
s+kdmZlMk6225NGutBdyXxugRSF2Q4xDxSQ+UbagPjUI+nLxFgVxE/t3ABbiN54F+xe3JuYJA9Pg
Sk0FrvnjTZP5YI8p8fs9qHIUhokdph1JMa3n9AwEY/kOGBURh6NDWmZdLNUJGl53LSNo/mE59QgU
18mBkAR4kdGxsYwmohnCULQy4/kqHszu1nQW7cikFjAyITIhQQ8QHXvUtwPCt/c9IXqBb6Vw6YTm
7uB/YrGyOm+Lqv3U5zQCCCkagj6yfaCYkHhF/m4YPXmbi9liP7agaLIGYm60/q723eXQ0rIiZpik
kAn5yLVO9NQHrWvVPqtybWX9vOazde5JgSDxJs4PzBT7O35ztfv93frzA4KThcKApx7ZxU8GBJK+
bFpg60WXya2WDwm8Ov1opNMT89dmOwxkQv8vjmizWONgIY3gMs3e7yZF7F3e77soOhoANhjTYFAV
15jeUCn6zvPvj/fzC9ezcde70MBWC8Jlw1jGvgLLPvR7xivNxlQomWJaQVvP7N6i3/58m2Lip/mr
oyvQIUZc3KbxYKtsVDVvQU/ZV7XWGsd6HNw3TuAvj4JWhTLFYvdx6RkB0qKVPWCoveZ0OkpP19cO
QOa8+9+fN4OC8KIo4tugBsK74aKusC/WMZRvtH0bX+7ZbtRhbchsh2scG78E6ollGOakxY2v45M4
dd6Hzoz3tcjTt5Yl6xcfgxKGxjd4BeMn/nPb1mTSKpdQ9Klwccn7xS4as34nxh5tg0VWwdHAObzt
9PpbUY/uOe+zcR/burqBZm+dwGi8CXD+5WdaFSLAG3xq1ovXSiw0jZgjS+4JEKqOemdvfZ02Pw3N
9jaSDPcTd2g+FjaPMoSo+W5Y01iAKACO8ao6dKviW0HT5jb3pnBZxk9DRr5Jm/bN4wweEsFtah9s
2HynaiZiV+/fKi7MX34B4PXAhQg1QADz44IaGZ1fzt7ISU3mc9y5zW4YRfwuYRULGiadYYRvJyhd
p+eN1ZUn0gs+e6n7hJ/FPw5NFAVkp6ltotf+Q43P9ckTy7fFjuA0e4m/G5t4Dsc803hX9AVATOK2
3rg7V9nM3xRxvK2YAf3tG1zcnWPPbCOuZ7mftSw+Yc+qTr2NoB2xeNijltiwFyWoOtOZPc+Ktg2Z
a7//CNavT6K3ytYY/eAd+/EkejNryWwPcs0k7UlbRGf6Qll1T+OgYhihf2UWP31APZF8kSuqT8VB
VptJSBg6uXex3Jm6rMMOFRI9KGMsUY0OTYBWR99PNvFnDNiNb3NlGCyV7qNr0bcE9BzSsvvAprs7
GMrWrzXbKA5LXX92lf7ozByI/NwhaEYfWMfvv/DPpZuHPI4BIBUCg7xLKBWeaBqBGQtCmxUfqmjv
qqwItQUFfr3Y1ht14i+WbYSONjtPSNrUihc7ClnQU+9YdPZNXL36RKTw1sYML5jEvHGk9Tdd3Ekc
CQEgxiUHOdjFw0y+3EDUm82d1MVPZLXGuKQW5J+4cgivnnOmVjrDthMU/LfoQr94+zo4HlfIFy8m
Cu8f76A+TluSZnW5HxD6RL13P7ntGVXxa+H2L2x5nfD3V/B77fnTd2Vy6RlEKDCsvHhqyM2UU5py
y7INr86DRd0zR1Y406kPIKx/06PyCcvAFMZzQ3EjPNSsKBhCnWrl9x/llzcThk/eLJYrfpLFpUOv
7ETx/OLb6EO9cZ2NoEvKiK6OAzvJXn9/uF+8NJ0Vjr4CvvB5Xq7YKD3yuBwmLvLcTfuYiBDwHV7y
xh7xl+fXoJPBncTpBRH04wXNJLNKQzRyzx4ZKq2aSNKsEP0Bw9COoySkOlakW8JQLrZjFDM+UUax
nZR2tSwo0X//nX/elHsOhhyTTblgXn/5vI7zYC9wwPgwqtcRh7nxTnYL0etzHMQl2bWNLKs9Ni5Y
GPmgv/FYGb96gqmGONnU7R4euB/PRU+UtGlh6NrPhkheGrfTEDZ2cX+Hc8kuNwDJHSegg8qATZtX
64dy2sIO9axhmohui+HnCPP5RiUWqniz7wcjsGM8R78/S7/4mMh+ARvy6FPnXIp/EzRgs1057d6Z
IiaRYlFbIVt/Sy2fvnFKfnEon/XT9fG56fiMLx73NDNk03Zuu++XqHxlUO0+MCMrEZc5+v/ia60G
X4h+a0vtp1WtWU1fjSfavW2m3QPiDGdXz250BbWaLuK/G42/6Gj9YhHjSLRFKBFdmloX97yJGANV
G0dKLZ0Zc181j2XcmlvebsuG4HixEbhl31g+fnkq2V/T5CfiA+zdjzdXHOtV7yd2u59NQwUoBXAD
ZaUZIpOUbxyKKDh+2cWqSaUBT2vVvSAoubiTPQKQB7Aj3CKiwwfszHMPFSgR4wJcP6qKwOmkGTrU
5JgDLTVqO3aOw7RdJtcqH/Cg8XClDBT9YyTn4r3ZKHw4WMy8IWwKEr0x/7XJ5xpyyk0OjlPu4mTl
yRDmAvij4itZgevUnhf6yh6NHU48UoZsLfH36czoZguJksFqjJLuyRlMpFnoSW1zlxlw6LcWKgXz
mal5Wn5zMpol8aZhB5MwsO6saM297JJ3sqiN+VhA2rb3SWqUoE31xjiVyzRpeznkSt7aZTV4NwI5
avTAvKWodvxvbdyVI0ykaTMIPwdcmisR3wDzYCo2MOQEiGy3xaMisiY6dZVWHzDaVdFmjjuTMPEk
fY/P3gKnMog6O8JzjZvAG+Aqr86bGYVyM1fddabYTmI/9pux2Es5+nk4KRvFYE2ItX5VajLS6TuU
jRk2pb0WVykBLJ9dGdEvcfE5BosHPPmxsTEe7eteZvP9GLnqsUpF128xh/rumaQKL2YOp8gQo4id
dq03+elOkPlJBE4TL0uArdXfV+t0bltEa/tP10zQQC2jpnekWBbBVJS1FUiRKAMoZGMfSm94oM+7
G1AEfSAvvnguNE8/92DHN1GZTThpmeVarX83FPOOQfhuStzqzEx+o0QSbzHAp3tT5CMIybxEkKlO
lprHwGzk5ywHc8zcMgqHbLJ2BHN/FZY2bhVhtXyGzt07ctS3vkidvcDds6FiRliKrvRKimZ6cXsM
oeAsESi46vPSOvZBQV/ZqGkm7614D+tiiy+6vbd9NNiGXqX3OeCqYNBT4wqiV3JjjVwPdgtkVmO2
nhbL3tua8ZCm2CMSBnfHyBdgmrJ8oKiQbkDGIbIB6S4PhGke214gVVwILU2X/C6nuzSNojvl02SG
uHERt/SAuDMy6YPczcur0UpwT6befeSJc6kl09YYvWS3LN0SzFo/hPCFTFJ8HP0cxUXzqfKkfl0l
LoQDXMbhpPfdq6O1FU4f1YQeDeu9W9f2sSt8/ISwwI9oeMwj5HNvS5PiZBrTDsOescvt+bnUh/YZ
S/nBtcUj7Phne4pgtuk+jbohei4dLWben5feUQ1utVNaG4UQQp9y34tOMrLSEL69t9UzoXEd2oXB
nU+OMfuGc9pp6r6NO6J7B6g3oyWv+zlCrjwt6WbWqm+yxVLtWX16gLhcHqrSU69CEvI7p3DE8jBX
ab/MwVC3xL+xNTf1LiYjJPX7p7yGbL8xuXk+QBmwptBt2UfwMmWRyOJh/Nhw7m8Jc0lpj0QVsi3j
iOoJs1rd10RHL94V/4IQgwdiG2FymOU1zst4lB/npHNlu8EnCqU6XKTZfdQMa6dn+NE2msln3rua
WX+Z3CVvDlYO+CwsvQ7o9FwbrnetaU6fbXLXw/GNtsjWTrRndUmTtk0PXceZQnlbFeGCsOEpoat/
bxaZ+QQRLk+PY4YQzvbT9tZAVbKrcdUSS9vSjEtSqb84ekQ9SX931UrpxVXDS/ZLTyKWsy1mgruz
0U6t62mSzqNQefTq09wfAqoAHHBNpPRwmb3pHXOm8rVD8UFmUSmNT9XkdiFbNPvOrzD8A/TCUJ3I
ed9TsTx5s8g+Kkag3IzFtAVQ0J6WNXMqnRikm6RVf6ALxxgkkwkCazVwJySW3z4TLtJ+aRuR7/JJ
a5/dlvDtrIt6ksymHt3crMsPdt2S2ezW4xhicSv7cFgkDwcDbwRcjPTD2GHCDGELk39r5yFJbyaG
w97vdjn7pvJQNsAVGL/H6n0bjfGy9dAEE4gTj1EaoOVu/aBkNHhsqqRY70FtPMVE5TzqZcLQ2e0G
cwcRuNHewxnjK7pN7idXsbnwUZ1cYdWdhvGGnJAYeQ4YAGIrlxtYXN61SEC3NBZkNIFC7lH1pr1s
qETak9MkyV02yuYTrTtzS+PMvmMu3Trbqi5ROA5TviOJR5R7aKnxXVE0ingLO7HveIhaHiquLk34
9pSXPoTmJGleOhV3xNV3xpNMOd8oAOf9MqP38gh8OGidmIm8NtuHxu6aF0z5VRdUzoIQKW8zrMZU
fAfAU/xaDaOt0Yn21BgYmBclm5d+brpnlXBeF9dtv9RG3LVAHoki37RVGZ1iuhH7we/lVx9q/51Y
Wg1YRu3Hd1Nqr9gFB0j+1wW7qgdY0BwtAb1hhOp2bfBabsIRc3OgIf0iwaxK8LADsIskFEEdNbox
23cgdaN3Dd4SrMpD/cmJoWX1RLwnG1NbImOjPIpIe7DMbUwkyGnu9CiMtUFddSVfngze6Z2nZayL
cZQerIafbnQtvhv81llwZJAYs6kwBd4Jqy2QAEWrjdaniROm+Rid8APwFwjZAIwWj0UfZktTDxtU
gA1trEp+mGea1rhc5Fc3FnYQRXNxNLp+vcuHpBmYuZj2Y1om6r2o+4F4lJoPWUAQPHt913y2ssR5
1PylJTujGpM7AgoqYyNF1T0X7TLde44c3uvNlJ/T9XKbsD+v7cwAZiIUB8o12AyuiyuSIiO5E5Kz
hrd2vteBQ7zqS53utUnY1YamfXQ2y0wcW2h714418hvrJT9Tsk/vcHbIr8uohHZaOlriWw050KtL
rmgVREOCiZZ+C/Q93JFjFTha7Vas5EuJzUBzorNI2HJtmgGu6rFUmJH47txJC+p9ll5HcKexZiV3
RZ7VRlAaS32PjIYmLtpYrrVOwpLCZ1p7VeDL/rUG7WkzuygzjL4jVtw6M96LeGV9EIj0zVHZAHnC
nNoHVosFaVfWdIFjVnMedJk9fCM8Z7G5Zi73ftNwWhze5HKvj7nRbUg6NJ4Ws9DOfq+zmrmO+jY1
XvtAzBKN/9Zsbns1wxJBYPVg9F58BwabkDp/xbGsiBvWMTgAs7eimbS4/9AiWdEfOs2TrPF1XtrH
eq45eWAhbtgTR7sGAz2LGHgt+qa9hW0ssrxPi/T626hs4r0iZeAgnJJLw2vz2upEPmxsN07vHSGb
XVMJ+a5rFI6fJXmFs8H/JZumCSPVWC9IzojsbmBENGLGwmxNVWAry9kbnK8NE00RoprkOeytcj6T
XrTiltg1VCKDE4MOLCi0+rH3xQ3M3JVMo6fsZbouHAc/g3TvnfQBuXFWNh2Hxbynj5gdErdk3bAW
xut6qt1MjtbcVbMdPTrgfpCMpgP20bRcNkbFsLGFzXS00/6k5rnABD+oGz0eO+TKbnWKk2reUOpT
AoIsQTkUf/ZB4h4JH5vOea2sr6oQpzbVDZY0jz8s2W4rvIG488QVxBfxgXqbEHoCWV5IOmLOVPe7
hM7ysY1ql2lZQkGqsnr+4JHVedYrNIDEyxwcMKOhP2pwf9K2Pnjj8pn+X/kxL2Eh8s7hJGFSilno
2eEE7gzjL4CrI4+5hlJIRRpeQNxeOzkMDL6MoQmpUMd7JJ8kn2SZfCSx0mGp8+PzABGc3IPIvR90
HwEW+5gNm1Lx2U99570j++KQpu77KdPLPe3ShDqQUm5TpujNamz6N6lH46Y2zGNkLcYLLu1xB+JI
3/8Pe2fWHCeybu1fRAdDQsJtUXOpJGu0rBtCsizmMZl//fcg9z7blvuzzz7X+6YjOqwqKEiSzPdd
61nkmZHDhmh0PfQ8jIj02tWQUioMJ/RRLC7E50TYO8K+yi2PExNwCQxmFTqACRYl7lsPFPfzCIfk
0su9GdVCLu6qaEygGXlii8yeVBP08g/QdeX1BNN4i6ZyJCKLdSHIh4aMn3Gsvs20mky/Infpsk4Y
BnApQ2AykBaZ1iogMiLHCzhWmGNoIKw8PDh+Jx0W9HiMnpNpTI9oc/dtWmfJyhbaRTkl4/Wsm5/B
3eRbHsVtbM0JCzUbDAJRa5e5sIP7LC1ZZoh+mzIFJgh+2/jG1Zt5neaWe1JTzOylR5vIzlIklI19
laNjhlAzeAZNi2w+TFPZnx28mgVrNC3lgXOKYxWOyRXxFThDaxzSPHdNwbY0I+APTEM59GcvaJPH
HGLeDkZkwSsHhNqqnklAJiNBAwgVWPXFRDGbXZ3syarqSLE9ekOs39hSHBvwj/sAbXlPgs054y6f
VLFI90SJ+54Gz6oYVHtB3ZeYOpXsSTzzHj16puxznpuywEQZgaCsKwLCEllE7qrvW+NxBKd0KE35
YszOt6Ap6ydWrNlTpvKSSUvhTiXKeWv1XbhpkYpek9WI7pxwGpreXrtQJ4II86I+7kk86qEyWOUg
1r3UldzL1MAhjp6vvNKGBQVSTLK8onxT4rB1E0BaHRk4M2PUTp5yvLXXZu3m105MHXkVw+bdEVPW
vmbK1F8KsDKvdaDPFXnKfGGNCuBoYxG8nYSJa69hxcN9I0Bsi60r4y2hOdYhqyCWAMyuvvC2pHY2
w8zqKPrzT7AnQYMUKTvTFEn8kUBG9ZqnZfuqOkURQSGAfksBSRFZMrfBk64S4wWSPW/6UkzwSeox
eIKcySac4FfN86s5UK+aXWk5FBPSBDdzahe3WT0yMahoHMqtRFNcboU3UNHoxojhERHmM67QBZe3
ERplmzVmGTzhJuIzXjWCPpGJl9prgZwdUpOFxnndK85yk9jIpdYFKi10s3h481UChEKd4tlu2Tfq
RW9E/lANcbhl8co3zxouzoMg6wnEsyDSZadNyxKgpUMKDGkEoJVEugAU0eQsWrPA4S5pxNU4fjZ2
wVPf9DhMwy4GTBLArH4zO1Suq662QHMNwvKevl9Mu9dCXLq0J2PQrUsOlTRIyYUR4pQ7jE+hb9WO
SjF9LEUBMmyLWxv9WLHL4oRyD8qCmA0mmdH7CqeSd2XWizmGxDn7NDVteWsPKCq4hfRb/SGo+X0p
mdfosCs9TU4KFUO/yyeEH2evR8LdO9RGV51pV9HZ0YzoLp16c1d0RfE5R097nUqvDvwKlOLdEFVq
2o+U4YMr0fGj92avc46syjnruMBiTjlrLNDNLokuPveEZ5fafwRNDpEqNBINSCGThKleY3YvpNGg
0b2YVK++EQuWZDuva2oaGF4eJzvIWeaILJTnZzVwO+d9Qf3vOMRKI6umbFnR2ZGokgPOVIooDb0V
XAt1bCNHLQQbbl7CvL98uBxBim+iQ1ZlzgRHXkW9pfv1soTMZGG2YIrN6N5ICBTEtqEf6Uk3+yHv
rOs8dMcLtEzxwzxHw/2AA+V7Wf2/qIY/WAslKoofKsO/ZCeQM158+9rGX7v2Rxnq94/9m64KTBSJ
EV2fpRuzNFD+VqFK6y9EBkBAQC7RFYLN8D8qVGH+tTTHsM4Jwlko3XEef6tQoatiLkSxBMtyyZLx
jP+E1vC9WP1DqXeBW1ugQNCD4n3Sf2lL2Sa5VQ7lhH1JwvjajOJsE82F59tt+zg56QuEJN6vhKBv
im70/DRxcICNU3p0DR5hvXXv3N5NjxiG0vPYZRe9C89Gas6liYF3lel4TWTSe1AvBaL9rpi3wsp1
EHYVomu39rYVnRAfDpHnS8+8fi9G6BGVmYT11MaoJeJ/g2MSeMs7DzuIr+s14K5UPRJ0cNfZMc9T
VZoLq/GF1ai+zkh+XqXG3PtlL5tD1TePBvwSf2Z1DHPA1jaEnD1Az7lJLOOlp7rJZ6vHrIzfSlbp
q7GUMeVn8xqKhFqZLMJXJA23G72pHx12x0Q8swkaNH5eEZL7O+aFDjOdKITGBY7QtptAcWl6L2Bf
mhMWnKRvZqqNK4f9y6p0G7XWa74UWyMv9jS85ydwGXT3QNqAWgcNf4UnjUZkJbRNFFDf7yJM+Ilo
qm2JV2vt1BSH+1RcD27XbpZPJiB/yAAANzebVG+QUCpY/la7sVtjvg7L7Nqbsn6TKQ6J18s+2aLm
9Af2zh0wjvX77hhu6T0xSLwaJFseryzepoL1cW01uMUCrOdDOlFM97Lwa5Bp+MQxTXq63m6w+lW+
0ungR3nCDaYMAmy+N9mUeeoucIP0ghA5Zmgtm7fVzCw5uFw9a8FfD7Y8wPa/ex8kcT1RvBS4JStJ
UcqYmN7IW/Ab3bsbXPoeJkA2Fir2dR9zUmGSigPARG9rJJ1aAw0cj9JrzQ0Gcn2tt/ytDogDIV9K
vq8yNxJIAa1Jgg5mk4HVZTnLHtu+ZDy/jV5qrZAguZQr4xcajNz7mf9LgA6tekMr1kPrKl/2JZ/J
uUoYuty1Kan76Bh0/EY1j+/3mwmZgnzGsAKSNdPaYMhIr+HW1zXeH8fNjroRvvGQM6od/talksNy
kaFSLs9CWLfTfRbxv46bvNCd4f6PVCF6fC6XHZdLCnk3zdz5oeY5IeI+OA4kYZ4ppMOjkOpRwmLz
HckddvGpr0CiXr5fDFpkQCE1/rRK8xeC+sxNoFOYykxSF0F7VcjQVXCcCs+4yRVrWLMa8K81yEms
tqqI+jNN3mGlvs7Zqq5rveccwkidiEGgx4xN+sKq2UvW7WxuUhxrZK5bF/HA8r3ocLNZxbLRHIr0
7BKesrZ0JgK3xyKZTmFGqTh9g/8fX/eRffn+eFnJPO91A2TKKDJQ5eWyzgLXBMSD2y0ij81DpBds
RZGK9MbyGKZu6b/fWy3n52sBBQ9opkwhDIGiougHBQun1TLKZ5nOW+AJwOuJMNiQEettMVtnaBYZ
zu8DYBnhPOLXsZiLnTUxjbEeaTdi9ub9+21uuwG8Z8MwGlOz3fTUZ56r2Nb2dsRPnaGp+kQKkGvi
WcxedvwC+Y5bYKRvYcr5eRZPj67xNOdW6/lmYQRHvemKCzIGxkt7tHfukLxoYTytNJILL4LUTDdE
3sV+N+vaHikjlcfZNi4miQhJOgyyIreKC015HJ1+AHNvjkuKycHAhMqOaedFGXUXNmgXgTH0vlCW
48sWS1HT2GxlTNUcBnLRkWxhOhjjXN9DfrMI/guZFEODyW3g1mkS5n/QmdcUdN3dbFBxrFomE9yo
vW+z8fYpnMX+0OGK5BEp6Qsxg+VAr77PTaZHWfH9oQX80+PB0e747uiT3TAkGltcY8qeqE9q7spu
y+W1MzCY6pFNtxNz/4AHraNaLy5Y6Y2XnUzfkF5zaSaegPdrjXuDPkHOV3YG91UUDhECY6vWGroB
FlM2rqVMCz6xjc7XTgkI0Q3qt3oxM8Fb3PDQs+Mj1vqIFTbeGk3zFW+cvSk0A3pELR/yUpSbVIvg
AMOLKSnsY98Kj5B32BFomcqMNVg4fWMisEV1O4J1W0MCfErtJc7VYUXgbBCtKEJG5yZ5MWGBrY0q
8WxyAsw7O0yztXKHKjlPoeqOMdHu7sqiNgB4LTREt0l0YsciuKafyN9wMJc5BnEQ20aNfeJPKfIH
wJSN2swiqgxS2ch6qYLuWaO38arw8olYp5gZWmP65taWNsMl1OaZNhrWxX2LEGnr5Sn0mVWj1ZbP
9p1nPhE4z0NeRWvTcIOzN5QzoD6LLetlakauPFAqV/mecORWe5xC1qFRF/YZi1PPQngO69jx6ymt
40sbdO9ESHARaDc0VdNjJJ27H5Zi/9CkX6QFH9Y17ACJmnIkmyjvoxYk88gGpQXa7WU8TbulgBan
vFyswr3rmtJiWPHUCep6698f94PMZ1lPCXYXCxPB1aWlf6BfeexkJ/oG3d5YGg0jkuiVFaevxaCl
q7FK/6Dy+aAK+H40iSTAFIanewsJ40dzwTyEmojnottnEwNkWQl4aaBtcBjo33/XfzcBf9gEMIAW
UdP/6EN+2QV8jtXXslBx8eMe4O9P/cuK5vyFo8Vky2/iNGA7wKD5exPgmX8hOYbMRhfJXTTi/NPf
VjQh/yIzclmY8y8ITX6worE/QCeInwTJFRau/zBF7echS+Ifga84IejI8W2G89E2hUUuSjs7ck4U
Lpp9s4D5bYPt5TxNIEnbRtl/END80wExXGCHof6LZIvr++OoTfnVFTnp9glvlbs2+iHezR5tAwfg
5z6clPGHoNOfn5LvP1AuUkc4d+h2zA9PCZSMGQe1FCdZRs4za1LYu0lCz8zu490P9/6P0877objV
3Gs00oD2PmqDmgi0apca4pTmMNhjiWqVFBrqPoC6iHWYSVWQaWJc/i9Qlv/wKxlJNqPBxQP3i65r
qNN+0mn5nZRJs6dwK+p2ml1A8O/DP7q1Pojl338oI9DAPeXgtUMM9fM9HEuqi3KMxWkocQStZLVg
sYdEh5rftxJSVmElVXTM6TmTFNNEvXoEXk/RbMzgKutm4f1Bivjrz3d0BpODbUY6hBl80JolRhQQ
7B6Ik/uesuDllB51IkN2/8djGeyXLZyiOOTEhwEV4tnPIvoCwLuAedPYpgeIKf2mW0IAfj+gluv4
7/fYcp1RHqOrZLdPQJD+UVSIRB7aK2qzUx9Eb8oE2N+ZFPx/f5B/unZMQotfRDeYpT7cTLb4AlFk
Jk5zqoCAsiaHB+wA3jfmlArY7w9mLFfn40+yTIoXFNS4hB+9k25Ag35GOnFKzDglG67nmLiyl/yR
RhGaQDDEs3AmHlLqlDekdVgHpJXW4Q+n8bPd4/uVFUx7tMIWTfLHAROYBkgcJ6WV5Lbm0YLKtzg2
6cNVmmKE1hhyN2lqNs6KzRb10feH165AsTODNPvfn80/3QFBgVWwTqWj8nHZkGbkUORpxcO7hC/o
OvS3gT3TSbA/2fznh4I6C88KTzT2sg/iPlqeTYkm0zrFNpfX80IeWQQcTPW0nMvT7w/281TP9C2E
jhgTpTmGgV+HL20pmm11hdaFLIWZrKqm+lJYGVEZA1X9Rbnl/mEsGx9Wfhxy6bAuWC5G88Ii/Xlm
qtIZATr1tqMeYDgWLh2qlWJhfONAzruJMclBgLDpsEcu8pr3DAwsc9D0tIJGM6DGej/XvP7eZxAC
CiogybMJkDsgCgKUt1H+6SLZ76/Yfz8SizmM3E/JQHy3UfFq/PmcQRYkYswtcVSZnm/1GcFMGTva
NjQULeFSz6cxBAefNCXdwKSasGvzZdcNoOJ8g6KOc0S+wI0M7LB9nWFwv470NZAERfNCZK81Zl69
SYx+ZRsDXRwj9MRzHbmQvaGx7hExta8NenIyafjcWiUIawYzqb+0vSxPbigsmldcQEIQ0BISAkY8
C/VO76GFhULdxwtqY28om68m96EB+u6RZuNnTRyw5eti+tJZUXMMlyvtKHQKdY3vYyV66tr0zirS
V6OSEfI9GQH0zrzTMLk4xwFY/Um1YQ5CvjFIwngPDUrJhv8iK2RJx9yI6W+7rFo0s9X61Qy8OH4y
Jo9bJmfLSdPVAMn1gbo5Y69NnWeK9ox2QXH9eTI89UolZ3lD9739nE+p+ZUukLnv2QzeNA7QbnuQ
tS9jNjQr5t8eUTfQz9w3JvQEmlXzkI6L7ifA/GSNgisaIA5kHxDvAstSr40iZk0rTeOOssiCKUSJ
eaNUOD+YPeLuyhPcp9whIsUYG/Wa5qFprhzqAZtZBYblu0skSldN/BWhj9aB8Ae+BRgUaoaW6yY6
XdXf36gkhi/5eCCUEHBFTbIHxEju2iQlI1tEjphWgKVnyX6LhYlGN/J76oqemEvLfXLGDRVbcmXs
IjMu67hm1KSWDs3fSbmaU5JU9C5Ldyr8flGcsadkvtTgkxIEI3p20eZocjKY+NJ88x4M4JQRz1+p
h4u4dXZREGj5kgaApsv1AyQxYE5psCNTeE+QNAqLsdwDp3xQOsGYO7elxkFy3fipMlzeRS3ErXEL
OJJFR1vgzfcXctF5ltmMSzjO7ee+JH7AiTqYOTRJMMhCWmluQ2s291jPSCA1Q0c8FX0PJWmOp3NW
99m6JgwLCauWGe7WiPXmGGdlfwgzfNorBU7AH4q57Na6Cpw72p0xCgtKdymYhmS6dEHknXIRlXDS
U8/zoX1a/kgP3p+KeUISqdv4ZqOqOqb6EqnHmITzqqviuq0UBcAk6PJvJT2hN1xl5HmatLlpASDB
mRCjjH6XMjP5c8bERUYYOPtWm6pHJ0sbtYXB53ylPUniY1sUF1Bim3C7xG4PhLZW8dpIygL6V1de
eklvDESzqugptJDZULWozmB+nV1dTITXTC1CfVcNDhpJWKiUUmY0V0N5pC0WTiu0qvNTkdWYsmwT
abDRcxvdwEasmg7FU1Ilsl0XfQTpTkeKuyxGKT+NNULxpsm1Tc0acNWzeNlSC2qXiSlYFaUe3HSp
0g5Y5MEeNZHaYjCbvgV02zeRFmvXk1fmjzEqa3hsBUb2gqZ6Ar0NQHTzLFtYsiR2aEhhc6g5fWNs
Ef7xRa52KcZIZ/q3grJcpQ1sgfUCXS9bOEuAte1VQxUmxP2sxmq4YKXr7k0L2dm6QFuJ3TPgQCLz
AhTDYXRwy0r5WatQaJSTtjHzsruvUgebX1+obWenk19E+tdMqpKGfQxLyUNNqzS8Rl3GeSAcoClO
NCXUaKb3C0fUw6oKde6oDM3kooRR+klvu+oTYU4Mas1hRfY8BS0BD6icCH1aUp82ZdUSdYVxgwU2
ih/Is8y27WvYAMvyy9kzAOvNDFm97b2HBlFkuHG70SY8Mo7GYtWW1GxX8OZo2Ju2Vn4JDDF+ysZa
Q+ZCDkirPN7HLoKVGKmlKE/fA6p0Y8Thk8YtU9B7dMh7CJM2so9CIc4Szuln4452BY9+h0dhL0aB
1NumQ/SlIsyJU6NsTlMmK7IvZlmHrOci7KOGVS4RP0akqvzJTsh/eZuqXqxUL9uAOmerNkUihm+5
O9R4pFLN/kwbwTs0kaf2WTlB9y7GMO5WmZFEL6pvnxMUBRtbxGHoBxPTx2M2a512GyPds/YuRarL
viGwwMnidBMNQ71PNGfeTu4SXuqFOQ17KYb7njLkjRNWb2Y2P46UXq7S1mz3zKsScJdHiLDoKvM1
bKPwdY7j4TbssL9+4olPNjVJQd5KhHLhhkXUnFZ1puQRIi3Wx3HIqtxXhAVNYAihBu5hFOsnUZfT
uVbAAZ15jMFR52lnAPQKYjyR1BMetKIfiw2hndl5bBpxNcd0iGvqgDc56lN/sQ1+pTiXIcKdrZfS
c/pT61QgBu3AjIlicy2SEyNIjEM3Dx5eI8qTygvsdZK74jgN/UtQacPt0IbptdF1+rmJQ/spHZw0
9BsS1HhXLszqerLCS09M8bkZUW5o3gDHPMLY+WzGQ3XKpUVgcGx3J8PRtWAlWpU3O4Mpb4t4kCDx
EehFAHoukOM2ygrrzkmrat8X1nxbxRFQgKmbr1s8tiuvD4cvXdbW3UZXSsTHMQbM4LslxfKVGwxu
eumMOoprL+rUnl2udpHIubzXaQt5Prb+HOSiJvV03zF4Lgfe8G9GX6tzV1X9jqLxdCoSlWfryosC
tSoNthcRk9suFQGah4qVhYZzTfbXodlT4i/eC8JEqzdf0pEeYTNl9sUYm0yjlk69D0lOjzjazNHG
k8pamudWTkgRJ3B17sbNpGBCNIZvpel0wdbTavpCVSgOQuAbsjJn3qtOxjcqN+r7zpjUg5tNYtOP
M6HbyZI9g5ZyJYDAG5A5E0m/bqBBaARz9KrnLe+hVqdJE2h9nK0Fl+pTP7NPQegkGx8VbXyFxGS8
15tBIxW2BR0WW7W1deH/yVVBjti2VpIg+9KMcbt2jN03gNojrlur/UpGhHyFkubEW71yOmrEmYFy
Iikz2YCotMo3mMl1vG6ieaLc2lZvdjSGn1SSW7zlYtUerWFEUlWWRb0mS7eeiJttGpowRXOlZUOC
ccoJ2rUXLtnx8zSOKwDnEp53RyfxhFGP7oeQ/WPkTASPyXBOrnQZSH0VVEV2VXhZhpgC+cx1pFnc
tYwCkkD/PaD+IG0LiY/4voP9by30D7VQqj0uVrH/fy30ouxiFT8X1AN/IDR//9S/aqHuXz/XO/8t
iPDEX+BY2CTCkmFj+q6V+BeWy/oLxzIBlY6LWhbnMp68vwURJl/oAZbyFrYGYor/TBCxFFV/KE7Y
BogAYS5cLgm+Wf5SCsFfNnRlbDQHG5qcu04SzbjRo3o+uySEb8s6cYEgVVJ/UZoMyEfzmsOUF8FR
Y6dzVI3Z+zKTxkWpOwWTCf1WE8NrvoL1r925VQ7SE1VqvClJcfeNKBmvjELrviUNvVPUZNmDMGta
+jktPgB0wRmnAtkHhSn7dUMj3jdCHuJdm2vzHjigc0ti+fiHaumHLTtXADMvmSNcBq7pL/vnBIIq
9OiqOowNeyriSz2QTMgzzLZdfhfn/cMQ+YeS6c+lj+WKQ2LBwUelAE8qPtGf976mhg49TNPq8N7z
HcPsBRIpEVIB1+D3R/pg3FyOJK2lDoElGofFx0L33OHvAbmZHdCcqbUJUxG8q63tWCPGtz31r90U
JcHN7w/6Dz9P4jVYKEPU8mEn/PzzUGypIQcJewBzP4FcRRFKEocp7TULM+x6//nRbHgFKIpoIcLu
+vlo4RKGV+QJBgF9sNNz0WAsGZ3GGPDbeXe/P9aHQt77nfNIaXLpeS21/I9ufpj7yBRSPT7U0ZhZ
vsWrlJ1UnZdrtzGwWEzReNXB2L4YiGzfzyzoqk2skD38/jx+vcIIl8gSFtSZ+O9HnkFmKAB2HRjX
ukMFuoa+SS4G1pw7z6lovv7+YL+OIfu9RAqNg6I33ZefL3ADjsViHZwcKmOer9/VPK3GE1xFVRod
JhWTbi8LL3X/cNx/+pE0+nAGUdcilftDiTYNE2SgDkrCYqh7SLnczcHqBvT8Maqf3//GD8cStJV0
IryB23N7jV+aGCLWBqOPPNJrgGyv63GSBJXoDeAo9Bz3vz/Wh/n2/Vg2OjbYgLRLfomiIscRcDBA
1cM8zYNBmrzMj1ls9cb698f5wAb4fhxymXG+vw9X8+f71pFJ3DjlGBOmCbSIlTiQ35WYChO7iGXf
RjF73tWIODUmYbhKgg344+j8+3P4MHaWc2AbyUS3yAFBcHwYOxCTU/IFW84BxsS6YkEKBHzWwnNg
TfmxDF1Ev441/WE+fzf0/1hc5LD0KPjhtMN5h35s1fShA3I1kPEhovT+mTJefqQyP11WSRHtGqsq
FAWFku3hQJVR+sGAJxgRSDG+Gk5WN1+r3suPaVAE+1DX8iPVLf4zJ9r176/OP52nrfNux3VOHRxw
zM+3KLWtYJilpu1RTDovE4rBxqemRB0nyJzB2ReYuSRFKE1K7JpDekZiNuEpK+BqdWkpTl7rBYcx
dq1LT3OU3Do9JcV1GXmy3/3+XH8dtS41lAXRBgoHlsKHU8XLAZ0bndgh93TMRyka3BSgsGo3vz/O
r0+iS2timdxgIv4KhYk1DJR0RmKwWuV8TUWTCliRlvaJMFL79vfH+jidMzxRLEjIPngp0Jh+FBNM
rrKVGBOm87LBYOkG/VrPYDtlPCrbwKxCvxqH6WR0o/yi5QXxkCVYzz+dxHv/4efhCuaL3ilYgkUa
+7EvkzWVZvJk4DzukJ4dZEZ+F8a80aoOgGvma81y9Jd3fRVgl3fxNinVfoyt3105aANPim7R0eu6
6RNVEFLUVb3YxOqs7WIEhKjfSC7E3weK5mbOrOCtR7f64E4ZVcSswfzj1Y1zK2usKSYog1NPZ5NQ
7Hwwb+wudW6dqNL3LQXni6gQEzXBKtbukGfN11MYYPLKYMtc5Y3ePmc0PV5mpPlnpVUTGfdjEbxh
N7GrY5HXmKRIugn2M9sVRX4BrsGVJQnSXmllKhAN1aZ4prBufC263LofLKuqgee9233Y07xlfSuo
s7ejFW0U1r8zEVj5UdhMLUbTxy9dxORdwrt7C0vNNf0iZ9kI5lJ3Q3+IPeIzSW8Xu0EgX1wXEueE
K5HaFUkt6cEN2LNLI2G88fSTH5mWHoev6EZeu6Zi7tTZsX6ZBUWEMfXCs1w+q6BPn8PJtsSmjgc1
EAqWaXdeaU1n3jPZQ11Pw9X75Q2cod2YlMyuK6uO0mNJATc6BEboWEcTD+6ZKkrebeo5SrA0v89W
7ItPTTszQ1Hr156KMmVElvoItyvLjHlPE4FrN9nukiCl69GdoD39uWv0TPNN8BmfrNSU8LIE3zNE
MVaCtgrXqpbxC/rSgeSlppnCnTd7GW51QJ63hJ9b927RNzTSTa5tDgXxJQtzE0FYKZ5hvy+tJVvh
VCH4fL62aTC1PnTE8ZPe1+NVPIk+WkthxE+Z0zI1zQaGqokwrY21jMN8KIOjS6J36E8RFqb1PBos
YIy8nLdFT6ASYrR2PocDZslVwNZrWrWqn6/JmCPNZc5Z53TUziYfeRbI4DwZ5sBXDDCKJlH1HA2h
TgCKy+i1U+p8TRCN5b6L2DE4dqndOVHKBdNDMZ1DLUuOqZttvBl6/tiI8Qond71tE2nsw2EuNzX1
R4zeZXNN2Ss+6G5TnLDFCz8mYpkYMkKsDKuYj12tO3taXcFd2EpAHUD7awfFJ4VmomMDW14RdkYt
EQ9QDYJgp8eJ9cXFoEfnJ9/p5dSSzYKtDYkiNUr2fL6Ba3lL1BZ45KbIUp+raj54cX8Vh6QBJ4a3
JaTa2g5dVB4J0YHEoHWkmuUUuuqcn0XMbeNHKYq6CWovLRxS4FpbfMHNb53DPL5qxnYxUgELgFFK
ndkzrS1RcvcIhWmuqco8ZdQ7dKw9ftUWww5Us+6nM3CsaNadtVdBmYi96Iau1otXmc9Vp6lNouVg
phxBHQoQ/EHT3ceahA2UwVaVUdd3eatRRHxamn4zLORVb8aXkUPqWyqcu74PTmUhw8e2MmdCpyd8
/lnOBCyWNVJuTpdObFnndlZYVeNMHbUevSNIpYtUoqGG35ET5elhKakJiPtW6xAJJqNMuhUOmACI
QWglRwMNI4xYLZQXnZ1xQmVGvxxrrjnf27OwtpQrg27T9qZ3ag2jvmKhJKL14CxpNlLP8KZO4X1n
6sPtVIKiI1+jAoVQ9fN0Tum8bYLckVuRtu5rksfNgezh8RDRV+egrKLPTajfuPYw3MhhmjbW3HWb
5f1jo8CvericVZ1/Ui2kfsmTlh0EqTYmaAdaoM3EWgSWIO/CwlE+SpyYqYhQ+1AEvBFk6Mk9EeHz
tmP8rXOWeVusYwDoMTpXflOZ+ZXS2wd6RvXaIP3mUtSzm1A6Ip543aIJSBYHZH7SML5uiyS1P+mg
tLaO7MLPbRIOJ6sbge4FwzEZOr3FCDd4T1YyqmBlYxxapPsNPQ2viY5Wzbp9ZaID3M99zsBMWDuw
Rci0axx4cpNPzWNRujYuzbb/0pFM/taKkbKxUxjmnZnb8vM4oDfe6bBccFEMyPPLjvVYMdb7Cj3R
JQwFOsEZ8TFWiTZda2tJMubg7T3qrXRMjK75VqFr3yDmno51a51lLnSsjM2Q+cIzLqANFSxhCknl
L/Ous6DGqRlYgcXmP4kEZQr4AvRiqD60mXfkpnq3o93BAoqCpfSm9YIOlK6uZatRNagLtXbL2ly7
DkPASQpStDGb7QapZVvHbfsN8SLiPp1U+SlslbXKAyM5BEltnrmCJDvnPaG3gbHrbZuB7RVnh/KB
H+SeSbcyAxQJ0uPCC0O1aqrZvg3s2sDEOZTk783VNpuV+9y1/CQmmtrvFck7Pl1n2mZpYLu7qC/M
DOsDyuRQBeFDoY/WZae75ZU+Byz7Pauky6Fwhm6mFMA2mKU+22VpIb8AUKCIQ//iNBJpWa6DQGSH
SfOmby3b8YvWGrpr/P8jUt3KI+eKkCne6XgFoS6UvX3Jjr3a4TKWbACM8pjRcuPpogs3JHn2qXLs
9spV47i3apzmfkxHKh9n9NhIGHAgBKBJKGaek65wdyLs85e0qKWzIb+7/ixCG06Tg4Tes/MYqwWi
64PWFdSSkqx5kEAnyBceN0SLk+nh2fjgfRXM/bNOTghoHiQvh7DqWMu6hk45OyowLCYzpfxgin29
JCLL7uJNmptfB82r1jFMzHRFaBktmjCczmTqlC/SKPrjPELBdD3egaQizDsgCbTQ3LT9ZOi9ekma
lDm7znhrMAk0Kej7XkgUP/et3hVSfUWi6BKbKYoxeovAxvltrMh2DEVbsE1qtbfaiYrzaFfmZTzY
3b0WBv2LaGL3S9h5DUaDwiMnZ4Hro+C2EfXLHNtfXuzpqJEdbyYefWin/0yUZXypp3mNIrwn3DKp
lzghQAE+q6jwcjInuSZZlqqGWQcHu8xGi7Nqx70oEv0sBgrtWTrwziBfZsr9rOuAuzE5ReQeJvW4
N4KhPRo4A7p1K8yS6Wyaw1vXSszJh1XVHRDf8BoxqA4xLonK8EM1a3cxGM2th3NwU/FS2Fl61R4r
cjO/VuyNlsiSbF1oOVehceOnwFyGMhUlHe9HZeIFMZtx7+gW8gM648+aWWlvdByGi8Cdwju7mBPf
KPlaVArevUGjc2V2dvNEKm/MclL3fBqr9yyMA2Bwjg6Evb5xrIeQICUkMEyvkJsZVPmDbgOV1l3t
RvYj7VhZzL4u3a0gBWjVFO3ki1TPYVzRDJZwSoABwLxx2WPT+4aGDybgBTxOBJmIfTLuprbkVRnu
qeGb284ZvtHF8nbs5YVf08/ZpoYr/ZS0VlPlNk1+YFO53W3d0KMr6JraWgYMZz0ZjRO6gl03G89z
xRdHZefuzIkgYUgk2U608Xj7/9g7z926kS5dXxEbJIsRODjA2VHayrIkhz+ELNvMqVgshqufp2T3
GVv+YGP+D9Dohlr23mSxuGqFN/SBi9vkGKVXRaO/wRcT8LeZFoH+cE9Y6Nr7gW7WKWfCg+0p7QF3
NrLtnRyPgJnsz6Vy4g01PqcOidDJG1tvD9uiRxZMDZe2movL0pmPZcBwUpBwbSmqg52a5psJ7N0m
8+bgzJd9trVhNlGadLsKWUYOiDa5nZ0B46Sq6A6RGr4qabX7zmrXoxNAcqv7+JNc4MTLpQsuVEfv
YMWNBD2ZuxF2eB54hzbJcEgd4+umHk611X+c6vVmLJOTaoPHTiZXhFwaRlWuLgK5fiv69AlI4H0I
cbcjm942RfUc2/l0XEualKGKP4PfHbarTMddbDn+Y1vlcm+37uc5dkisrJQgn7nnVSAZ37j2oRg7
VNaAHoxp8FJr6ANuTVd741tUBOk0ju9Xsb7M+CIHGCEf+rDKp+0SL+l7uwMQA0cgKk/Q3JBMWpZN
3ubi6Kx73ecfZj0PZ6PKLv3+0Y70iFsfkoXZkCMTm2ZnIRJpW9TExw+Wi0j5POF+qKlhLsdRWmdY
fZnXfLFPvsjDDwEiK8e87iFRD9kkz/M+oD06FaacCONsPraTQwqdy9LbwFBeLxV6CvKQAfDEzDT+
gj3IYp2srqKhsymZmNtHV6Nvc6Gimnn4ps80Q3VXms9z+7J4Xmg648oMOUidp7ViR4dT2ckNXU2v
QFStqJyDg/kvOAXyobNQjKF1rUYV5rsBCZR+g5ocJESwppdZCa1GooH2MUrRcQKOwgvItzJi8DEm
k6QiFFI7N2opi1K2/bhrCS/0mcxMg/lZ8nFMKRASM4JkTulfFPmK5zZn3FPUJ8uV5flUyXlo7dXS
B/Z1Yfm53qt4oewYQ8LSNBRi2zimOkE1XX8tVne6KYLFubQdCFWoBEHnQEDnY1pbNLlTL3TuAYYp
pIsklQi2SPZnfFID/0pl2pS8sWqXbQaw8n3faFKHygrsY+cIeU5uz0dbQQMNEtCRQfLge4mmJfUV
A8lPAe6tCOOT/sHv7iAPrVv4gc150+FBtHLkn7swvbb5IJKTyHyaAgNFfjSG9AjMpOb1+15Zlgt2
budJIJjZlJU+YmVSf3j9I3FUu/d2QNnfwuI/AuFbgYmU3fNQK2qwWbp0CSIx3UwraY9FscmsZ22C
d/AwlqtcZj7DTNUfXhvFXQWD1p1bqGxAdyCq5pjgIh4XH62YS6yzqTwFq2qOQe0P7yH3cAMQ6muQ
h/N6N9B4uUWnzvkAW5yn3oCzOU+mWZ5Lv0HcZTYaUlZmn63luF7NHaKNqLpwX7Dak4fOp+zrAfa2
W38pUOTEnBf/uZEhLqy5ZCoRpaMrQvOSYDACIUlsGe9aT/sosiRIALD/7dW6jNu0e6b5B666LOgo
RutFLFGDxKQjVvmWs0OBysA1/aDKafIuq17Z12AOkYcvViZkq0/zKlnL0+u+s3IIwaCPLdJ/VT1V
slrvMjVAYdWzZa4v65JvFvBImiKUWXfI2rMm1ciUzeFHntV8DbaEZaNJufUcyJiQ6DBrNq24Abbx
Vbgk081aTRDl2nw9BB47QHk2nx1r84FVEbxL3djav7rsdBU0RRVC7JyxDP5Q2/wVbMHk+SsdrmsV
q+UEMxvWEeFypfmgPa6Lsb/rJ8v+kDm+VyC7UyJUObDvM4v02gnps+5eG0+O5SbfVuQ9L3TBbhIr
HLtittpnWomN2HGc60flzs5lDHvopJFfek4ye75dMKDsNlbGK+yJkdnkpJJT0jntcxkO6jzuZwvE
H/AEGyuvKnHuKQ64w8YNaH8laVqSAWModoyb3L2kbpHvVWyWt7ar8jS2LBMYbPcePU9UNc0L6w4l
VuJr3T33Uc5Xz+OgTxUqfeeKliuKEZE1PK9GVhfdszvV8/dihDUvCL6fR3+A+eXklB6qe2mgr2wx
yYmOg5awGxVPR6mEl33mDUzGJaZj0cRHJSGTpm2wXAla4FddrZOPcsJgdrsGq3NRpa5zA3AuOfmV
EWUwYGygWoTDoy18mh+MRaOdb3bB1NGa8zuflgK6xcDTIkVNOMUjuwRxvM+YuHfPjCKtFuO2jne6
lX6ya6lOseUkPsYeK5UGUBJXCoJvYQKCaRMrswelQVmEfpec8tRFKyISy3pmGbZ0GIWUfVGQ6a9R
QJ28pcCYPwxtPn/C/oEp1EBCLmmldiki8sBWN25X9JfOoJtr9FHGh9yeoi+An5JveTtj6etn1bJJ
J04mL5/6w+KHC9DRhh2g4z75WAQ+2l6DFDLZhRhs6F3V5e3yvf38v0CHvwEdPFhCPzWufyN9nTdf
foM5fP87/8IcvH9C+umvSt8CEQca+/+aj0XQuiAiBVgRGCqYy6/+ZXw5/4Q+o2K68IAPvqtp/0A5
iPAfwwowf43WPLIR0f9M9uHtKArkv2O4JTTZISr+Rn4Y3SHL12y2jK7UvEMAr3rGlBUe6fhqWJi9
mhcuxsdwGC0sDUvev8sgw+dwfbU8dIz7IVI9+ks4OvXNmszNp/jVJjGNgV9v+Fs1PoT4KNbN2nyq
fQBWNkShG/lquFhoKa7ohkac2K+WjAOON8c8iN6FaKTcy3nUN7Z+ro2TY2Y8HZVxd2xfjR5XXTXr
sbS7+Xl4tYJEbIXmuiWMReT8ahcpXq0jO+MimVklcCcha3i5CyJ6e+q1/LycjR8lZddIu3pOBG9+
sno7X1J87ukCYVMpRVxQFkaFOPaAVXExNp6WogixtxSvVpdWUwViWxoHzG7ouo+YRa7X47DYWww+
h4s0HqYXtDxxz8TeAsPUCOsdKsz+bumK9NnNgHnnhWsy+/GgRzjkaBmTUhh3zhXdrltfLG28gSeB
3+dSTyG2Znl5HYl6vsNHByWFRe3I6M/DcEJ1DYspsKgjOnfecpzI4G4dZAmwocdBdAaytRFzHd0G
vtOdI2Kl3ollGnYITgx7TB3EWbJ2Dm0RWhYnXwGSLiC9XNCWxceUAUWPyWyVmWaxHwMeowNzGdnG
/1RaS/WEge74Dgslidu1A+4R+WTnQ25MVMkysCWfMFY1dfnltLoFqG0gie26YH45J+vlmjrj+6pc
un5rdHcvp0T2F+QV+lssY0xc08UYuuKym91or6n2kPibYtdMcd9s4Gjpq8oCqLJBQYROsxEXTpEp
84+Qt3EOcymPPhUFClVGZ6inLdyL9LaJCKRnzKTye6b24r1LF/guXn2+jcGUfOd0LjrOxsDWefWy
zYytrSUUHael7XauwvR2Mva3QHTQwkZe7aPVpPKEoEH8dZJTKA/Bq3uuI4yT7mRMdQ0JcdrCY2it
D8wVgtvs1YEXmyUUUuJhLV+8V49epD7KfWrDSo/R7kAGETNfnmP5SMMquw3nYrgajOlvSAIb7x1j
BYxairezgiWtd2xXrEkEpsEIi5LKWMZK2GlT76rXlKqk0XWHQ2aIOvFmqnnLP8yNU3jGKpeZLMsz
M4fsTrHGLr47tY2TKqbisV6K4H5owapWl41tzwCx3cFSiCBMwHgTjWrdPShSsZwynAzO+im4daIC
vU2P7q0QNEBRKKNpyCRR7wfGbR+TJF5IGROg9+HoxcO27NyWEdXgvxtHnzbpkjuMUjwaQFmT29de
V8+Xyg8yPLXpEA9MX8GdwymIE13uEbNlK/K+3CfDTDWQa109zskk6stgVHZxG+bDWsU7r1tH+523
gshBxTQMGv/adXrrbBrlk1dl051VRkZrW4rpXEh9gjgZXLUMvY61Kt1dNRu32bFe7vo2cs9HOCjo
ufjpebQM1d3EYXwPnHGm+1Hkh0TE1R51EAhuAZDbBMi602fXCKRsRnQJgGjnl7o4oe7FJwmrp/ma
9Ps4dz8G+H1t/MI6FQXGvOihbhg2op6BBOcWPL33lGEsibK6bLcOy3JAQWi4yW3vI4D/dDfRO9mj
VWddFatDmzzBoHYZ7feNg2ULAgI85AVOCgjhlTVMlE0F6NKyceLSPjA3emSeiJtL0T5F4RKe11H3
4vPE9qBd7+2FmgDpzadUyJtgKopb1TcfmAHOG3e5gGlvH2q7fadzUW/qOVTbyUbFF/lNTW5baTS8
YJ+d4VBebpfAGClrxm+bNQuu+twZTlIMF6pI0sOCn9TRFdrbOQOCAYijhfYujMvsJNPQAz03devH
bB6GK+QKvEMwOahMwJEMeNqXdsq8zqb3eW8jkHw04OCjhybBVi3ter3IpEjYPzChotzv7voFe2ix
yjLbpbmq7hDqmZANlV/gCtunMk+di7WO+701oLGCGu+M14xuelTTIrbfQwjdYgfxGx4BXb09cNca
aeJ0uUbMGtV37cjHtUzHreV7w7Ub53c+ggq8EmW2lRqR+VqW9VbWVf1OV0ly5yMuvfEMRMxv7WWH
AeNFnOAPXeKN+FzNyXM22P2d24XTrTvH80UuB3EfIMz8DjmzeqtEcBrCutnOMFFhs9jv/SHrab/w
L7CGOLox+KMUwft31sN9ZMXhdh3n5UAeG6OIFlbfzIzqep0ontbxcoJfUaH3PXjXxBgw1ioPXfob
dX/vV7Qie0TeLgRel+gDuYCx5yF78SqqOJyCcR0Oy/GeTVhdx61d3SIP6TPVCMJ9Dh97h/+AMQ7y
djAa5Hm9CnFbYT61s8alu/En55OvZbDvHat8V8cYZPgqdN+r1usPw4QMEDsjQ2GQvCDYAvtrDkvu
SmsD9e7oQJG5sHQQn/xhWs6aKJ/PA8URCccxOIfiE/wAF/1vnvy3PBn/0z+lyf+veh7KX8HAr3/j
R5LsuPE/QExxtTCQLA8W+b9ZMpYT/4AHxYICfiqQoJ+00ULnHxSj+eOhFzGEB4Dz/6HAPr8CQcRv
ya2x2AHc+3//zy92oMObn382rn31BPtvIIq5HMelYGc7AMJBiuENkRQBz6Wm1eJ9zZgrFd+qek2E
vZsm1+rVTik6+U8FsjjqMCyigtYxLL7/grth13DkImDuHjrLKAqWPbUm/RreZAZrUVVm86O0a6tY
ttLrArRX8mROsTDXQiPuvBXVuKxilxfj4N44cPfA2VNnW9NjplAU3lfFiOD1zoPh6BpFbpuplhiw
VmJymhd+TJk5zVaUgCEohi7f0n5MoDP89CD/A2r3DVrIg6kag6U1RmABRsa/gWnbIXBaRTvnazdM
OkazNg0z1FalR3C7Qps45itnh9ELExuZLw+4XsVcmpuNkvtpnCmdH/98Sa/4uZ8fGOhPzOlCD6Nz
sG4gJX8FkIWwGOt2kOkXp7IBvzLVSMvT6o09XIgMlSWaXHWYI62PO3wXjZuyQJEl3BQ23e/ndh4W
pMjDERbPiUbKgH4sTi+r0e2ZeRR7BdV1fcokqkTzPljLPrhe1xLxjD363AOCQnYKJCb+CxbzV6SZ
B4/Z7EHcY23fidEJeYNbRNgRRhDEqa/2ZC3BO7/Jrfa+rpJ2vf3z6v0KkDRfJIyPEycAhqX/Af1V
MWBYYZZ9oZx1HbHvqsSgkFybN3wWYeHdTANKUNlmCfzKUluUPUN9X+Z+8zfrKgrgnyD4r1fC1AYj
Z1M/Q+I2S/KTY64j0sWO5yL4oodIBtd+txRkoXAIRShO6RCsfvA/XWSOBfjwPoIWaPbgIfTrNyLq
ZIXQWcRLNfayXXb90llkKzpak2X6y3f9Cq83d0fgQq0HATEaw4S/X7/LRSG5RCLM/TI76ZB7X+mn
MSI7T0CNFKcU7ipLXC3BOP6N9//bTjLyEYH5B+wyQfcNNFwAEZC4gg0vs42kOcYoYRXp+8S1clb3
z3vpjRWWuckYBgdyHGDeCd5v5QyKtnXKCTHhL9Rtfh2e5ZCWHytXEaO21OZJ2t3M8Upb+bLNZRPY
e19n5fpU0CXrAARUBMSEuQgz/7uiwE3O276O7S9L/A6i5WycPK/+mwTDbw/GGG7GEFB4OqD134Z7
8t8I9rLdvDS4HXEV0orL4pt2Fsv/0LZ10Iod/rqt+pu55qvczU9hK7R9CMCB0YtyXGQS3oatxBAg
Oulbn9GmdKDWAsrGsW4bRl0mmRAL5PmYRQZeGT4v+CTN5JpSyhgZQose6gPIs4nBN1z+VX1OKefi
g2gC8nEfQ7+/61tFb19PLjDEUY7XJAacCUj81w3sp1MnazS0PmdRjjoMLZJFrbdDMEs21brA9NbH
eICFfm3Bq+BtGhqGCiAPsZEiWMally4vbMC6INk0XpMcf1654h3h4In07XsA9pKO6ELhkQYfcLSF
PrvVdViyUzUsXJ5OI1XAMdygJcITgSpjQrQ1ZBlf6C5zFd2hyavmj9jtkEJsUHBOWAs4H4Igb6+o
PBQH1+t93u8+m3Lo5YFXYBg1jU5Or4QO9XrL6x/7mOA0bE25Mr+AsopGW8PkC1W/D2ilAKHejwFl
4dOqRKgftOwDfT8U/J9pkzUFEWSTZeDOybqRj+arIcVBCt0WorN40ZOIz0D3Ee3MjLInayhJN8NU
uPzJwEE7IdvkQTjU6I1jrafu1BTWHGZLD8hCbQeJY+ayL4A7aQA6U8wfXwUWIu3Ows8wuBYxgPOP
tPB9fZbAz8+vKgBGtIecYW4uMpxax9M4oy6JfmGEcPhi/IaAR0aawSjdnkSZM7OPYFfLM6wSFHKn
rdd0ZXn24wb8QmXcKsOSOCh2Nla9LKhPg3u5GObUBLGqDkGN78EPBvwnD7sFd4ehKwv572f0XY+a
hMhxI8m2bLkWjJPIVp81GEW+8NVzh8jEaREt95R+X1UP1jkr50fU4yghTwoQaVPJEf8ZJ4vNNwor
JGtbOsZ62abDgIXbI9Cb7dLGilNLlCiqg9QDo1TfN8pvw/BQCGG2Swf8i3dKNzHj3V3qShpUWzHb
fCDUeicJDypV6FidLECmy0tfzwy7ty3ie3y/T2B0kndRhVBUsVsZD1QTw8VGl5C6VpwgGPo4s+B3
S0C2yE0UcRfMV71IdJPuW0ua5x66miiwl6vQ3EyLVg1XIkXv8VNKi0doxpna41NwnfB4FcZCRPyE
MwUDsY3E2pxLWrh7/uc0YmZQ7Lw4Q70OadCQV3BBaIedItYg8M50EAkuD5weYCM8ADTK1tcDIjr+
h3z0+AEz8CXksgovNmvc65oVHOdpZDnXCNOElnkmxflZoWYIvofUDswWNam1fuiihn9Dha14gcOC
Ad81qeNKlgGQhvd8kctqgkdWkogVvZDmlfZi86HS9hyeBHXsyH/QuxD6IcxLl1WAJNoh9q1nZN3r
K8wi4PbtezkgirJdycXMrhZ5DjYB857V8c/mqPJnuSvsB5z08ljv4FCFJjJlVYZuLaTlgw+WuRPM
LpfUw1c3o+u5SzVDrlt/WWa2fzRgAent43pCj4BEAfkr0LS+pvmZ2QCGbPRlC5HftE6WwywmVzdP
GKjNYjsHjFEHbZ3j2IT2P2yTnh4dHmpI9E8XJQbTXCNILJ5NjxFp66PcCTsQkfKkwMTpHYI0iddc
t6YRFwF6zL2p2hOICTd7OL0FvbK0G9s43ozk7bPeJG6gsrNEFKOfgr8pCbPByzohTJGZYLtwz3FB
UYw8Pu7yWZZeGvySE16rOR7M5skLE1JCNS19dyiXxOxLg4RkD+Hw1ZfpRbu2K7/rXT1Kh7a1IFQO
PcqjyI7hHCCazWxbzthfoyvhEnKLph95So0D6yHbt7S1+ay4t00UREUhZueikp8ofbBVN/EnKWF6
fqdkYuJSaWu637EqTEaYocxAeOqA1LB+KrOIDppV5F0A+DiwoTQa1Et7ztPvF/8CDBQ7PapotqYX
zD5GvtpzUD/oDoRLjiO9dPQydnXi42izj7zKHLJKjT3bcYbB3yKTEMmF+LBEmeXdzPTDOtrhS+17
Z12vGm4palFX2qCUa1Is20Iy+aWOcKi6+lGHEPXN4kxtL9r4WEqiKqYdWYEDFQ3FFe4RXFEB64p5
bbL3GEj275J+5ubzlsN/2eM1EnLFYTFZrFJbI51Z7Ar0YNk8GIKYFfyxrescowCCjNcKNu6azyZx
DlrLhPvBiji0HMTnWWMRylhierJUKWDWEL1Z3lwPbY/Q2UyZE3bXLljrYkcbGk0XRHWcJfhkNVMl
39n1XD3Erot1FugdFGNOQdPp8hC0euxeupoz5kKCBPGuEq5UIKne5f2nnJjLYD1s2uqLh/mwvK/b
oJbPE80ipvUg+GwEtiukgjrhTx0Sybj4+SDGaXwO42Ga/EhfA6JK8CSA8lE7l6LiWN0noEvpmfOM
JEF+jno6+hn4fVqg6Vxqk9KvEjQ9BPSlcuMNKN1FfYxdZ/TeBYy3PQyrew9XMkSu8QluN13M/TMz
AsCqzlXGSVZtQ9AE64qvUbXaEl7MOrUXAHaTcROo8mrCULo7YB2Rip1PgrY+pIWbtRx8gQpPA6wm
0KGecp3t4hDhwPmmaqDrhX1HAYgOBN829av0DGauQrTantaLJKbnfnQmJ3MPSTc7dN8V0OV8myXC
t267sq29x3HoMdI42l3IJGVPw22eH2Y1C3VlIQxj3YOeHtYn1bCrN74MAvqSIe1tTBJVEMruGM1+
usK812EHpB0HgvKY5KqYD2vrRTWKDGUrQM6Fch366LNTF1HzJXO7Vs+7MgAq9DUufIE708icO0Sb
BMQPLjVJ0/sG7WL7jPeS2iqD69gJrbI86qAjrc2+ZlGD1JGzbSMMadqd4yMfiw2jUMJKr6XLzRS3
P7JvGxpE4NxPad0iJjIhWs+x1NVMn/xHfMm7ztuBkpQJZky2DaP4bNGhTzZGA5UXRs6LyTUbSxZk
UFLM2hwrMYGEl7uPTPooOcB5HTIvMBGuxp2DUJJbS+Ikh2Kp8FQxN9ZN0cXapxYpKXZFmqPHR/ac
UwY5IgzijksY8pmH0W9N9odNhqkcwgIpPVoxnkZm+jj2dR588JsBXVHala9qyinzFOxRx94nTPrD
QGYPZ5xVOnquTxY82eRu1jZepo5YVsByIegl1pRMnOHMTWyjgB2s4iz23IqUqHGp+K3zeqxtbpS8
JKLf5Pu1NAGxrlzO6AkcI6nJhIAFC9Q1OBZXW6g/M1cqUwMpZSiB2f36TnuG67Jtk3jmwzBlZ+qy
ge0juf4hLkycLD0w7cijGNBWu2uSbnDkMyM8k68ypCHauGqUwWdUVxo8OFxQo5dpW2iORdV1Jpdq
utCkLFmszBqptgmU8220mADEu6ly9AjZBn0oUJRhl8ysbWxLn+UnhoOL3Lev7Z5gqM0p9eMEQ3KS
dUSx3HQsghiwFENDGHUsJPIbRdweF+aE9PZGUNwTYaYwVzAOFnyRs39XYu15hTZjJ1YyUlx3+MQW
2mqNwZbTLBFjDIvZBtgnmzzg3q/nxP9QSYfe0/fHyIHpOE+Uf6N6AGM3c8cCPRWeEaia0JHXTVrq
Kbtdkc9M4o8aL5SiPMu6IK2nc5QKAv2wgpPlrpy1M80nKUedZ+ed3ZikwlZAqZALZK7NoRgFPZul
pl+HuUg+IcWkdl7pkqUwHjfZvEbyXPpndpcOOrpdFXrO+WWQhDbXs6yeeQ+EwPW332iGpfqhGjzz
ivR1bxpesMP4A4n2TKLmVJTGee+YDSbgJ/XusXdDhHl26ffTNdOaeSdGnfAuAqYeHVlgIKTJN1Vg
9mNSFVgWbm1WoPiWrIwTli3/3/xpshK53k4VwBo0YjOuy91mWWhSwzIY8R7cOaIzV/v99SiVz3Op
GIPwUFH7E6q+FLPQ6ScdTWmODKsToqKyrXv2Ah6VCzlBcfAkc0lk7xsXmkE9OalWu7QaImc88QG1
IKmdWpx5t4Ag0JzfN6vkFuxO56ZZ4ZjUOtYtJR/aJbl81hKlu3ozlCNEIdDnkycuvcnB1nODlyj7
rLZdUwQiU0TFZjuzeSCDF5NeUnjynNXir8uFmFzqJ2gWy4xYjSv68llnzsyiMLk3mc+Q2ppcYwBV
yN3mWBeQGPyoiEEfxiQGM47RVF9N2gt+SqlZsK6zLGt+wQeqX29tS4NfFBmg5minM5kO1hmSn2J8
CCBFjtYWDjjrbyGyb3L2IDJZmJwdU+TjZmAS+ZSBtX5IIFHw1FRNQxeFI2TEQVxK7TfkKLHfrk+s
uom4q9NT8573SOtMg6kf2E6Bz9fT2oOIwMd2xOTgrAv9WWV7CIls/TMmnxmlSsmw7eX7qwcxzqRW
lVXHTb1ZeoRo+51ilmY2RjOZ/hGqW4vZkqEdTc2N7c1z07Mgq6m4/dhSLOTkYClUnlEtp91VAOOH
5HWZivSYZM083gWYuA7nSGc51Vk0uNQUHGyWR36A6JYmdCK+1vIxsadw0z0WfWMyUfB7RPHt9L1q
RB4B1a1zoLUOQYqEfwwA00xE532calMFfi8sQEOai25XyLXplrdsQYxQRSsVr6eZ5y87iiSb3T9l
TcMjzZ3RXPrYzJyE+zkbEywJEPT3yquwoznCH1wXdhRCjiZgKR6jleFPMGBXuAksJuFMBjLRlM+i
nU2FDtfBRA6mdybRrSGpcy9/bgj+h54RhGnUlxnoGGzTm54RrlUoMMbV9HlOlKkzNaKAmb+zmO9X
MWAhyf3+5SvftjtpU0WUp6CyPOQFSJx+bVMtXdNEtgrUZz9AR/9b9X1rVDhMcnT9+e5+/6rQAUOF
tjQDI8MK//Wr3CztVk134jPSViY+tYEnNEkhwZrY9efveu0G/twtRAKCNrVABNATiB2/bVPi8wnx
vCrF51nUI4XMmBk/uq2vvIzXEISWw1m4YmlQPo8NbGCaKLrqo2qLdBx1N10IM9nABsJ0eOADmFj7
Y/YBS8OUCE3oA1y8DIN+4qc/X/5vSyVoC5PYOui9OI5rm9//1NufZVKrdAr9Z5U7M9fBAWXKQg5X
Sqg/f9Vve07QGI4ZBTEJQnnlbb+bNApHMhKo5zgDH7KcJUtUTE/OGppXBMuE6a9b7u0IBcyvEwau
i/QqHfbfQHWyH0SU0r9/7vBF5dPVzMt2O+ZE9nswxubMSmLyfZKJhZ+/VsAa5A3RDuvQP9/722Vm
aurDqDZTVV633zR1pkbNGv9J8YmeBKXjkmV0qaIGEdrsLw/07Sq7sPS5W3BRfBvNsTczt5LEMBJO
4XwamzYsr1RXmQMqL6jUznRmhGf/Mnj8FbnI0MRnDBYhNgOsl1f87Q5SRbQSTBb5CW9G00+WIjFh
jqC48FwBj1UzNJs8XTIcpUo/42T8y9r+trhAN12Een3EEkJu/W1k8dKscrqw+dRn9pI2e2ZZawlt
qMni4vg9bdEyM6lx4Hkmfv9oilsowVNe1AEIuOx8+r44dQE+hX6Vby3mRUQpiWphrVAkFOQReAbD
iID2Fk0bHAAV0TqcfHNY6mVsdbvLEpsXfyOITuQiCoLq8uJMqBjA2y9p0e2BLQPvOc8ZLUcrXBDI
mhxDGtnGZWtJN6SKGdB55ZkFXU5uAynaHPFgnjouK/zeoB9I7YmaqGGbpAkJrNeMz3VMspwU8M7p
2qBmyPpHaSHpTLp6RgfxImtK2rJ/Xv7fNlzouShFgYCFh/371h6pLDLLXpePLaxvcta0U6YEildl
MoAfLes/f6WJ3z+HXBNq49cZDcJkUfhWUZpB2aJ67Fg+xikKPWI/5nFQXmH1gK3XtT3A0UPsECwp
RdSMkiAPAllmczV/voy3dy5EgJi2YxujYt65t/IxTdA3gMVU9rFsaX+eMC5U9SMGM668dAf1F9WY
t5sc3zk/FHSKAtwnkJ9/s8kDx07zrBuGT7rvivXJL0KzLRAANpnVn+/LffNK8+lRCNoZ3hSTNyHs
N9lBOoErrBrtPuImaUe7hPalSg+o7OdUujkUa94FBt41/wlp2LAvZ1/ET6TCPpofHW1dWjCUPGZ+
302iIg91VqD/D3aeUqFkIUHgBSmYzLS1Zsu0ASKF6V12rqPAtInLmunIg7Ycwc1Zpc9ZlKZIOxNW
dG3iNQUBkOFzyyKOVvCmEE34izbQm/VmDWJKOJv3FI2y3yemPrrdcR2M8+NYY5hacr+MKmC9TC2V
85/XW7zZz+aZErzQIDJyesTRNzF7ajt6qo6XPERe+/pdo0/rtNS9SfVHQj0h6PvsvQKkwyo0M4QS
qNXff5Iap3o04ycckT74Xmj6mdSCHZHOrYeEjoJVFqO1Xg68qliC511dTsdFjBRM+xK1HorGlaCm
Dz8Gf0yLzBAJDQqXd2eN7JXf6bY2D3wFCOl/sF6n4+H31gRCmqbHa/mZeZKFQ9aC0ghKQTx3JXPT
WP4xQuONZO8WzDw495KELgc0GaeeaIH8eUmjXx9fGKKvFOKiCGDJ5yxEj+zXvKbnDnRkd8lLpUX4
oZAoUx9cxqNnQRl1Hj3+TB0Q444vliivEoCxSXNWu2X1pNMc0o5x/mRommIJZqHDswngjD0m1K8D
6rwDYghZpN2zPC7uakZtL3DWBgTLpQXfk1lOcKP9pL3I7Hy44kTKVqr1TJc7C6re+5U5sj5B9gc2
28Eu9nZ0Dcsna0UoALLpnIFKjuWtx6lUHrzKQh5gkXqnuqXfMxOvnjJm+KeqcpkSFJ2indeWEyM8
5VSfQE3g6DqnEHLGtbcddEll+OByPj93GY7ASKoEGS2MdBiObtE0D1MoxieUK+AE46eFUa1F3+5j
OSLCXlmdfBd4w0BalIxnBRDGA2OCBVoq86IZK6UYadzRqyEiNe1eTTEyzVFWFO9HFJromidIPahJ
tg9rMdIS8xwLIppleVuUpu48tdif3UUNn9Bg9h4zMMbbbA7qCwhU+d7Ll/wvxge/Bms2BGNlgplP
qmDMe96KKbW0f8LeT5svPC98oV1E2/dBZYzCAmkHj3/Zfr8cUN+/LAQoZ455cri3GQnUBVI7GTdf
oELWYIRm+wGnTBdJmLqEpCZG6r+0re8YEYblX/Kx33b+622C1WFkQxB/W4/A9oqRK5L1l75pKFzx
dkCfvRYOwLc/3+TrJ/33Mfx6l57rAjxAms5YZbx5x2a3Ll0NVuaLg6eaJucx5sMtBU++m7MqvG+g
ZBl/B6vb2JWPSIHQXV4dde4HuM4oYF+A9YIbGcj41Fh9+Mh5CyqbvqJ6qmuSF1c1NcQs5Xh3WKI0
3xAVjC4b2rN3CI257+OCOnXjwKzFu7hMbwQeBxnGfHVA96ZkFudMMY01GS9fCpxEGSWMEj6sbz/b
sxLblef3l1zoDQiPJTFpAGkQ6yI4o9+mBI4VDrMXLesXbzSLn+UiO4q2qM7mdX5unLj6KKx43o1u
ytCjx0kG+YLFb3Z/fjK+Wfn/Yu9MmuNG0mz7X94eaRgcgy/eBoiRDAZHUaI2MEqUMM8zfn0fD2V1
aciWrHtdVlYyZaaoQAAOH77v3nN/eDKuEmsqPQh8O5bxnxYUIwsL2gex+xYNNA4op7WEnXm2Kzcd
XZJ+M4piPsAymgc/0eqCbk9VHPDGyZuxdkbCjd1Iu12NSBysdaFw1oYkUSfU04M2026SpXRPi7Xs
S6uwnqiB5sCJeGi+Q2NsCdZ+pu2SVl0YuLV0H9g2EvI8gTRYnDQ5W26d4Bai5JlEVX1b2H3egxns
hk9LHg/vdNvM7nGYskA4szHtLLOfiL4GgP005ZK40LjR+QLxjO1/7CNaAG7apDRCWBMfha15pyRe
xHuDqnbo03RACv/7m6vu3c/3lihg9qAOp1n352wejEm01+AdvzWJsM9aY6XPdWItyyZrSv1sTCrc
/PefaPyYjMOocjlmobpFjwTkDrnaj4uZoZt5W7B0fgHqD50IqjIW5GHRrilUpjsaET0zvR21bzU5
SM9JNPenJJH6vTZKa/f7a7mQ9H78+mw1mT6h/7oocX8WA7YTVmgvIog5mmkwcG4nW70izm/cNMVi
+41u4g8YiipEC25TK9yksWMfYuSweIYmKQManjC12spxP6DvH1XplxJ6qXUwxpykOzSWBQ9riIHS
224kfBAA5uR3i0EuSVTrxeC3BqGiBKza9Z5U0XqXZr12Ix0QmRg0Xe10iTNZMCIAF7OBBEcTq3dQ
GUl2KmjzsqO0iODy8yYvkZQA4dmOND2f7ZGjKXuR7hHLb3nESmS1fusil2Ek0i4KHKp+d5ZMSlqu
KOrIPp3pK/VOnkdBh/bhZqplB7w8qR10tQRsGkeV+9DudScy3/dtlXwYyqn/KhJylvxuTCG2/P7p
/Dr/MFIkojmkazAmf6nrWSad0GyeMkyv1AeINpHpJ1QeC11DHhlnKvdt7YbwiIX/0zKmQNYWZ6yL
P13GPwxYMuPYNlsoV38F0aKU6opudfMvEKcgHlweiLMOcX5KAK+RpzPKp6Ythx0UsnBby3B+iaEc
14yT1Xj6wz35hxfWw/FJ5gc0CP0Xxe5aDNNYzVn6JXJ157FxjO7BzDUgJRR2r1kXh/OAKf6qFmVx
hCpj3PRwbyix5/18l7jkaPppOY2nRBusryjnG9v3miT7E+zxxzOAescd9K6wbE000xwqf3rHxyJc
sLWI4QtV7yZ6x87C7gIqiYs/dPp4Np0xo6fUrUAyvNauvoI6c8muwOYx7XF8dM82OdAnHZDFO7MV
kBUHVoFdm7Y5tztK3UA0tHu/Pej/+CyelvrL//9/r29FUuK55JDyuf8Boc4LxgP6n8HrxzxPSkx7
//BD/zIku3+pIwolaspmhM3/22sBg+Avm5PSRfWN3wI89r8dySb/idMoNXQO5xTbOLr/y5Hs/CUR
inm4N6jHKSPz/8ZsQSXjh3WOOj0j0ZKcnDgAI8RWhPfvK8OJkzApYuq5mhvDTfyprpQJbnGu68bV
MF7OhiCKJZWPddY0TPaoBcNAHz173kQdwSaHli1nSERE7lytqysIEAF7O/lgOmYIOaIQeyMF3HKf
0a8GNSIcOxjJDiIuF7wsRGWzG0/5hFjHz0N7wHkH70Io2JpzwrzpVugy2/W4GmsvyIOoiGdCMd7S
dU/nmFhpUI5ktNSjLzyt+STTxf3s5SxTvQdxKlp11oFYtWeChdqxjRKRTtBJUs5BVlM4NxN0a78Y
h4cuN7Wdy1EZ0yRMJlQkTG+PNbDyewJt+nMLeeChSGn4bN25orOTenNk+6WtR/BP0/oht4m44K/n
+LZWC/RGjFCmskSRZ7/HxYdLiuDgameXNsSqby6qi6NqtsNmJ3rXfJ8rw1WCYvzRMGeCimPxMRqV
Lata5KZUVq1BmbbGahGb2DDvYgdDl62sXdqCuXemdHhngXs7Ew78YOv0++yLK6ye3fizo6xighpD
0NLvvTYKYjgSZ24e8ITjLhuo3d50A5Yz+l24z3plRNOnbWNW1TlEevw1xdq1GzOxEH6UeEHUusyw
jvxshyGFH8QagaMMb6wCuN7s9b0UhNWzsJZBndtXozLKucoyl7ad9WApG52lDHWo8pp7IN6fUmW2
sytn2qzRfI2VZNnYypLnKHNe69TaPfN78Zgr616Z5d0ZIEwcKBsb2dMZKL60P2szdmwARt27TBkB
RWfO50WZA+sZm6DBcX2D0TDa6GMYPaGfZIeVe405BGlZSf7aNAW0VNfGtcX+82rRB87HGBOjQeT3
7liiSsS2DropwcLomSSTrRdfYx2t61lgVQ7SetTY9s7VngQcrJAmI9pV9kgzE+Ia9ZNft5bYGQz7
m2q21pexRXa+1XoFtUoJS6pFhr3VsjBhNmht94MyZmrNcM02tbsCHXtDz1W5N5WREz9sSuN+1g7W
xefZMQY3yOMghYRKebH2zxr0P5bbB0+5REP3WoxksFM0/7AgTr2LMZRqGEsN5TCVuXgw6NNvCTH9
3NXw8grsqMvFl2p2HwuXRUZVtZegSMxrGxlkUKontbxBg6v9SjldsUW9F4Ocg3GR4aFWftgJIMIW
6GaEAlS8YIHpbk3ln9WUkzbPIvu4KHetuPhsU7dDCNjqbN5IY8OM6ypXbpiYL6Py6Q4u0Ta525jH
tLtasfL2ytNL8L2/lMm5VG5fLFQ+cazFpphTYp6mOtllf7uDuwdI3Pl9rbzDo3IRL2tmHaV05nv0
dOuelDpzUyvfMbsr50ZgRV6UJ7ldSJnboN6e7ifRPw94Ew4a0sbzJIy4xHZZdWLSH8tUoxy9aYzW
TGHHKBv0VNl4Tb1PVVPZW8dZ5VNqLfVOmGTHoOMP7xbLS27tuHstRS2ONnIPsluMV7g6NkrLVu8/
di1fGTRvvWnr3LyO8pKkQtNmSOsRdIMCqm2OP+FuYdr145n5LkcLCWSlXD6ug+SgHTI/jwNjMFnm
5SPqBozhRaI3j007P5aorfzIK4tbNI2Cw5bMh/ouskN2tfUUd/vaFG7t5/YITGVNq2OdjSj0krLP
N1VdygdYtV/h/U9BZM7Gboq9fEAebiTgsxwAr7VTckog8rsgFSuoBjsd/FplLBoqbdEz+wL9/SUs
hrA1FR0DgAUyMyKysr8qkHYOrC1a8znTaOmgPU0HMtbjyXRuAU+TpU6Cu3fIBi9dT7NonfuZBfsR
PAuvCCAkj9QqMGIfOiNpr2KF7gVhY9mfekY/QT5DE8WBoYWu8Cendh+aHGLzJkRZc1WhJr9qllDb
9TIto0PY9MclsaLbOB/yR0+jpOO3o+buY5K/p0CuU/xSe6LbjqYoDkYSxa8eicFY0L02hTK49OKE
fZs4J1fUruOvE/vzsfZ4P6xxpKwyr9p9zdT+tcT/NSFWNKebfuy6u2U2G2zYzjIjcKW+FPmpPViz
L+Z1eK+HVvPatHrywpocwZIvhpvOWovbcLTlVx2ZwrqJ89B6oKo9vsfRtp4L3T1y5su/ILRx3mwU
nomfxFYzoAQe4ThIkQBeHI8Fs22AJsdcNoSUecB4yGiCNUFg2PMwLvYpd7r8TUvxC10Vg0nZy6mT
6T5shPPMOiK39bxGu2FZTA3AG9qxwMgMznttMs+fM06ugskoCp9lVo53s9vojMol1u6S1KHKatJk
ekmXMDtT2kJGPYa9cEkBK9YjHZ/sTfRN9lBP5WPOedMMSGMPj5lBKJqRxbysMKOa27WxGsjMU+ct
PnjYEKwwp++bmh78iz0t05fQi5uPZCSMOyD3svU10IYSWSKcudZIx7vSZr7xLaTtn4W+dLc0YaLQ
tzQPKB6Cz/bgalP9UUZzSdjyGg6kU0Aj3aRJStqSdIv0PSYQIXyvsvqHVJCU7Guz1Zwd+rVH3rkk
3Q+mDkl6ETNNjyyWW0TB+kso+1CQ6aVn88YYNXs/5CJ5CGWt7xv8AEE5DCXAOzB21Pfj1CNddCwC
Bdo+LVPfXBlx72ycGin9Mg4Qz0wGnJvXK3aTFka4bjeBk5r91o5LKXyjq4kf6/pNZ9vyRMtxKHw3
rPrN7Kb1sXPhP+MNK9sX8IQ9lIeIjkKAuq76kC1mXW57IRc6QGmzfnHYQN0g/KQIaDqf6NjKd25c
Fq9V1FU7K6YOsJlTN0RANGYo1MAHMiPaSESPCQfZG7kK9+Not/mBXA9UOWZkKwamtVifOGDH131o
WM+yp63ue4U1C2prY0ecoVkdiALgt9k6ZB4Gl3h5QHffjMFsxsbrKEczIG6r/giouL+3CSwog3Q2
9Rdy2aoQ7sc0MJZAq/s064032SCOUBjlSLvyqjT8kGBceQfLwOnweMXz9dANyx7TiUYuYUv6XuFa
2TGNsjt9HZIPTemecWORgABSd4T6N3lUgrG3SerhUj8Prog2cNbhDFIuNW+dnL2hh69z3zhsLKjD
jeKTdFfT8UVVg8oVi7v4KZp9zTc0ywAa0SVkG+ZRdO56QNWTuYZHM4Wgtwq736y1lUPW0YcTtfit
M7TFlzg1hzZAEeF+oThHIt3YAUdDQdy+o/wSfnJEFdL60S0izYRcu6DmcHkTm3N2jNhmwewJbb32
kzZKBeU2kb7VuhxLv1W/1FqcM7VY000VNvH7PESbnth6DGTchgJphMOprWeZMsAdgsXaQsIvY4+I
dO0KP5rW7cq2GVDRy4bWgRllHzrMPhg7wolaT5zYpBLWgEW3Tbiu15lm1FeTIwAf6kN+MkWSfA5X
7OBULvtDUTfI7qRVHpscKTharPc1NaIhQELUvkZW497RX9S+GHAmvzWj/nNK/sMp2bI5pv7ulPz+
FaoV/qqq/P6c/PeP/YtJYHCuRV7lOLYnLTq9nEP/JnehIvqL3qyF+sSk3fMvaJf8S9dNQWAJPyTI
BeAS/j4iC/svW9iGJS3OtqS+cHU/8Qd+xyP4saME7IBDO5UatA90/00EMD8ekJXRBjH04NwXIyiC
oEzQKeLp7TlvTU338bsbc/etwPo9/ODH8tDlw+iySIUcE2C5fm7/R/YssCX3gky9hdRkUZlPS0+m
6LcQUIe14iWCkvkqR3x8/4ePRgSgU1pwnV+607jdDeK46cGscuajJT7crTK9zFt3cIwny5uhU3bo
xixFsKb1+PuP/7F8p745NXYauez/0Suirv7xNpvQikqZ5tZ9Tv0KpB+GQdKVOYXWV0mlPg6Mlnf6
/WeaPxYw//5QhoowVJHb/bmBRwRjOES1NAHAlOZTSVX+aBbO2uyo08tn1XU9iURxDwdo7t0eDkT/
5qgoemCp3IcGMcO+diNCVzutjcLtuq7ild4RSwIJvbpxTdAIEfbJSqqD39WGiskigNP6Qy/wZyGH
uncOsDvczKor+HOHzsNQQDhMbLKKa4wVNgtA/1FO7MCaG09IYJVThszr39+9n2R3lycGyI5qFL0n
JQ/78Yk5mu6ms90a98SbG0+ltib7Bq3wV4DQsNaMFWyvICebdhSd8SUekv3vP//XF1MJZSitO0qd
Q/Xmx88fpSS9OJuNe0dzCJhXL8wiYbVGY2P8QZXzU2vmMlAsg7I5tTg+kAiyHz8rXFxcZvpg3ItE
zg9ajcJqh2WX7scla3zmcP8KEke9nTBbA+oavCyXoO80i//EAPmnL47CkNnSUCW7n0etKbQK616o
3w8QQBuiasO8OnGQojmLZ1r+H14SWgzqveR/tLvFj98d67WeaNZo3rcd4umSsyYh7ojOrwdXR//T
puJowTG9bpqEUU6Ki3GGQc1hb0kNDet2ulbXmjPOD1FjE4yc0XM69ZmiqPXOfBfHI1nkJfFSCcdG
xNVXMmZd3/1+rFz0kP/uZ10eIEIRV7VL0Sj9ogsAGBMO3iKN+zBM9Wa3um17uIybuS/qlxbKRZB7
E/MerpcTqQaYAwn7TYKOKNkD3mmi35NMkLS+TqQVUe7Sye1p9fnh99f5D7OgC+vXEzp1R/GLngWw
wDACejTubRK5qGWo22ygCXwx9NB4arC3/GFkqxX0uz4n+lwdcguKbcX9wB/9s4IGWbCZ6oRC3GPr
rq7tniR33EbqF4uw60EnAb61nM6hBhPiZaBBD6Zswrv0mAyZEh6wr32z8KPdpdj79wQF1y+JJZg4
1Zi43KKOVcOBWh3LE8ab6nox6O/DwRVH01XuVSSVf1CBfOuVfv+8WawRvrsog5Et0q7/adCuXibd
Jlmi+4qfCiQxUBiQXS29bSxUhQcC06Frpu6Y9hvT1nInSGjNxDsZRwlUPv5unbCYGmx0ao5k0vXu
blwxGRxipxsMONzRovwOdrhudGuFzajHk/au1lCtbdBxYUWdUMLaAb0BYPy6iYHRT7tp2LIEUPTO
0ryiYF2X90RFxNdeV6Qns/CqM81CtyHGo9WpktC++mAQAnhrVEv+Wc86YwNDns27uazk+OBSid8W
asPOVQ/CYJP0rN9XKKUK2PpWWt815PkWwRwT3s1BotM3thtTZh9dV6ufhzJPp40Vuu6jZN+t+w3n
F2IEzLEhqpwuMz4vRy5t4PSm9wk9cespTmCPeQPgBTSyYYDPbDZLAswUkcrJjKBG+zUZYLoj5SNc
QpBtLif89l6bkFJQtVDKgqYzqdoWaPfrOzcq8jaYpYjDDSJx+RzFA8tuxhhxF0T2uGYXuUVUNUVb
tgaIcI1+5eoq237tpGCbUHrMNmwBmYiRNMwPXbLwY4uLxRG9FXYzD2Gc8GcjzUFnZpDRWJmN2PDq
YC0H3a2vLLjEy41jVc0Jh65n7KKFQhj25mT2jgIx5nnMZI+IGz+hH5mxrqKT2o20SKtoTdHuWkps
lPfqFyyo6wej8xJkuN68QQJoflp6KnF20nR72tvhzlyt6mMhO8gmFhnWjVPHbwyU+Us0hBDp1zgq
NzqOF9x4ITzyNqrtTWG4Y8DAKnRaE2E5E3OCoWihptC/iQYM22wnUf2kEcCVXY9YwDNxVZa5LJ5c
CnWESyDSWSp3U7gkVHG8W1AOOmQw2hKfOqZlczKx+GakT5KsRJN+cYqNlxmy/qDFo2NxuVlatpul
WQpvp+lq87Pa80OVZdxpQmiqazogbIaYwcVr4yE121KRqRfIVCE0SK3jiS1hz6KwoEUMRlcyr8iK
uYJEKQylsQfTdidITLICWmj1i2w7niyZsTzUJKVKoOstzm0swTWE845Hn41M2YmI7gfXAzC4Lo54
DW1CORH1sV/tc4/ZqJjsV0Cn8hlXV/fWrbE4OoPDxCOYhwDNy23Rxk3nN7yhXkAtjL9+aWwujhMH
DmhwOc84CLxNthTVdVZm5hOFE/WHqlye+n5kfmY6C0M/F0S1bQyj599g5uU7kVlsnE1d4c5XF7jC
zsP8/6pk3zRWcos/0cZGeh7KhilG0iM8RU0hTxKewwNsFxb1RGNGvcyR7OG8U2iziKKAaQ8h0vS3
RqpbKVthPHXdwG8vV1sMA7RdUBXzXcW2k56OnSx3zWUvkuWOaG/LIkO5HY3GeVh5IqNgZ7iYk/E0
GqvcktKyPAwJxw0LSehTGposz/1cT5tF7R4Xk3tvFAtfileST8risXuDlzA/pOp3IwkZhPuk7D71
bLRfkQfLLdKB7q3OWW0bGTUvaVaw+8WfsTxcNgrgvAgTm9PceTVn9vdpl/NoGy4GImr6BgaRLKEE
B8SxajT9rMe80k4V6ucONEgFFX/l2ZnqasuqYeHpqvZAYtr8oKc6m/CqwuVvG1n9QumN1XwBYNFu
Q8TAr063IpXDRIgotelarnzkZ/AwVySHnCCjlAXeMzY4UHXlNlvT/u3b4cdSa/KSyrTY5PZCqo/Q
sobYjtoZxA3kdO+Er4QEQZqU+Z5lhwuszRn8qId1P93WhRF+yjXIOSQJqFfICG3s3iNUCrZBrDz9
pp3uPTEhzZQdz6gOPTZ3/KOMlJkQbxFzW6WOKllcYGNeDDYGumMdHZ70uews98jXqa6tUXMecL+R
6EF9hqsdB+yY08SK26vhaZe5cdYjHMp+JhTfLh3d+U5gAx1u6inS4kMRh5wBDadk1A4x0uEtFW0u
JrQZwL3IuGe94clngkXcpzTzmnzbN3qyx8XBGAFUab9S4+GezrXCr14mgSy35oclKbkreZbIk7PY
1pFsMl44R308cS5ekKq3HrVT/ZIaVXWNg6c9sN1vDk1o8VQTE+UzGUHqPkw8IVkm4TOa3PluBjXx
2pI6dZ2RCFFsTZI7nU1k88a3LfoKlLiMRIHMp7ueEqYAm970vDXanMlHRE3U3ck5NKejR+0uJJxI
MDWZVLUORWvI56RfZ+n3HEc7rF7IY33TI/7QN3EEPi56ar9aaWo8mZrHGUCmHEPE7BkEBmPwRjcJ
upi+XAq0b0lk/eJgoWiCxpjQqapvyErEHrlzmIFgWST7y4F3nbT6BfsKr2jEETVh6obRwJH2aWj4
l6imeCy92qWtWP0gLKjReVk2l1VnRNUoi5EnxXx3hFTyVJqeBi7aLDbtMHCSUXetrcdZbtLJyNdN
qy4ndvgWGSpxMvV63tcyjqgLE332gAHEgnxvraC7gVtTeO4ipqMk4+UyhcfsGHetbdFyNxEdllk4
P8BjIZBsGt3msMDjLra2HHL7YW6nknyuCQQVhhjdfhWzmln40/IZIS3H1nwQx6ypSOMB0zflV8Xo
8NM5pObmEa3cxBAJM270qhYXqI1q7pvNVNtXkaFQK/UYqSO56DmvxAVj4nIDvs1F6uA+pibzgppY
oduy4lzGbgiwAmJpT21/Bqz7iUDt8P4yPoU5hHtA28MeDq0yfQ4eQwR3OQPKzsYrzA64Ir4NiAI9
w9caHtAYFO3YHkg1g8i01PZr5FBLuYwKEmR4KTIzNM6OKHmRm9I4A3PgJmSdllSBUxKpgbquZCai
UQkEpTEpQuC9Twg+VF9Im4gyoSgL5bwVE/9tYSPU0qg0jbMh+AoMOePJBoQ1bYwc62tAD5UVBr2K
tQP9Mt8NCCqeIUUbt7Zrrvec1BnUOji0IUDTjVNezYBECdJXURHRoG5DTS3ffcpdstyJ10YtQNTo
I8DmQT32TApV1I7hrtFII9uWg7radOh5zaxm4XMj6rEPINJahXvCTiLnhY2ffRGzL4j5cdSLXiMv
tMVQ1rIXAoNgwJI99MNYxrdGl+oVUTOFcW51zE4cGns+IUoqRrtuhGv71NsDm5BIy+QznYhkX9az
+r6unO7EYLqPgzcXt6Zlf461UAvQpXQHG4KQ77a8OxOR318jq6t8lwQy33I4UgdjhSLCmlke06Rm
RVoSUsF6Sp6SHcriPGfpwn1OcD34lT2t815D8r3TYX6NftRUdHLHuTgmdZ3eQFIxDCQKdnHkZD8f
SqMulyCva3LWKqv6Kuec/YJjzkyGbDJDn5CXnmiluev1q0ZN/lcoAihEIoJmTzUI+jRmXuZHUCZU
YagUDWTuhpP2CACFx0MUGr820uAmWfY631EBRMBvTUw4rZr8m5E9DirL+aGBZfdANBw7vLkBH9BM
vDPqoJzljIIJqpn6VCW41VsuD24AxSazYn8gwokrnS+LSRgzb69Qe7IvFXtMVhdZy22q1nBDS8Pn
0AsZQZeDYaRHZY3HgXQOv+2Z0yoM4OE19TQ6a3ElT4mMxBG5pXGOZlvCzem7N3NdvI1jZeLIGYzn
CnOP9bOlq3EYiojZanUS82nkk4PLvAl7kclRsmBul6bkncjVfrMOpXeiM58UG8RDzNGzwBCRE14C
aZCtWsMr1JPtsU9CLbvSKnvnRGpmXteKFYizXXww7Tj5IkZH764BF/HG9ZoOLzlr5En7tsNo2D1o
rMxFBv/l6JKC4h45sM39oeN843vD0O6BuQ44fEzT46zS2696hjQSRC4lOxuMXECdh1viphrLRhia
nCQKh4XFGRfnKaZivVkb1zoqQPa5XSM1HVy2zLZefEWOOvtUyQp9FxF/6G2dpTd3fHL8FLdYnmb0
Q6dYLMm7eohg/fOGMDtz2ll3LIiDi3AFcAK9yVq7Q8NezQHb6ZIYhtaaD7TmtM/KP/yWymH9Qi9q
/EpaX8d2e8ojvNiLSeWi00+IRImIpLjyARea026GMCRYsGlAWmybam6ubGtOzolL+E+UOsn7ou6j
R/At4xwMRY7eurP1PeKt5SytOnwXQ235XDULfxNpeGQOJ1opo7sVwAx0Aj2ajMDFJ5mq1pTzcqnO
/KfD84cOD21fir//swwyeM2Tr1VbJq/fN3i+/dR/93fEX5R1KGldjNoUj3/o7wjl3UKciKpRtWv+
u8lj/qUbHEdRQJKIZxqq7vovHaT5FyYfQHFINBHLYzb/3zR5firwosNEOA5SmdaHRQHdFKpM9p1B
HlFIVVPSmM8l89x2nKBY+pWVYtvJ3GmkxGwvV+k84ibS9ax/AYg+vssEkRd+J8vm/Xd37x+6QMaP
Bf3L1WA5xb9EwRITgqP6Ft9djSgX0HnxgB5YbQqiDHGDP7iVg59o7AknGScxvLijihJrC0/tIgn4
pDqw0qwPPOmWb7Lv9Vv+jnhgdciNdxidPWMPQzj8gnrJmP9QX70Ugf9db/t2xbSNMAfjX9V/MckK
paCmXNSfLRwp0caBZPVuxLkC089dkJSOCEnTTeKGHidiFNn+kunWvuDMaGzakVKGihVgXdSoeHR9
Uo1+X6hNq9vaGTpOTKR32NWuik6qcEvaZ8/IDK+zfLLnLUgmR2W+jcUfOgy/PgYcyDqVGegCkGl/
rnyjWo3YfqM0LHt2pVVEg9IH6sPQqEsaDWCNkMWGRv7h94//x5IsjFfg4vidLRwz1DBNS13Wd0/f
1udIkMtYni/VLVQhA8c6uvdeGD///pNU2+L7p6Y+SVJ9pH7q0HVUCuTvP6lGWbA2bVydvVqneDNV
HFnD3ltMP6vjrd4MbJ0tfcGHkQKEK/40aH7SHvNFlY2KjgJOUIfZ4aePd10roeJVJGeVRPtawEt8
zRCv5Xt7Lbqtg4rNX8jAjfdT3kyUHLPK/dJzKj5OchGnGaQRKB0sSBmV3LJ4Z7VsdTaxtyxfam2s
N7q2Fi7pNpUAQ2Q56/CHluVPuGX1oGg+MW3ggKDI7ArVIfvuQenOgJjXDrUbYwiL16TtO47zWtaX
wscpVEZX5N1nnyJP1qd5bWLofGLmnGSM7lfytdcqWOIIxT40ri9Ja7lvI1we9w9eNUzdPz9kRQ5X
RG/l3+PttH68SodNjt7GvXWTikZtezY92/y9gtTJXY8uMGjnRr8fsfUMQHNjN2jJigO+U+9zUZsB
ctTiAQVvMSMhmqL3hCZXx6XDslzbTf2OlRrrOJtCcFNpipKst1KyadKuPE+11t02GonkUWQg/9DW
kKOMOcbFgRpX/mCm0V20lEjZ8sFtzn3YPPUmuPGNM5rcyGQxmRvEsAJ0nLz0BLnGewn1QVzFdOwJ
MAL+StJJLIqAMZ8cNfiDhT8t8BYMYJubNZ0/47juHwddc2OUcRTxw64ZjiI0qeXFxgRrz9VQ5AFA
DT/RIWlVA63RPg7UStGBduYRVG19NBqZvyXUl3nvrSJ7TDCyuP7YiOiqDdshWLgPe/oQ8raZinnL
SazZGcZsjNvcdo0oGKfIIxHbxANTdBY7oFreUlqJdGqGVX9gqTGnoNRTZY938w/kE8ck+sn60bZ6
pF8yJZ63c4r11XOqdtvpFJPQYXvIgudZfwXnN33tKKcT2Wf29A3KyByj3dynFS/HNG2XaBy8XUtK
7SbvreJQ8kep7Yu24kYXI76XLk05XYYTOz6qeavPkTkMoF+Uxb51iEUSw6Lfqxo+JgqiNpEAAr7d
WXiBu/1sufPJydY1D++HqYHeRXUDRmv7Rm6Xaa4v3aTNbhH7smUqrz6bED97q/WHfhhq/dxnfZHN
VyT5rvtRQrU9Fm3CLjY18+pRdylepOzy4RvyDAh2aSDU87iQAoC6C1kPe9Kgm62TTZEeQMcywluE
27gGDtniTkqtTTwmTrHeYkRNYYWENxhYC3dI1dPwduTVcYA/ebXHgEPnVOyI6W0lpjEWr3BLZcsJ
tBDFhk35Si9FgN2RU3AshyncTblLQaKDHpyh6ldnMm+1mTFLtN4DLQ5V9Rm7haJSl2hUo6oo8b5q
w+gm+oY0336fCG/wzrZGPNBVabk9ALqgBAe1LoeOil4bb2vcncU27EY0CdTFy2S35E6xHPSuI7jM
Bh2aBO5sk7LcJrRfCZoR5nusnitOQcvh1M7/de02T3W8HENflu/TopDF0Wpln28zZIIPqyrx7FJ1
fLyOEfy65FnHZtzvw3asy0cWY+sqjVYzgxbEFWyrPo/WrWfMAMcoFtbTTeEtDG2NV6VFOwvDrUXg
k2+i0CLAmARPdShxO/YnBGFbHBUySzobjwsgo2kBVXpEjAX5geQyFeUN/W6Dgj/crEOY2ZAY2lre
peGUigD2LSfsgmO2dq3T19kZNQn3XK50660BzKA6xgkJF9uMltKEInFFMCfxHDB8kH7hZU+0Cx5I
g2KzVItGYhX0+bOxlsmKpHBEwv8EcNIczk4tF3CKsulv7AGJ9z7q3IwfkNSvrV2YxEZJWS4vYzTC
RT7vuslesXqAp34SqWm/2nOoqkOGqniADFNNEWflCF4MUMk2OWy5LqBgB1UsaV7ySckF0igdHzvb
mT7VbWwdRneifOVlNofKEt26tbPzipNu2VK+X+faEvecF42nb8fOyYF5FfS0C2cUyEWaHNrZpJBZ
uhFpJonGUb3UGzU401R1o/Iu7iiXCmpCekPNw4+nkgurOibda1YwqkIeJdRtwSzZbhBIzdWx72gZ
3aXtkGUPpody9DgTYj/c0HdUm09VSrQztBjbair46Kpaaf1gH+9XQmtd9eXVpU/MT1yXKuAIu+Rb
DI3NrVIMasoL2cirU+cg3O7L1uWVp0xJ1Yz/xpyKUTy+bYATKMpcHVMHimHuDDeFBjLFT/ShmXfk
kOmc9Edl6uCfOazzjZhAZmmofTJW8+fQtOSVNyaJB8iA83pwKRtP2JypYbQUeax+5lAfsc1Nr9G4
Z+mjx2qx70rdOF/aGITgoJqPRZyYVxV56MN1GP8Xe+exJbmVLdlfeR/Q4IIWUwjXHlplTLAiFTRw
caHx9b2RSRZFd1U9zjnghJmR4eEBB861Y7atScZwkU47MeAuxl7ovK2B6rTLl6IsrLt56NTm0NJk
WrxOdpV0hypWqu8UQG33EFBAdNVCwTGiDKZFtxN25b0qalxRcC4S+Jcmt7lFTulDhmJw9qoit0JL
l3rCbQ83nQ/0yXtB0BmTqNRrPiYrOD7vaNaN1n7jHM2axdW4pKJpu2NHuaXwjs7jOkY8ZKb2rMlB
B3TolT1xrNTA7e/INn/nFO09KQtj+mn1eql97bsaE32lsZU8ZpPOPzVXWoojZKJ/6yj4tUwByptN
FHUc++u8OOVjPoJDc53uQB59tA7rRD9uUKhaR60ba5zmWtuzeVF61aQqr62r8ZyAWwVKb3VV+sQk
0n1VEfkJi1EoN7J3wtJN6HV0W54CS/tYJq2WvWnNarjI3Exgy7MAZEtROfh7GaWQb5OTEovpc5qo
yhiUTmcXR6LT2v3cKfG6l0MLjiLDvIuyqve5cTfjlCe6YYsShUxg7bkS9dgq3ZhuuohVJL+1ya1J
UsjVqbh30AUeabMB53wsdZcECRRkXqo5U+q4xIvaBbHo7PaVDZH2lMOLA/knM7bdZVJ1dzXNiNxg
deHlOxeLwOTPwye05Mml6rwYnWcMauibE7ga82rGW4NIG3foq0vCFR2RTOe3ycGB1VVm9GzGHClS
406H8GMfwTV7/FzzrCTXQirodeBiuKswjQ39tSxjXr+EZbnrUpc+NrBAKpEceiUB5dtkAs04dX5i
d/5RUv6LksLyVmf+/vdSyt23uu4IGH78RUz59Qt/VVMc8xeOHHxebZcFz1YH8i81xVV/obEIWiEl
01vNrIYt7jfLrP4L/wsxRQVd4RkAPX5XU7xfHI3cNCcafLPwRP5WhRd56z+fOUwX362B+QaHrrMR
If9ivykrg/WqUJeDRdZwCQetybTQKifjRt+uxsiDV2ywdM9ktZtoFPHIZ0hatl0oHzuOpBMAiFJV
POwifWmFKTtyBS4b84T0vrBliG8n217O1aKpoZkNbArWiqYhHzM5zRIa+cjVLml7VoxOUyIHMCfV
mWms6ZHMOfyw4GheZLfI05JTDqnhx4ocZV2fY10xuODx4EbSo3Zia+5sH5NCzvVBbb0WJC4PGIrY
DbsOCq1Jc5ROg4+rKiiwrIY5Doe0PmTOmn1TNC35MmFdvTKmO2/W0uRD6CmeyYK4jHHDQ3kbfGSA
jvUqCGsaKCbrznOT8jwaXn4LeL6/jlOn7LU4XwNazGCIN/04RwwOxS7HdzoGFm9KMGNwJ/Nm03vA
dIfmK2KVwhbLeHYlbzO4Eir7Brwrp9pOBhivkIB1vU0i3eOdNzNTO02rV931imEDOlire3Utm7t8
cCUHFdfU2Y1vBbWOLoi9rnFQTKmzI4Kv9gHBoCuZiUSNFseeoNEXwCoCYrGvaA/9ZWjMt4671qPW
dbW7d0GMlKHODkkwCrnFvpaD8TKXhb7Lob7sK4H4H4wUgF9BHWfhYqhFUG1N6ZY1dg+OTeCRHF1s
nQw4WN8RfurIrLQHZ7yrvLIOu8ls92aisugZWKF1jW7caLi3P2mLSJ4lmZFbGHxW4FV2xMAESrwq
wDykfbU36rk8eaWMLx71MveWyp22YJrOqEoIQVkX3A2HZVe3Sfy4DFTroglWh0mtApXkI62oef4Q
D1TA4hZ3wng2p2NiN/siN9yoMqcpSAe1CeO14W7rjU18yL3Y2g12VXz3pumLFnvKrjFNsnVpX2oP
XOSJ383Qz2AlVD41qkakuRadlOhUIX019w1XW0Dm/Nxs/XYEqO1QSbu3tcosf50dZZcyUEBDdnmV
HV60ZCC7pNGzcyrhwL4haPC8LtOWTkkhrguGoBNMsTbMWQpHUpt5TpoyvTFGkrA1ly3PJET9vWDY
94c6zbY4Z1wE+B4sjgPsj4geIfQlmdkke9uslkR7dmPKk3edp00GuRbocPbAojlNUvdhor/HxsWm
eO7wqOuFNT1aHW5F07faItVeWGAmeaSy7TyDbnLue5cD5etsrhWwNPxcbH68BgG0tLOF7z9mNx7C
1StLgkal/0OTY7AVusgIGDkos5lMSH6cmk29K5sVjWLGsGhisqL4ZaQ7NTOnx77IBgI4QOhy46Yw
MDt+KopernW4jkXtkK+04BUtwvbWcCRbzJ1tyJLkEywkspjEdzN+P0pTcXnCryaouEDXgR+ezfz4
0DOdJCzz2nXxtPGUTg5L75qfhgZayBen8IjHfOI98oYRQQQrHyQeA65NHRc9Gkltx2SM1MaiuBiH
bB8/1cVgA/FuiVoFei+p4dZRdqMfj59/ntT/7Ult2Jve+++f1DeN7NP/CT+Kpv/449pD//mFvz6p
PfsXy7a4bNGPMdrq2h/2Hqr5y9a+iQALiHFDOfz+pN7CLdgk+WPUWYTG3/cehFs8A5P/ptu6QH3J
vfyNcAvYmD89qbF1I3ET92DnD0sMT/lfXPRI9Iyls6NfVj56ybrP6MHp45D4K2nM7gq1myBnBSXF
h/mQM8abhNYVvbS1QM+0Q8cS4hKzs2G5qlSYJ1uSx7iyrk1SH1JpDCe3nZzQLD373Ay18tjWHY1N
daKc+4zhVpiV/Ti6Yn7OUQRqHxGR551oqWfvclKKXbcgSq10+GAvp7F7jA2w3x6VunwNH8fkAOz7
ahMWPbFzxX7SxvfT2t6STsSmoqm+WQnt0HbCANHvFoEDpgIEI7BL2g3SpP06WNpEh5OAwjLKPJD4
ma+xTDgn9Wo4jyomARvDW9kpUYy5Z7eo67qnZRQ1I9H3Sm3Vrx6InYhqrQyALDX2s7yVxWJGSlL0
eP56Y1divQyEhSHDqGy+f6Xhk2PCprrC9Q5LN2QPTpI2WD219SAKHVmT6hN/EmI8JH1+KxdPZRIq
1qiisJknuUcyUBVUZqiWQX8yVlJyvzNutrKjO9m5pprHrd6oHjy1mqI+dvZeNRyEuQEuOR36i9fI
wMRwFOqxuleyXKNTY3mx+nEJxn77IURBscaA16dcBo6YlmJHpTt8Zv8SGvNcnUStZWfoFtRz6Rz4
V2enZKXYWWtb0zvCsJaB8fVbyz54sYc/uVEDt2Agy9ZYASmQNb6h8tygho1elmGed7pJ8hba/3LU
maqeSJ6ux05zx9BxpnZHjsXa6Z1Cq90MSpHMsu1bbrKfB5sQKEC5yNPydzEL84zv5LjUMUKzZbTh
0Emy1GWyTw0W2l4r2rAslajI2yeqVF/ceb3kOsJnMtrmTiFxG2nqmu4dUX2AwHzP297cU7shgwmK
UqSixZ5aENImmHjo954Vboavspt9e+KScGVy7zV5s2OfvgQ6BtgAP0UwumClzI52Ha23ji2z7/ti
rlpQyO48K8XnlfgvoXZXRCSHmZnREoN1rV3QnFwLGZvy0EmEeUhXc4hMdJZALfl/hSbflK6vwsJh
7rTrbmTgWdo9JCgzaiD57ey8oirHyJ+lbidXwvTVznA/J16nnjiXtoElbOWJAq+qCwY7NUOnzLKH
Ck0sqHkU+2RXlr3IPPmk1jOjL1XgD6vjmmHXrVdwOuWOtvkp0uOU434xVAgSqhPVs5b4va6od5kt
10hdiyrCFp0GFE3pIYsIZmYnt4+aLuMgS9yRWTQ59taonztFHUKFR/TzYBm8i8heoW5CNbITbwrZ
QLW+ajWkMqxcfV5iU/V7RaNcYmzXXZ8KJ8CKgGloLerHQjGWO9o91ZPWI84heNtpFkxKQSJWuFNI
7sMOhpKFrrF0xY6XOlwcpYYEaisXmD/lvqE1RzGLz9mIzsxTuzyOrUMkwh2BSq28n2LtLHwqZQ6z
Rf0+x6kbzgAfTmJcUfPs/lF1s+NQjzYp1+0YLa0HSspa4OsGOofH7nidSjs0zZnDSet9GdiJgGi4
i7XhriQYQOFLxs42U75V5rrsSrmeZe9csom/j0y7n2h29Guzrndw/CROs04gNZCCTh3D9TUz+2ib
BFO0uz4yCEMC3OxSZeEoPoFkOuJUd8Eh2eihrFsuqcSW10V3dkOlf3jtNrBkuQFgorMeY1j7hJy9
CBqdr/JR289m+21k80Ar1RLfWDI39mqpaaeYnuVdXhKaKDY38NIXAut25R5SQ71tSv3dtrtLTgfM
sbPmF3fq2Dlkdh+Ui2EfBzWrnzxvJEIssS4Kwsopg/NII1JAC9CTrg1nx+zljXB1UoGyoq69Ka8l
6fZalXclfcu4/lM3iNv2u5SDGgIZiH1rHZq9CSwrjK0lj9qpLy+ovHJv0p3pW0bsHZjK/M5IgWO4
3tNiLoemrGmgt/NhB4Oy3fVuCVjF5TvW6/rEciC7o2Dokms8hGYlnmFNUKZUaEm5k4Nl+WplAUwi
7oeXOzvDNzkmskW/Gg3FT3qYMIBp1ZBCd/tTWcxvUzwMB2dxvjaDPvppUqZoQf20h/+r7JI6tgKH
SNUtHL07lb5nvyVCxAufrgKBK+gtzmUwOGnKbKLJznZzm1HraZvlUUuV14HzjN8q81cjEzr3wmE4
uvRxca/J0I/Yohy4/2andDSnfaJwl5tcxQqGjfjg4ovdZ6th0WQyGTudTr0Ao5S2T5z8dYLweVwV
l4Rqd+6KVhIET74binAgxZbxTqEsyzeFre2sBvORZlbqiT2z7tMYVPugROCWseMNJ0CaRv0ZmkTd
P5sZFaAF16zSevVhnkgJUSfYt7RTvvQxXaR8FFu7y1HluPoq9za2pDeJbWVRbB+yJgdcaBygFmUj
TiABPOjZGNB2iTosC2bsJKJlgbs3/ZqrmAD01fiZH+BUObb8RIypXmv2F2PneEHeuOThgE6VGQ5q
n/XGKuU/Qti3us/65b+O16Qo/uN4/W38+PqXwfrHl/zBUIRTxzSgpG2moW16/ldgHDnqd81LpSEB
7B6eHkTpbf7+zUFkMWSTrSDxvNnrmND/ziStbTren8wUBIi3bwNOFgWNuhVe0B/dAKS28QdJAciZ
MsSXBZP2cTE0RXL/KQFx8GFvw1k0J5wYrQYtqSVYRl8mn1i3BAPStReL7bb+ZqVrcdM4JbyLdmZD
Geiina1wkObyAhZqfMONK8M+WTiOikWfA2904VyKnizbbKf1uB+mRXsY8LB+qsd4vF0lC2sS1TUq
UbFKjrEt99ddVpnFwZE5OQdZjChRYun3NuFv+vdS+imDJGlMmPoLPmFzQd3ZpbM7JQdIkOsQ4l5W
P9OyyXxeLkXxtXWU9jZLrJEVPFvwW6BguCEQS/jZK1EthZ/PWeEcm0Wa627VhlnsWTbxpwbUKv00
uAlZldRql2PCVJ2HVbXM4Dd4gTiQ4xVSV9OS0rnXXdHcezTwPqx5Md62PIMEVQF9OLEWTgLOIuM+
n6Rz2AShNsjNZk0OGXaHO+kOBehrjMW9uAJLee6FwIfBAypWwcUcYo0C6H0V64nh7F2rRhF3ZKau
nAOYo2o1wMY5A7Zdq1oL+oVGUby8zUBWLGlTO8iRVWvmicyl6Wp+7URpAjpDN6AV1rA1nqeg88b5
pvi5W6Ztm0WzwCxd7cSPBTS0vG0bbf1YTcfYtHYEuLaNtfVzf92yOu4vHRsMylF/brnVbtJizAIg
fsLW7MbtwnFWInq5tWIP2BoiisqeyvHU/9y3a7+u32XXjdNa8dzSp057S37u6uefm/v+5x7f+rnV
/0dP+N/c8DSE8P+o/B+/fqTNH4WEX7/iX/c7DbWAKwCehaHa8E1+v99pzi849jULiwkLAW6rv938
fsgI1MDrtgtSw/6DfdLUfvG27D6rAHyaWPaMv3Pzw3b5l5vf9i+gWABGxQaClWtbCPzBClVocTsA
krFvrNRUjgk5xfZcO7CfInyHC4TfbRFcGPVpprG6fFwzYXmfwXd8S5vVejSdwrACrTGe8InNr4yo
2dliTQmiWndZAova3vhTK8zzUDHWpX/gZMRWNE2mqX1W6zZWfHwGpQFY3su6/ThScHfj6KnX+lNb
urusS+sj7FUjcHIioOwNkrCuShMHjmvtMA3oeoSP+b4QLDn9XJ3iS2kIcekYw3BNji3qgpy+svF/
N6ve/WpyhGJt3zh7VWTiXVaFGphWZR9to/vAV88JaHbThVgYn83zuqTzQRWNueMXpdzAiYtnzrXj
LiWRzSFIenoySqaVQavGndWV/eDr2ZTfKmmqv2KdvJiDIUJkRBpks1R9WLq6eegHztpjr76WlCo/
z1CUbpkXt82z90pK1I5GlaY/Y6zuzVxpD+Yg9RtZVfI4uAYIT8a/SzU209HiYHSl+/XD61ssYKIW
EefC4txWhbcvG2X83BVOfFxiy9gVtQY3jDtXtOau9o3tE84mF5DfwdOzb8Ogy8ij1f3N0qiAI5SB
Y77FWxO0Vem+6/pQRJZDZe3sNq9VVr22FHtcCUHi8Eqn8VPcK1ZkGNQMkO3FuSeAR/rOVHOkKauR
9Y6RedWjs84mcXQ1Fcftinxux87e0fwNkJuUH480fWgJErF94NWPTkhGdeR0Mhr2QhxqW5XYDOoP
JrSwu2Xp1tt4StWAs3V7SQ0dn0ymzhbfhUOah+lvDx9VkmZlMfQ4QTy7WJVYLuliG1c2IPkOtPF0
h+VL7uqum7+g6JaUXaqwIIdCEd9BRUO8SyAF7isnny5yjbPDTAfppY+pVEJTnxIaXUvSTEJA0NaI
lfjLIJyzJrwU0F7vqHgmFujU0ltLX9a6WkMeGT2G5G54MeZlmJBAFn1XGEW7BOyaslBPUqo8Ut0K
CqVSOHBXunceK5CIdHkDrQ/GtpE7b2Jd3PKinNYWp25dumeontT7jZhcvzcDxwnXLb0Dxd/2BQ3o
q71aqk+LRI6ZL05seO0Kvkwwb8DHWP3Tjqx6r3RuU3cpnbOI6+wOq1a6K6Hxfx5traScQ7O/FICc
TutcUbBhj6m9nyQKltT66Q2vpnGnFLFDit6lzBWzcwLsc1rOzaSYfeC6cXMiAwdgDPtEGi2Dvt45
Fr6BlfNCYNtzHWJs1I+kzOUDDFFrTwx1eLFSq7mniC+FoxVvGx8vyc6KMBbfqjy3wjPNj4Q9k/iR
jsGUs+7E6VyOCzDXkdNuHy9RRnPZ8zi36GxTq+1ScAosJgH8y96MrxTqyjvbbkFDuPIpKwhfesZw
kLWx3k4DeMRmdk7wbTmZcTyej9DopoM72azZKl2JtElDRGIMWB6LrhTXqhv1J3Z0+Xumam2o2AVL
l0mSTFyyND7Wquc8znmrBx5V5sYs1GvlKJFaN9N9YrbyssCQD7h5kpSFFRc0Vg2BrMoo9maNGSbG
pB7XVvuKUdK+EWZbH3WQpMeqG2w/0zqoAfRYUIMTJ3v2CmTpM/GkMCBiwdON/nH10uVbpQpS9Iqz
HJa8Mu+dhXZdfouwd2nKAKuYWcXeYcwLs5gbuaqv/TlLiZ0QcjV3raiTwHZH+6rOgNYbYrdHL0mn
MC4895PRqOkBa1kZKBj4Imn2C4kwvFGfeAiuB9PzIHjlreLPU0ry3DaH73msNBiKsuaha9Gm0ZUJ
arbqR7JWSdRqJVtHDCl7d4TUEwg4ZZ/0NekvsiofuqYZTlAS6sCQUpx1knLkSSzKDGi7vVO1zLvt
Ugnvvh/iNTLRSfaViQqlG4hi2F/HcHBS8xtW1jGCl/RlgD/MPnALe8dsSgNpW8qF4vLWb4Q1vYJC
ywJTE+uDDWck7I3G/jS4KZ8NwxbhaiE0wbCfr3U6KNywUHAmKzPfixLUmgvU4kaL63q/snX8mKrE
RMlib41UG+jToh+s0RYVEb7YeswybYYSurpHRuEHmsqPTA8qRkzq5MCwUFTJ4dfyQicboX8Uyasy
W1WQDxW6jV2ndznDPRT9NpleEIfakwc97ZQQ8gR4XCCacN9Ugq5XLx0+zYd1He4Gmj7QytWSekRZ
MLcOw1O+6NUpbkg1IqTva0+rL/aapEfPVR6KBejuTHkMIrARJ4FZJy6zuj3sEhd/YmcMbFfd+JIX
otg3oDeOsQrtsF7VLJxEBTCVrTaCFWlOVJXc1+eyjWY3ri6JJbl909L8kWYqBQI4eM4rp/ovmlOW
n1HKlBurk/edgVCzuuazupjdTeHF7WWaSFDLXln37uAMUWs54zM2pOFk2dVHTg78mLJ637VF1uzH
YaERFCA1MDAl6U4ZFTq02iTmA/b95m6lgD50eXKNWGbvtUTon9BXpovHU5nyOC0eX7UsUw7lOlqX
SmT5Sc+sXWOw+GAtdFvY5susTKavulUZZbUR+04y0vvuJmI/9G57K9xeC2aWGzu1jb+5RcItMEnT
vdt5ggr5rjx09FiR8TKnsyBI8TZ6EHKdjgY7sZZtCIx7/W615VNa1TXey9x5LGJeQk/nXcDroyY9
N64jd9VIpNp73EEgrBozvc1FA7RbWa6zPV8o6jafyxaHQEvnU2SyT90Tx/B22VzE73JYZpS2TL7P
Sm37mOW8qBn18ehMqGuoPu+Txn2FTQXsjWmzTFGvSsr3QxkgQEscAL4D3fXkeWyCCswRc38mCoMp
wWyq8cYsm4SaJrUJUtUpn3McAY8MVcW5hkUBiVaLIVZOhZvfNk2v7SmIFzdlYu4q29ja11UJf5UG
iXq2lH2am7B1Uz25OFtgF4zvcEjinH069RH2XWuJ+Ziapbab3QFzVI6RYDKn9w5EUtCQVBF7jJzr
rZjolC8gY52aVdY7y53mD6RsGqux9jKkFJ1t+QWmNXphty0Qbb3zFyr7xLu9jIHKmPtRJV4c8kLo
wqnaXV6x6g4WIm4Y71VgFXmhHJJV4pclOVFhJTGL+ipmvYABatqEras2DRQz+RqzFg7NegUFXtm0
6FgeGXOsCrfMvUGfqeUOku66U2PBE3SKMflxH6AOkWkzdV31EBuK+n1rY/R7TEs4iKn8a2iJizRq
8HxGD/zoZXFvOYCU/U5d5nMcd+yqaj0/qvyq3zm/Jgd9juPIqQcE4QSx/SThjAdJqnRhO5HyBsER
O28waKS30wYUt2xV7x3BAwk3f5LfaFOvfZmFU96urJ4CddTLwIixjMT1ikz76M4xlOwwHt20+ZIN
5MRNv/pJQJmp7DVP8Q82Sj+7XvM0LSPvGoGjeYOoeD94KrmENgJdpdRArQBpwFnpoVWg2cBjUfoN
zUJpyPyNBAC8Fo9XyIxgvfE1zTsRoXi36KM4xksMoVfb2C/qRoEZ8CdeW8HfZtPUfDL45BnFInfM
5sq1AGcQ0hqp7zPHQnFJxFx/lbGqXenncY/kkVY+wShZN85gP60proVWWvZXsxRd7K+oFufY8qbI
Wj35QGuMwcKBHaiC1HKvTinCs9EsxDDTaTiYJRxm7gZLyNSnh43JCMOpv8LnkBUHW7ItckpLP6t1
Z57kxmrKLDy0YPTn0LKXaqv/4/uphWie52w0XzutwJfQZeyF/U5TSOao1A+pvHMPk+FaQVb2y6fJ
im+T3OVtVUtvfqRHLAnHPKE9AKifesWPowd533WhpDmQGJ3l2oMfJ8K9dXkK5z6T1gDlG5i+34m6
Os1Vnj8lbkn4jtGTM1M33iz1mjxW1trt3O3Njqs03ytez+nL0qv0RonHSfpNPY+RTdjguORd+xjH
FYwNzFWwd1fPOhadrB/6BPovLtL2RaZSe9OE277VTfISUwtzMXWEYn+tVTDruhAkLLCG+cOongnM
ikdKijr2DrGoneswp+Z9nbYfzgqgxBfrjP1DSVWiAZPKYz9bE3w0ahmDry6X8jXHY/YM+ijeu7pH
VGQZNH3PUah/LuQwfR0V7FuC1ei5qxIR8orqXS5zPoSzrFdf2r21+Bw9mHXarIVcnVrT55Wpj4lf
saDMNDOimrO5OmuvzB5k4jGJtauEAgUEIupcRYt0Z/WOEwCgY7qu+cVKx+xYwda6KS1ODg6SYmir
yufSbdbnNDFjy6cviB/OWLhpqFaxvBbcKnSu/EkN1txZb5WlWUMw4vG+18fygYSPGxor15WExuBr
kJ5PsU62WTD5BlnmNYc6j7Ug51iG9lhvg6xmyYtlMFxntWptd7AkAjI8sfvosrxq35p+cqtbrcg7
A7CCzWGspWcB11uDiTUYUrsj5Y4ksn5Vllqd7jRPyQ82bj7+wVFZXvt6FvPTOik5z1el58Db3w0q
8BQ9GgZHh3juGXKezrwl0nV3zQ+FDzPhJvf9n8ocuxRIwXxDCGkfK04LraKaX/6gd///UqB/DW65
WyjWoq+LqQx156+CMqrvhM1Jm24SpaO026MZSWM95IASUFxCV8m7XhkbxuJkFNYOXXNnpVrkOvFV
DCur9T7iR917a05n1d+DL3K02V4bvFHNJPVJNPcvBs9KG6nBgpRyAy3/xhHMivEhG/8LnO6vQcjt
m2imuWV84bz+P4q6lfczh95xuslwo2z/2ZQZ1E6z+0eS/N9Ikth+2FH8e4cTsblGfnz9kyj582t+
0yRV8tkm3U/4jMlv/tGGTCPnLyxXGCA3dKTONfy7KomQyfZkS1z/2Nvo/Np/W8nYqJKa7hHDps8T
+7D3d1TJH9zTP8ZbGUzwR3sEW/l2pvdXdO9WmqDGNG6eXbKFOcMFIJlleJOjZ9bylKsQuFvwFCgU
+d6B6JtZF4M4xhQllWdaDuMSTSsiOREFcwvjWisEdm1wSj0xghw9v5RojUPBZRrvCzezUNQsRlgo
1mDIc9o0YzIAHocLC8VgTfxkwKWTXrSxsgC6sIVnFZ+6tAcoow0N/mTg1SIYYUwgW9nRxKP6Sa8l
VdGMXFIsjxDWtx5k16T/7N5N5yH1brOsx6rEmrvEAko/cUBcaeuAGOTKfEOEGYtmgl/JFT/Tr/8Y
A//b5tJBfP9PH5uHtPn67X+OXflRf/2jnk+KfPvCXz87jvaLRvgZW+BvRU7/0vP5I9czAQBgqPmz
ns/HTdf4QJFvBZYAdPdfnxz0fA24AkFENFfr73xqkO3/rOVDA4WowOea14ArkUfen7X8ViYDjHae
ytRc1n6+pM0jxUR9FpFkrsgnWW9TNY5XmmMzPx/EG+qeclQn50Zv0F+DijhtKDqzuvfGqsbJor6w
2Ewy4Fu0mDfm5BLtI9gpOYoH5qI4uxxCOwka50aUdC/rs3aXIwp8eEZ1ZXd1xepNKl3EYS8tLxio
JvRLIq1ojNn3QR2yG5wpdtA6AvsgGDjEDyqzZ4s6QZZ358ZT7yiDw9gjp49mnmYQLfgeTERK2Wff
uzLHuG/QCeg07o1jzPsJFkkgkvo7xRTXSRsf4tlKcckPO1MvrsOy3pn5AvSQv0Xeyp/T7IN4Aeei
dv1i9QXuau1L49hv7dLtmhILmKxS45VajEMmXduf1I4DMAht4Iku0BjjrRjLD0fF4wi95EGVxXV7
B3rs8SFdQN9zAfOuwwa4g1xKwW7FTm/YTCDjND4h5D0AzbUDF4PXUZbeF6IB3p6oEpi/5VwMenNc
N/KdMhHBwnPKlgI+ZTrowVzMTzY9CZMw31KjOCVzCfYm/2Afc+OkBtOaTZuJyQ+0dXo2/XJnlvyu
FqPftZ6g3cUsTvjRiMz1KbYYHfyW3vBG6amMfVwZve9tldAZPJlg2DCRvcCoTTE472VafQzawiC8
3QY5Uy7B9r0EfcCR0q53U6fe9TrdR+l61lzEZeSbs3AaJRiL9LvB3TGytOxaFPOZOIl1cBsMkXnG
T9iwI4cHBpORvkbcP4YCP4ZvNGZujlhrrsjY+alZ1hdpQndKrfmpYr6cl5oEdir7EKHqox4BF6LR
fmHiPRNFz3B2y4y9LVWWs/rZbY1blhxaYE/YQfX+sFowwFjVP6H3HAgv45yUxiHBq+IrqosFsB+x
rA/rxmVLo2ni94nF1zh5DlcCMFUkMwY5H1jOS51oXzxj6v2KAd/vk/LEkfSplcOTOZffK1ClgWpD
fBqq+ckAZOoDhqcgXN9q0Yg0Bxp6UvDjfddq+8bzzLcG0M7OpsJUkBLc9dvX8XNSFIRmNRn2W+bI
5WADyvTxjt8IXRHvSKkeezJKPSUnqHv2Jk1YzkkcIFZYweL146F1lvFEp9F47CrbPc6jotxiFiwj
TDXVba2IBR2FrTPp3i7QldL40mvd+zJK+6K5hSCIMDcZ0odE9chDj/Nr6BTr9BE7DV0YCGWlvSdk
Xr/QW/5SzQqxgdXsIK1WegbQNL4BzPcuDeSSYi4jQEb00RpZKPpFRq0506MlbdvGmDdLOiZ+1D9D
GAC7eFc3LAvYJbw0CuetDrNWNJIwnetFfqlrncOdkqdRSbzTddjfiZUoI6sqMCpLE/9f9s5sOW5j
y9qv0tH3cCSQGDvivzg1V5FVHEVRvkFQlIh5Tkz59P8Hyu62dHys8L194XBILoJVBWTu3Hutb92i
31QroFUMB1LrtTKrmp4O4cXxINbuZJk76VV8bzOPAITNkE3cRD0AGe/GFl6/J8mHDnrmPXuGe+lx
iB7DoX3D4nxlu9lPwA+L3OQPxc/CdCZj0kd0gK3LgW///SpOig6xfWNWHewB7KvsG7UOkS8kTnPW
oel+qwZep/+JvlZ/clj5oVR/vxqVGwodiDUmVOnvr4Y7pC/d2SsPEY/6BjPjycqXbF/Jgv6HzfRP
rvTDqWi5EtY13+NigtjtH4HVo+dNMqVfdbBU9hKErIbLcpyaI1LkbtVVR/5LfDsh/Md3971InpDE
5Zok4bowSkhb9n74LCNZBjEk4RLDhhMjIBseq4kH25D2YTSg7y3vN8+RZ3asbn/9duUPsqJv1w5c
TAA49EzvxyKWftyo09kvD13Ryk1aFT7ZYi54w05cpVWaHUAivI7dNOyycRhOeG15bgOErG08v8ag
n6NSX/URkDd0fIcggHSe0raz/PFqdFm+fRf1YIZMsqlSjLjtrnCG+6mInoDdwg+Y7EuPoGU9VVWw
dxw4xxEn1TWsx3nz1+/0T24hxA2YIUzXFP8eqm3lDHcry8Y2YHU7uxK3dEJvi6VX8ZPr/NknikZh
Ka1wKzg/wvyD0fQn/pJ7NYBVi8fqdjYTe4vdXeKyCdJN52dnFZnFXT7Mt54SxR2STGY2OnprBtbl
pVRJMwoI05quOJzTvR77RyNwL5LWd+yz3Dt1UiCgYrjZTNb0HIFq2BeRVW+nJfO+F213X2bT09Sy
7TMUtE+4IXAUu1AdgUG+0YRH0wosddUyK99PRvoWVvrJj/qdVliQsP8f4plxcVwma8gTgArr6Qrd
RL62eiaiMw1B4BvmjinLr3A35rVnUmP99Qf5JyuM5GwecE7zPTwsPzzz2jOqxjZkiaGbKQTlxMTK
hpbLBdogD399LQrlH1czCTvM5tsCWQQy6Pv1pbXmxMvtuTyA2ry3u+RUVD9bMN+fpB9WzAXnQ7+B
f2Ov/eEaSdxkCgBveaiCod51yWStEZ69Lis9Gth5r9rwlFn2ITCsyxgGMS3t/GRM4Uf4KZ99l/Gc
hYeEY2EKvSFlE48DVifCA844Qd+0O8qtF9JxzWERQUOX46oXurvOE6Qafv3Bx3m5clGoHkHygYR0
qFs47ingjaRfY/VnZBQ01p6R6jJOTd4cwgpWsFfPw5SdMiea176bUqCaeNscs16XmPTWg1D3VWnF
W3w7P6Hsv0PRfvzAEBExFWcdJoPH+v5LKa1aTdVclAcz56AA14cGp6JBZhkZ7znmE4BNmmIh8S+F
g9cv7FqBP7+4USn3cpiVW6Y1/W4MNXmxrlnhnRXPY1rLjS9QKWaDewl7D5l+6FxitBYbksGMdV3R
//TS+QkG7Kvu6Ax5ycMkqQ7h2Cfr1pj2WSyeZgqxVQ1cZy/zcR/U433k0GFOsUKgSmbh69xhXAUG
EscizIO95einoG6HbwLf/7h1/MlDwp6x/IOxmtPbD5/RGDVoE8ehPEAL2FDiQFEa+XVsrL9hHf3k
GzF/5Ngtu4XPLsyyZqK9+bdnsrHJSrMQeBxaC1aL6WKDgrd5CtmpApPvR1fckhA09YoRnGIsSQUY
5WfmuRrvVejSLQ/qdYKjYhtgBF4lORnZ5eyjATKvjcG/ASzfwb+h2p/KSm5k3b0Cd76fctzYpFKv
ltssktlLOC5VKsl8Kc3+piejfaqASdGtGFTq78gRvrwfL7U9wXtx+B+DNju5huIV9TgA6OxRf2kV
Hyd/un0/BCEqQy0O3eBU9uNjQgcYUH3Ur3XDUc/R42OrIrGaCbEM5PBoZeZtYyQnKanWTK/fAHKd
8bBgMCn4k5A5OUiGftiZdtttl8eomxzkk+OjGy0HCFAmPE81upyGakmE6XlqQF15Nf83epXnJgWb
DxiuuQ6c6bVVCFB7PmDE4mdiIuE/T5Tidm4/A0dnLGK7a1k5h4E2jzGkJ40aeNVGPMBK5ScOxehO
2VmSaODG5OlwR8gMpvNr3I3lKTOdy9Chq7Daeb0cjCbdJvuxaQnYoLLPlf1sYcX6yX7s/smGTK2D
PJBGHnfUj1nlWDIQmKBqO3Te/Iq76L4T7HsLyyN0eKyX+uv9qF2pwNypgErv/ZkvY7Wbxw5RUsrL
cLpu4Mmk2wDDnb9kDUOhipo1iuxyG0z9fCB92uCAlmHuiexk25R59EreRHCu24B8vYh9UWkI3iVL
01p78mIZrDGpmp8GSbklWlmvXZGAeIlURpwvlTWptBb7YSxRaaQRZTaqv0cFgWuFH+++xWmIUyg/
Az+7tx2CiQivBiPYZpKBpL4ibwL4fQEV1wQXRA/w1e10vWtrde9xOsBx6ILO5/yETu9RkmGzVPPK
+31//afD9pMOG5Q6H33pf25MH6vxO2fAby/4rbMWiF9MzIW0yWzpcU//5grAiYsogNGUhQmAvKxl
nPK7Tlb+Qm0BzG/pZXNgstn5f+tI2+IX6VJwEHHlo3pdXvV37Lbyh5OEWM4uqLgtyUCD4PX3av8P
Otm5UGoovcQ/iaaYroy0Q32eWdn9JJ3sS1EO+ji+B50ykCX0NHvPP5VLEmrqdvUq9DrjlqBIolKR
/g+3tlThU6YJyL5qllTVWKG4JCphiT0Ny14a6+Y9gxW4wJZURlwJjhrvekwKzAbhVoWnOPXzL8NA
muvQ9P5TPFUpKbPvca/KX6Jfy4qRuyIEme5JckTKkm/TWBIW674Hx5aFdL/Qrcy/lsI7RhyCLmkw
DR8Vp/t7knGJn+2JMHhTSyYtZ8NzhrQDA2qZpJ/0kl1rh9HwcYoa/JpzF78ZLNfwxSNnWR4n77ZG
6FjQn5HdbepE01mTGMSujRfizSsM464qUzQj3kAay2BY4dF9D9eNOgKIV2MliaWJ0yxF7apNgl1H
ZCWa1t4hd8Nu6wxhDBiCQIe19At/3y1pWxC+0CfPZhzf9E5PEG5fYR8AabyPdOCfqEyHvaiovze6
wLpMEAZJJrqMcw9/UQxwuQKejjMDpSwSY7sKvsAoQbc7+62HypTG5ZUbtGpthVlzgnCWbplxU/hZ
VeWy1UzBVQtrYOWkSLCw2tX+hZCOINmFg9ffD17RHIBPg7cjieUz/HIQFkFS5BWHE7d+wAyh6Bj5
BO5aEx9OkOPbNuoyvzGRWIiVH2m4IvRzemYC3vBMbxaJT28r/8qMK/pVsZ6niSm8F5wYdYRqExVk
VlDdkR0SLwmiU0KyLTo1tEPjhDwVArM6qbRYzvrxFN36qn7r+Cn9QSjdJBvDh2k+RhkhPJLkLFqy
tlavZStd4xAiiXkK+yk9DrJstjqYU0jWpTu81JzCb92xJUO1Lp1dYMgWTKFs5M6sAhQFE5S3Gw5C
UfrUCEIGhjt8aEkFgUmTpL73oEHcQ1uIb5G9zmb+hW/XGm1SAFqAb6vJLtGeXAvdzlVyEa5XhJeo
QxZZmBVjbFsNiBdGF6mlaX2IfK4RLliMXD/YHQFmmMlMZ61Mk6IuBN++MyoCbeGqueuBlsyJpOds
1xVZweMt2/WM1bqOMpySJZmmTKmqbSfqAhSZGe7SOGOe5Clrm0xBT0EggcNl5pXFlnquYCPTJ7Pv
mY4e8lE417q26cKJFrKEKJe2XcPnjnsPxd9gz+Gm9FvuQLJ0xMVg33Ix6vYSVWOIFivV6mQVLQ38
dPaOcgrG615qdHTovPcIvym3qkI3V27X9CeUT8X9bGIuXSWV6+zdtERzH3R3OubBzKr0jTiQD6bB
MpD72Re/rexNisN2VSVp92j0Vn7Jx8lbdyXDsITTyENrZ6xaPrqcVdBRogkX0AsinniVgsdcDxbK
gKHPbhFjPQV2m68jzYNtVPKQqujeRY+4LSozxdqJUi1NxOCspi73D612kRBm7vJpV+OjkDLeCMLn
j15l6y19RDSfhHjdu/UShJzrjNZ/6xzRDBdbF2fERNHR9WdY62LbTClqNvQkH2Vu289eQZUTZ+S7
T3Ucn7xeeY+e5/RX9ejmUHaijjXFI4qFMhkK7KvQE/3AOIv0jch4eslETW81qRVfM2Qth0rb9qE3
gvR6NI1g2kZdNO1CSxO1UEKRGcHkrBHkNED9h2TvtcWSlWu9CLDKNPyTYQdSkHIEJOEWdbCgp8eH
cjfmcbYNMVDmSP9yPm1L0t7B7RUErwkBaHzmcmDMuTigSJUyyuuEuPmbtPORlwjH2EKv1PtCWWIr
CCQjd8Hrd/gki+cG+yP5PxHx1BFf/3OKU8JyeoST2VTemMTJbOY8Eo8cpfO3brbVJzBA9oPXTOVd
08TRdkbpscuRm58HrXzYJTbOzjwzMAH4Vs6iGyf9Q2JLFN1xJ18kZLmDlM14TZu0PPvQ4w+T4Zg3
Xedkiwe056ka5wcaM66PHt9MLjjw1bUIwuG6cxAgiBiA5pB2GRonnyUzj27MoEsPMPwTVOW953Om
9D3w/TLayFRZMNBUrE8ir+MdRL0CoUEOYh69HECd2qFjnVgJ5yVjSK6tIesOnRUSGaXN6XPBQZee
c60f5SBJlw5Tr10xaYHa4zXdB0SzIDWwBlyTMI07L3cF4CKnie85hJoP+D0sCHkphm28Vow/ZhV/
rJu6u5V6CUXsqpD0s2W1Z0efXuIMjaaMbQ+IJwYZZggSvZVla8DHvToxbLlT/dylNxHaXqWeReMy
sUPFO5qZeAZjndPUmDCzfeQQH5ZqrSq3ZyfKBLpIXcUo7Uq0ttveRMA+S8IqtrWY9BdfDe42zOZy
3bYJS3BMA29Yte1IVzGe+/0oiscRRtE+AcC65SYNj3yV+aYngOxO4ieE0e+d+sioN43bJuv3ou+f
+vhn9bHArfUX5fG/8pfPL8X3FfL7S34rkH2b+TKsF9tF5fk+SP7fItn3f8GnBi0aMjd+1nfg/m9F
slzssgwSAp/2Aty/gBL9d9mG+MWymBdD3XBpVMu/x+Jf2mx/7CrxU3z6ist0fOHb/NiexVNvYZy0
DfpsNGeWgBV96AO7e/zDZ/Inc4QfT7fLZbwAjg5XEz7Hze+bV9rs2hn8pXHotE3aUVXMG9kL/6YY
B7ymf32tH5tAXAsknyRYAN0cTcylI/2Hqp/vIu2CQYaHmfrlhhSM4YxwRp5sLSZK3ALr0l9fkIrj
3z5FyHGuuQioQPp5ArvgHy85EZvRmF6LKothFHRWUmiuq7ZHYFcZBCjieBmDJ6zV0toJpgMSOl+e
znuigqyScoC2ijNABKC6IJuoXtJVgmoCtzUHrfhcIue+boIu2DdhFOzHpR1RAAdbl+FUnuZ2aZ1n
9NRyo1UfTOWWp2BoKZQgTV7CWSUXO0qdciOjMt7DdCYaJ+rmbaO64s4ybP01IDToKc7s9smro7Po
5wRjRQ7Gt87FQRNIf7Y56vnrOJX9ndX1xZuWurrRwOA/WOQzgoMI8x2rbYkNpRhAk5fjQVRhtWlo
FmECERWyyXncmvEEDkzJ7sozVXVpa59OJIDiF5FH6PLdsdloPE6HZs6xMNpTEDJqN6zqlQ2ywMdQ
TPBedNwjqhxBSLe+vROd1X7C/0PvdzPFrUe7xJvHaOw+0dZ25u46Lut055UefqWRvhz5hnGFnlTI
ovzctx6hZ33kf0xZwO+DSATxelEMfEn9DlGsGeDPYgg6V5hz0oTcm8GnrBK+jD9ncb5ob0s7vxE5
DWVm6hEg0H7sr+a+HJ/ALDCLDpN2YzGbO9kp5nNkDalzk0jzPp4SsQ6XiKO4CdxtZ4r2U+FVw66a
hEJeC+2OWtQtvmAhjPdxGb/OLdtXhN73KgLhVq9MzcBo2/HhxCTGnRvS0j9CpjfuJHRlqu3QZzw3
mdnRLQfBXD5JoRQalfFgI7w6AnOxD8NYdvBYkuxapFH/Jepc9Tkz5zTf6kiD+jNUEpz4CLpNHLqv
jcrXozm2FxxFgIa9/As5aCPeFPsqNBRMjiz6EBClxU1a53uj9tFlGcW07qYRR5Rli3UQJu7Kq9VV
arS2RMlAD91lT3yhH4DK2vB+lThrNjFpNlsG5s19OObWtRt3t86E1H/FsMLm1ubpQW4y4Cm3sZGa
w9cJM9bOaQ11zqxSf1665Gu+WedzPWXZDUBqi1awUveNowx6iP590wTJtnf0s9G3NLh0bG0Jee1o
kWq9HQN3fCjLgEObGQy7GbNVORYfPRlW1iHJ/HGwkQoMjPtKN2HbD+lrwXYnABxMxuzXVrrSXTps
sqjInK1rYVpZz3lD+A+xavN0zAMRzUDN8ZSLVWgYkX7KutGmapmsvhsJPWLQs+lnyImPdpv6kcpJ
dZ78YXz0qFtAL3WA7Zx5sfwgN8Mu4TTCXQUKO/x+HLTrPU+YEfydN2eWcyygvkBmyY3Z33Up6GN7
FRXKJaNo1NH9wCDD38k6GaKLi/CBIwXe+/E2co3IRyThNl18FYRMmYnfDEfnk1VzME1Xolz8gGM7
BdZT2jOV3XGWdrwv3hTzRcUqVsYJJA3SpoesgHwLJinosk+GU2cP6JSSfStKluGq8GjSCpU/eeGM
UyyUFi6YsXflyZkGyIKjHhZbiREzDVVSnkYqwmtzQoViFSSir6aM4Q15WoH5aMGETtEHLH+MNRps
JFbNV9cqCUEh2q3e2dkSbAkhkUMcmS+b9+R25rrlKUEuv0UCpMt1gRCQh90njAvsCzxrb/DM3Xtn
H/1hiVeXbmaJLWRaGUAm+AbC4Nep5b8aCP4PDEhgjTql0debYRiLu0na9VebLtg1v0gS7ZhoEb6I
EYtODScIwKfzWB2Bfwc3GIvdlxzmGJMnVE2kJ3jFnTFmSyqOX/C7EfbM3zmGKt5gHudPUqjpNs9S
V298XVQPURFDbe4oI0wWjwwVRxzm39rU/1SBP6kCLQnO5A9VweZFvfzXN/bK5aX4+v/++/J1/K/T
17b7On+nQvz2st9ViPIX+pAUcwuu16Ea+r9+qef8QuuftHuYXcjPLf7m93apSU8U2IlvOfQzPCAs
/1cJ+r8AHkaUwd+gAxF/j6kCMfjHKgYFOFN62j1MItCV/DBithpiWGXvUHwQt0sQZSsVyOsKe1cc
Ds4V9q1meIicLjxVAnPpcUhKdRfXcOQAr5qsc2075AVncrwXHks5DnHWCqsmnZ5wSDtBotiJvZch
l4iCJl1r/HbkLZmx3GBKCx8nq3Se2a9ecpNTMD/qcWhwVjKD0nddGzxWMErXeVln9qpy87DDb8YZ
rZWpPvcjePuVj03+HvuPxHetxHOQmcR8kOtr3ZflmJ26dlBbJB3kHde8cHTxPqA8ni4FMcIbE4Tw
faixBxedEbxRWLAA1dWyyQ0II47RAJeEqiSrX+Rgqi02r2CNTor6Z/mgYOb7m9aLP/P9owA0umX5
Mof2iABSw+JlCE6wT9EfdUa4gid7Xtg5Y2dtrLJG+wSCvgg+Dqlu8GDnvqAhovTZrYldcaxAHwqO
iAeSadvjYPRc3fTHkT6YMTM7VzAMk0qSKKOC1qHMSHCbjp3UBzYQSHFWHRmf+l46Dz7dw4ImpDSv
W3yLYj86Zv40Z7nnb4aoN59phFB3ZpPgp+VFPN34dW686Xgk2ppG9ymLp/iLAYMPiZvv799/v275
rbizMe6n/Pto5Yovoyz0sPZcrxx3ou3Lfc+etq78Wu+goBnbzp+xTOiBPcdTiXUd+SZUPExvWTZe
A5Ii8y/MzUwf3A6BHwZwUkP3RKESU5QCqEE5hiZB29VxwLBsrVQ69DuVRNZzjQzQJaxi9sWeW4Xj
jCq4F/w6O6U9DiiujmqPNkeytZnHPdCHy59aQ+YPcd3Oz00dd9d+KYPHVA/+DkhB624aNHOn0umj
K5Sl8UeCOCSutNnB1c6XjRCAMPdMOQgAKt5kqun0OJqZ8N4Rgb3KnEZRKQUK4yqkxU+6HOe9j8Ju
n4P8ehtdOTIdpdSrwEjqCd6MlSbZLkiFii9kNC2+sx7eo1u55IevbbhESYIgF7DfVkVZdx8WwXxO
NBEIcuE4ayXCc8FBB7hzNPp7cxkZtuQMPOULBbrwJ6NaZW4MHHpSCb34zBTdg6rsZ0fl/XXhiI+w
d+Z0TbADvZm014beDll+JmScBHA66O4uWcjUtoeaqV9o1dE7uDpZGNaE01S35G8Ud50B4Xqc5+IW
S7VJZ6IMEPFAwgb/ZR9IJlNbMKL6FNsNyOzMGuV6zB35YTLBITrFzCYbti4PKqOEFe0sHgyrTLip
FiJ3qWBzW5UC082eq1Eqw+5umLWc+4XnPfkSV+rC+FYL7XuIIW2uhLdAwKN3IDg9O/s6D5qk34wT
xPBBww4nUCVaSu2Upb86tjNfvV5Y4yXCclAC7why+uaY1wWveQGDwENvpAuwPFrY5U2AxQxHqBlv
+3gAbm5kpYYWAp1YL+zzQdbtSQMneTJcZ95bjScsSnCD0NI2qoWxLWEYQ65jyLyx4qU870vH5FF2
KKt6utKbYSGxjyjy7uJJdx8D3r8kYwkG0bEuKmp17N4to44US+rsMhvJRj9D4Vo6Ce+/IYBKx14F
rA3AGmEWVvzoehGOuSmnnrTaIr1CMYCCCbk3097UAsfKAKJb4wya9jERoutxLpAti2bLENw6Etfs
Xaq5Nx6zDFvWAj7XC+oCmCGCHQWzwNctMKgsO3klsjjkJPrOcgdWpQ5B3Kf3lQUpUEgWa4Gur+IJ
xY5pim9PUQ3o92GCBPPUwp/buIZgWR2AC7BqzOwwbeWW+ylieWbuYtk8DqN1bzrLhVTcTpvS6vhN
ELrr8yjGgYbxaATlhW17JtU8q+YNwSlq2/VAz1vfdL5JRP4pl35SLpk4dv6qWvpXm+iq/L5p9v6S
3yqld0MTMZUMbuEGI3aih/M7b86koUY3TaCytRaOMxqf35tmHk0zXvUtovI7x4akirIwRvLj+BYD
0/87g2Uoc99XSiLAJ0iqA3WSwCHCiPn7fk/ReNBnMnckbxXITUOW2KgKSDS+41aCFJvBt2A7NJ7S
/T6zirwQH5VPmbfNiOLpHq3CVhr3Mr0ya5u3aVsTweCRdF37D4lb1pzE131aJibpPCMDtJ0tR8Lc
OJXOh9QYR7TnJZrOYji2fc54gia5AmFan8t8TsEUIcAnsoUBA5C7dDrRgxrEMWUUCXieOovZXg1k
3oVnC76NjrkXsZ4Fm8BJ6+u06GgvpROHCAeE7GPsJpw9KPfGJY9pCS/ysXRtR9k04wZKKj0uF0HH
vc4G8nRrJq2rUnXDORExaTBWrFi7W8YXGp1QJPI9/uB8Pw1t7uP7rpIj6TysIAE693TdzQTaN4bB
Hu8ufDz1jsozILwxTYSfVy8kvVQvUD3osfzg0k6B7RULd89ywvKTWlh84zuWDxm62sRdx8GaoQrg
PlDbmlQLaH6p08D1Y6r9REAAirc2amANTJU/QWxuHd6o/c4GDOH+Xi8FEgF97oK2z7A2R3Vj4sNu
r8eqMuuNZ3vjlvgwLOO05Z0jo27vKcBjcw1SlMS2BGG92sVo8Ygn41aHqLXkuzUkvVnvmW9yiX9z
qyUJbkgV+AT0jQbtwCUrDr05yE5C+ByO4kNxaJZYuSnCjrOzRsLmxiV2DqErCXRYI9ja2ERIpjOB
db4hfhRQlU3OnA5P427pRYGsseeXAgWdtQvagrg7ZusPZgk1K3NV/lwtsXihGEzCxY1IHYguWKjV
rXcDH5AovSVUjwBLWMZ1nCPoF+aSuxcxCdvNQzSR/dMGN5NDQB/MwyURitC+GByit6qWKD83lw7B
BHFP74gItCNef+uolvg/F5rZrzwNZAKWqRl8DosBScHcqSGDNdJYj2Ge9MexLQjCyAdG50EZdg++
PbyK0TE2wxJDCAmIREKegORYeUQHrudooniOsHddozKwKV2JNFx6sHsMxUi1HbIeyElZ4g872gly
05GJ6Nh5e2l8oT/nqiBfpInmpx7v/SF8z1M0DKjUq3qJWYTF3t3M1VReGicl4UC9JzJaA557ckIA
OMdh9cGNGrVatpxjGSTRR0WfDvCQCvP7zCbusdNZvR/Iw1CVz33ohTbdDma3d07cEHUIXCnYVaWN
4s53QtiDde2nq95R9Q2RRsGucwVSEDObj7SHK6wazeLknwNSDNRrSs7bhpx4iIY+iW9pHgSwJqyX
aZw/OnnrQHqKgmkTDJbXZptGIoFZ6I5NXPcupiBoRFw2Y4A2t9/65f/sij/dFR0GA/9ZafWvNnsp
u5fujx0EPIa85vdZUoCqinwDPOC2+775/e+2GBBSZGJudMkAcrCxB7QJft8WSUXgJRzp6T4gLVza
Dr/PkiTuYKB7AZYLZk1kG/2dfZHB8ff7okkPAtjasjWbjsNvyi/xxznIgkXgtu5BBeU+YADHGC4t
hfpeh/F0gsFCHJlRYauqxnH+4lSdd+1k9oJyN83xHjCUWPVdbbwQ9SjOGSbjC1nMYAqJOmVAW7vl
Jups74Kup7uf0yF5BJed7zMm+Mcics1fqzr0t3nqpScGbls1d81n2qgpg22/JSw1HUGGdH2tX0WN
3jSBbGHRhc+sh7ZLslNQ5uVV6En4sCi25KTKc+UsZ0Uyuyjyi/hkDh1heklBKGVhuNDSjcg7FQ2D
Ekj/001Vw5atcz+4nju6BSsPk9LdZPTBBaabOJtzIs4z1f4AOEE2O6Rz+R4RTPS8xCaSnJPdmpPb
n0PLfNQCG5jphmxxjR2AAedk80bM7ZKsOjMVQQ5jrduiVbdIbmwaxGQeStuZaIewUu6dXNRfmFs3
O9nKRbZOpmLZV9mHxk4xW025ne5r+HSHoFuktPZYbIQ3w1lFTvWx8pPwRvXxeKeqRL8G8zg/L8lB
d1HmoxmY0/biynS6c1w+HGFZyY4uTX8lJrf5TP9o2gxl5O3qIR/QBmW8jQiVE8ycHD3ue7Cw3X8x
ArnI1XERBTDASlT4oTFt+wRqfyYqooUcTrBZvbAXjCMU9QwGa8WEY2ibfdMMzlsUpKBKUpVcKRc9
r4su4QiFpLg1wbWwu8GcPsVzFxpbqVNEJPacPkVzEnzyGreAxg2CL6zp9NeYxR8DmlNnLVxxplk+
Qd5pZfIRZSDw9F7kD3Zl10DIgIbAt6zEwUHcl8IUkvJOz15yjiIgu7MH6wr5l+/dE57H4L5UnA2T
Tg7X7piI26DlXqki5YacbOz8dRESXULXzQ/z1MsrVzE1KWo3gU7mJUsXwryUUe3cFX6uDxMxBBdh
DPLKGp3q0CKTu1F21dGjkDRmii4/FkbPGShELBCUjn+xmtr6BP/LPTeRTfyemdeHNM0BtRUg73aj
HTs3eT1eWTFIjqFq2oMhFIfWSL3EvY9QbZ4yaCV16L00cvzqNHAworkeyCkpHESPob3zAOhtcKFZ
T9LOXucRLeHaiGzrk+eXj9Ug9VPX1TPstFLcVTGiIty7oXFyjE6wgUM1vcQDJqz1aLjNC9GB6a0X
Ib1A1C5R04R+vIfmD9dSJ/kHP0G0M0iDEmZA65VGfImjlJSPPVB/KJCQKmWnPkuf2edKZeajqsoj
O5h7qsZmX5Zsr4xGIFwmWJDvOP/l906YH1xilE5uqMujnRXVpqsRO/cslmTOBwm6pQLcUEKyBcAC
mhHllN4zMbC/6onkFZlxyNYxqvIU3NezJ4zpA8dq4662imrNF4oGsI1JYQCRV98a7USGrdtcNUwR
03UQ7Bx6cfuwG8UZn0G+b/K7AQrBsxHiuMhcad6lIpKHkj5tt+boP1xKMbSvUs38JrbYjGLy9pU5
EkGam71B8SX9Z4UZieBkEsVQZJIFT4dtjm50V2V7A3QdNRV42HU7TC55ssYICgnWIoffjiNE1WOC
JhDgQ6RnpAB5FtQU+FHDMtfRPMCuIa6ofuszgR8kd5jGcwr30QdsRDWU5AHjGLdhzNeWaCuNBFAN
3MNcdGJLXdmsrDSrPucuLuOwioM7p/DdI124ibityFB3iTIyMK3l2uH88+Km3rRPOerdis4tFPAa
KS6DvwSboMvKV4Bq3W0hq+ApYNe4aDuOPzIPBrKqh18DrdwDO6JewyAaLh1Cd26lMb3uUjo3ihCs
66K321uVhs0Z/GzzZIRJfuFsUG8XhBboiiraaJIxcB828mNGwurBVbzLNvSrXTyl1lftRf15dIL6
xZbNsrn0Gmc3sNYPyjKHfMVsMNjJNIjgHqEZAw8FeMIM41tMwyziHIahXDXTg6AluSpjR2/mWdXb
brJ8bAacxDZTXsU3EoopNxoFOd4Zp+Gb7fV+jmS/L9GYHbNA1x/yPtwnUNEIgQj1bTZAhauHgSH3
rATpcL1BQjpq3p3bVMPFHCLrBPwo+3VsrGwDkAxrv8l2i1V1uupCqz4gVJnoDzZt8Clz3WRTlKN4
JiQiPLAyxcdQWZsZxfet7lPjtbY9caqVb+yKyOtuzKTMj45thLigo+4un0f/Ay3IcGeKRjwAOxJc
zguN9Twb7k5yYLi0c/O5BIeKoq9n+e9bpSHQTjZ5M3I08VEyiCSM5sopxWKiKdsEgFVfjU5B3nBJ
igUrWiLultMDe3+aRo+9QyFC27LBwkAjV901UZMfqphHGnGhl6ExI6gG2G3oN29BW2fHIY8h3E2j
cZ1YxRb/Z3E7INU7KKf/5LQOYoSqQ+1HRGj/OVMEhyXxiwj7N0IXPvnVdF+amlmgpo1byqY4tsCY
t22TPNLsrE/EzHuPA0lDTxmxNq8ISaaPbcgLh5Ic4RcS1TjnnlCtkql7ImOiGWDpojbV7plSq4zc
lbYy4cCCoNu5davk/7N3Ht1tY+kW/Su93hy1EC7S4E0ARpHKwZYmWCoHZODiIuPXvw3Z1W2ru12v
5jUrly2RBMmLL5yzT4Jmz3Y3/Tj13k3TNbPzsXWir306Wx4928gbx3LSRAKC5CaMan3fw7hFd5jI
+jKVjVY/Sw5Qai9/2BgTw9Qmn+PywtNIIW3HzNxQ5OUnA8bmRa9S99me7eZFdyMUltGUFCc3sQ31
ADAgifaIPAsGBFM7LjXEuc7OPgNLabVHu4EWgOZjiCpUMGleHxs3tTaVps975dfVbnDaD+yyR6Tn
cbHR6f1ZrIsPk2aOByclXwb9fn/Fv5x2PvsJ8mOSi1SJc4+bEBWGVsP1i7nLaC66ImqRx2pJim2C
JQEbkq/dJ1oanxEqGGFcMe6jl22uFO/mxcI0vkvS8VXk/nyhyKAJWqH1e6OaiHjp13LLWjCng/9Q
pzQ95tEud+EZkyPYHbyCkIC88dI9YEE9JBfnFgZHuwGQGh8XEXfHPoqiC4V3/qLT4zMc3iLUXUOe
UVF0mzl2m5fecorQYyy8T5sh3WUdaAIS6mmuU6b9YyQIOqnRwgYdMbahzdt86BmtIJYxS1YKkf4V
FARltMwlGnEmPZbxGaaN431gvl257adegCq0H1lWUHGE5B2jWv+7ift/ZWkwo2F6+Isu7r7u/2NU
3fcf/N7KYZAB+GI4NsUErdIbLf6PCecaVYckgHrdZ4Pyk3fG/s1HxcMbaqEp/LGTE+ZvwlszZR0E
gY5u2H/JOmNa77A0OnHMNp5/A3s4y2UWqT93cr5OPkwUNdpJIEK99WwE3Msq5S5XUTfs9HajL4N5
Z71Jvlfxt7HKwD3DY3uV1+PDvIrELeYqodF0Hi6uVUNOplsVkpHNsHOVmOdozWO81QJmByUNMnSB
Hn1Elz6uAnVUrh7p1iuI7U2+3q5ew1XS3r6p2xtRmPfdKnmX0nRRB8fllRiH9oEjH3CdywoFYiaj
JnTzM/p57PtfLdkhEIv629mfu7tsFds3o43uHhl3eYdqv7+giWtOuBm41UyrWJ86lvDNokKrzsKY
PhO5brbK+8Uq9O9aJP8UNovD0k7Xr5Sj4QkYV3vA8OYUcN9cA/NqIFhWK4G+mgqk3dhnXXFYF+ad
XI0H1mpBKPEioOkrcW9iTwDKa27z1bLQNNxAu9XGwAcGSvhqbWhWk0M6NmGcY3vgzSpPy2qFcG2N
lnS1R0SrUYKDQO4mM2ZBNb05KezVVMGJfd/YVbMZ5+SJBtJ8BPPjEDDvDs/VastIVoOGPlt1dMVO
FLU6tQgBGiEIeUM/DTTly31FZ5n3gLprTyN1fTKYytZFry273mnxNUEHapeQBDGBs0B0zMG4N8x3
jVV5V37ss+wagbtMWKPYMu5LIokP+COnPUV6RZlOYMP1VK5GCJgAXUAwV5l0gbfQUHGbAB7m5ool
kUHOyVbLF6gb6NM55bJe5FcaRbvU8J5O7Ib29bcsofp7tFD+LWmIX7TmDsnhLYXIRajtkEm05hOp
5S2riJFaukYXqa6GAnkbkQSzr9DpuzFl2YK8Z+dHyVqPiUWq7s4nYGV2HkcqOv1eG2aH9CP8B0Xp
k00HigzpJ5sLQj9Yvda2Pl2OaTXLZkeoVNWHlGAGnbecbkfu/GXAHL8xV4A7E95ci6dNylojCjXK
RX+bzoOGYtNO8425uOWMn7ucLtniUl1VfvPZXuJmAZFkRndVkWgy5CShLQDsnDxFRK2UV1o2m0YI
W1+/RmLlDDtoQ2PExDaBqAIVH11pZiSHuiK+L8UGGoekmM33inDyOKANmz7kVPw4pxrHemkSYW5I
Vo+vm2Rurp0m9bbdAK/cSYxq3PMEdLrr1t4y6sdMU9HQpnMlbxxgoE8ks03E4TSGIL+Keh21m2+g
Iciy6Jh4Dhp36Wo4jtvOJamqI5sHoUZHhoFRubzl5N2t7v5uDgwI/NtEb7u7fnCrGxhs8d5F7pYY
g33tZ0PMEBmbqiykaZPQFS/Pb6f831PNP5lqsm375VRz86V4HV/Vlx+nmt9+5g9ZFFp3nFjowtGh
o45x2LZ9vxUii3I9fKDfQ6d+kEVZ/m8ezk4U8twm3yRT/xpqIqsXDCB15PHfUlv/ylCTrPafh5pM
Te1Vuy90AyE/C8d3sqg8G5KMoODmMDtz8pG1UiU3jrRYP03I7sIJ81C3k818U9TmMoYrjx5tv488
W5c7ppQVilBrMT5G0JKTgNAiJ0x9ffwydY6GSTvJ6GkZ0q0g/MrTtICd3gtYbyiuLB52FQGSe7jc
8Ra1JTxELmJ6iEqEK1k3VueJrv6qyGxKWg/AxQE7TCTCCKnShWMQow1mAKmiWyRUvMBdaD7UaWqQ
ZTmlxbhqsrP9yJMjqk458kiSenQkorm7q/wYPHGbvmRuo31Mi1J7AKENzAHD0Z4KPN5Kbt2BRCh9
vUwt9u2pvR28+LNN6CP7B16pkZi3wpwRsvggcWebNL4srrq9HudfJRM2iGQ+JLdKZwEPwWUhdRa8
Frzc7g6PzK1jTSttorvssNiiKzBvU8N7QG57icGWVOapuofzaJynEal2kVcDQwFMbKZXnsFknIUn
P0Y4rcLF6CbEqPGLz2Gy9sDBOrgDKPPS2OuQtq7JdtCW57yo9I0kb2OTe7Lf9TpKHkIsQj6CD5MV
bSNiNIM8ctan0ASOza/2GxJg3MXVr61c03Zsq1Bhtn7xhCBCPBmTVRF0XsiQYC5r59BWMxSkAEn0
8mu7yBuKwOUQCe2iE3PzWgt6KuSlRBKmkYmRUBbcIU15U4z2gfQSjx1Q11zPQ6I+itx7cFqY+PWE
GcBoZ/qMKHe3i+sbB79xvC371cdikVrDOG18BCQMWLNk4B668ar796P+k6Yj+AvdRrduOzTqV2Xa
gPIazWTy6D6aZVsk1b21hlxbihUhkQ7WHWk5rJ08oh8tK6HG4JsDC25IN0mhDeFQTo2/V41FSx1L
wyCTZkauRRZy0CFqr69MY+pPBH53cEjAOjy6YkxPonT0F8EL37S4FcIyzcyUtVxe1zuDCHvFKH7W
T+OMfvtYMxNiLw2P4Cu5ZYtGxn1dR19n3x0vC1Nh0IwrkW8LOk3260XM4Cgz7v8+6P8/BFvLttaF
zn/fXz2lKk6r9CdZx/cf+tdRb0KpXQ9u4CkgbFkgfT/qPes3h4AfllTf9lcWTdYfCyz/N0GPRPmi
Wyy4VlDtPxdY7LYsh1mx66CQNU3nL7U97hoS9pMditGaS34hv5JnQbn0boG1fkhrZnXGwfPminXo
UHuh0n07XKq5IQzWonyJXubKswvmxHHyqPdMvQUZs8StxP0V8SL042qwdmy0DRp69LY3yRzLk3Kq
4qGumJ0GmIiOTdRxkESTB4W8edX5xqh0g+0vfmyVVj2ZHcZEWY6AZgdTU58RN9SnOon9s5gn+7XS
mwLNltnar5Z0+EemI/ynzqm1L/nkTo+5VZfTFx9cL7uwtBXjFVv7rQIm48VTdtKpBNFuMpl5GC1G
FlkQaz3oMUaXBrqzWntg2AjQZ0kIWWHlvLosVR60nBDEFpvWdGWoqVh5gt4L1iOPLOFu8LgstWke
jGmMz5lEu0I0Nd0ZO8l6G6FWtXdYVEVA4ujvAj37KR6Rq9veQiYDfuWPKoOhQ4IEEgkqgrCIrPHJ
NOkYMFAZLIgI7qaSL+VN5C+6uycBWBxZ1mjPXVukRE9P0yPVH6d3ypqDvNGhcZ9kmw4dzeakgWxU
CyKNCR9Ms4v8FTHmAkg3r5vUWpqdxkn2oBpPvPZSJKChilE+ixjh/mo2e5hGa73KCIqBQdTYDfzc
hsI+m6PxQAwLk69C2vz6zlrdMYrwi6uWYJ4+dLuWIAYLdVq59eyBG62X+Gh5NNVU+W5kKXcykOGh
fFz/szAwvgPKcZQTgPHh32Ey4GeAs+fuWYJRf0YLzPrRRpzwlAkPrrvdO965GwSy3SKJF2MTT7b/
5NU5dGN6eP+J5QA+WeUN3PpgOWCVMGxexpvxeXQJniJxybeOVtLZr5JMl3YvunVfqqZ2OfkV7WEw
Y9Y/mTFyXCIeF14Q9xl+T6NEduryhcGc5s08gdFoaC/dmE5rVeVIUtvKEvtqxNIGzwpS7Y3HRE5s
PEJFzKtoKMhzaDuAtcdODmiE4jrrPmcZeKk0X/izmNZfm7CfKvYMd7smrDUSyoYAJSB/IZjUQrd0
1hfvLV22rKNSrqAaV/fc0rhoIx2Sa6Yp4W1Z2k4+O3GvhUKTvIioN/UbLx2IFl4f0XEx8ewGFrvH
sUDYFTTDys3HMR89jSrvvJBSNHZhMZjDslfKEK86kWZeKOKpPjm6ks8N0sUhaOxJHYhjs8VtnBHA
klu0VcfUSoEZRWivrbAxIZcGsVXwsubS85gNFs4H0WWz9vT2LFn69fGhmAnvDbEj8mSB5vMpA4pt
XPmKJG1Knhb0dAvoDIr1Gsp93wGgzKHgrm8pw4j1mmSz3l51JNCffOhUpxlNe3vlzylWGQ9LPer4
GqJGXmt8IACD4oQfC04oN2MhKErdmHdpI4uvy2LzicwcxEthZZgFeyNb88p93Q84ZVyjnPowkflE
MZx346bzzQWnpzPe6SM8qQG99DOsTkYlOuYUj89pVRqBL3x57rw+JKjJIxvM1JoBJQ79bV9WMUlT
qnWvHMbOp8yf/SfeTMIRcDUYd9BS6QALgoWeO9G3EVFo5nQ/8CkmjNQrdwsOC5JLYvu2T7v2U6YB
gA3w6/lPhV9M956jlSFZgXywTUUeUsDESjs7OjNgYrty7AMLEV5t2I2qwKrpV/iAuGQDe1hMTocR
4s2nhhhUa2tUtWdtRTRqHA5tLo5xnIkjFjyu78y280lh7Dg7PVUnD1iO16Nhk9nDDobZQAeTDkQp
WINSCQkkIrVgI3kJGVbcMW6BXVR3xYDAlYS4gm23myfmIwZIdwfDdP4i3NK6iKAqH7LBMz4XxMKs
yMLJ3ekcgedGOekXq5lG1iH2jDi4YrFBcEDIUOMRlLJ6SnD+biq0tzVadubZs0ECBSSTAodVNfL/
pmqne+W8rRAIf4FuQFK9NRbtybPJ3EGt5s5Ev8CVeZ5Jhjh1Y4QwDBmKcexJy7ksMWCSIj8q/LBT
Z9L0RAt6j3UI76jyC3aYRGwXxIQQH+ZmvqiIjIFjod0ZJTO0LTNJBlvkfbXGucg5zW8XYSXHQff3
+OSn3TJYFIxNLi+BobKu0vrophoUp8nsBlWqyf7OqKqPVjwiVOv8don3qBCts8zZIz1G0qqfxqRQ
98UobhJ7aO5I6IqDEczEHSpw975yuwSw+9R51w1MvgNERLnVY5h5bJWnk4i8hyU2nQ89Yx/KcLtW
e3usato+gxHDYaBb44s/Hibpk/krzZu2XaWSpUzsbaEnOvpBHKJz1HT6bZvU9XYyXeZsmUJdmJGG
AeW2YwHJ4pe2JImS8SWSU1mEhujtbKeXfV8e5qYoetaKotgOFhtpEpa6B7PKvefUZILLrdDSr/sM
UVmpa/I4OBaf6tHKXiZu7yfSgPorUBQvoyLORbKCIy5knCSJPejHzkj4s80gfPN+Zvd4mqfMuM0N
p/s6kOT+Mvtx3bxOHebX29TB9Hzq1ELVTyMWykZ9xFAZ3SaJEbHKJk2PUnA6Dx0BKwUTnsF10Ki3
lnatVOfgYoUIHsxu+aXoCElsljTbEh5v3mZpNzx7qRNBxkmcG1/69vXUj7Eb5BUJzwFCJHnl4oK8
1KPGrDZJr2u3Iq9tZJn9uOVyuaBanOlCtmX1kvadCGGqkt8m9YtcV08dt8RtkvE5bTP92TDjYzZm
7VmbbfFxHMHD8J2bVWhErbHF8JicWCUz/PPq/rJ31YF1IFNq14Q9qRswDt1aTuI8Jh2KCtczQjMR
VrGBr9yDZpi1K0fwUcE5dS5HD6JuYXyIMuEGceGUoNJqQRpSlwOBJT7PkAOfA1OKbcKqnjuFHy2b
WKA0BhorII0yTiFXyJTWrRcL58aDcnRfK9Fzo69gArdZ0oX5Mu2Yng6XWLhQkPbxo6M3jJiVlm4M
C0xSXM3wfrqyvE+zeoA+T/mxMysj3UxmkcEI1ycNRw4kDbSYCYCfCSdObunzg67UcJpbS/9A/hgH
lBPXl5xAA3lybdpuutK/tTp92MuqZzfWoQo7WfBu7hK7LAbCtdpxi02cTXgy1jhDRNYTGOnoGxVB
AgJZeK7zeH7UW7J7cIL0T0mffIQSh7SSsFMKimmIHwdJ4KzbTnTMTWtdOAiaDpMes8iFH7xzeof3
oWNy6wRlCd029Nwe4O6MDJRvQtnloUSqugM1z92xALIYNG6JfmsU3pP0eeGDnNR9lNXurp2aKNty
OyREEg/tpllHn14UBfqkMHNHToXuKkvEBrFFewKLjr1ZB9lxmpQg2NA0J2vHz0yXbjklXsj6dPic
Nb3zldSnEWg7wXCHxO+KT9J1m4NPgjiqcEortOJgToYZALYwGDUVZeZsU62R24wA3tDrPTQI0iCK
aC661a2D7dh1zRNwleFqaT1pPXJ/A69bgYcewhKLxQ2SKStsc7u+A2seO3cFvKcltDUimXB+UBZU
o8AGburxzncqZqyDTi2YO0Z+HXOTxZY3nau8bbdzn/tTmDEMuG0pAy5NIlU5eWcrxro2VDWb+4wa
S/jP+MrquyWCNRqUccKyuZ/PdmvbVw3hTSrwm0ZjTmX3F1ZddKfJaHBHIW+4MeyufUjG8qIZm5P0
lmnT+GZzXbZ1i7HX1VHONgpRnh3tVew9UaiNO7dVm8FV4jYbZvRYjBHyfJdBWC4uIGXBkE/9ZcFj
LEi9IpKlqjMM/s5y11u6/H3Ky4JdP4idgWQklglW1XNBrGg5573Syk/zMLU3mj8v11oChmEby9Tu
fwfD9SD7ucrdQKW9iMx9qXG4HaMJIHFiuXe1UXyQVjElp6ogfu1sVfor6nB5STRtHkDLJ3wrH9No
BZ3P+dZDWOTeEQOEESst+S/Fjhw2+00t22a3GnkUinhbjh+WRAAjs5QXuzexKZsb7n4oqrmDjn8R
CezjDHXYWHqs+oBjvwdj5xRLkdPq9cGe19bJTjPKxJ6tRXz8YWTwH0ghKwnkJyDJ+kBwAbkjsAJF
fsLf/0jvUBTzTcEDFUlhv9KnlhApq4ZajbdBvLYpkZi0CRP16MKB+22I/18Bsv/+6ABXiNhxGPf6
FiSRnx9darPhEqyHxC6T5oMzQj1Nm3SmlCgUUB+NR3U6KBNEPJRU8L9+6QZz83ev3dOFqXu+acAT
+bfXThaextaOfGdCDvntwxj34tLNG/OhgrNUboTh8OKBj5HvEMMqD3RV9fQA6C2LQywm4+HXT+jf
SCq6ZXvsky24Ndhc3r8XMaDtmd2hOrhKieNoMX5A+WI+oHpsP/vK+NOcK5TI7y6AsJAjm6y2deBI
7xnHjM5nRBUtEWWl8s9gBORzy934Ncf0vg4g+08JebbiKh683joq5VjRjB9RS8rLzM4Kbnec5lun
qYS6LtVgXCHTXeSFMg3/acAci4sRYmAgkBVTq5dO+1mPdctnioMh5950NCwrzZSrQ9r39BYys1+J
XRi7e+Bjdrtb4NAR7liRgCZeFprIfKX806XHkW3R4MU0oDm3iYfSteQzuIf2M+dE9dVbBiapfkwb
1zUt/56sL/msl2Ka8L1OrrbeMHW6akOLbhet7dsdUBbV7j3c14eZf6iuRS0NZ68SA3hqa3j189sA
pHQa41sO2N97rD/ZY/ExZ7Pz36ebaHU7lX7q/lF//Qd3hr78/edJ57ef/2PQSbaWzibLE6uhhDkn
n/Q/dlrub/QPgNyh4zE7Ejrfuj8GnRj66XpXNT4wKEGE0b8Gnd5vuNeQfhAyYbt/ddC5zlnffdHw
+vNd46u2zk/f5B8/nLLABrHdz5N+yKfVQfQVAM/1NEfHjKi7aqwOZapfwLLYsif4aBDhnVnt5oeL
d/PtRP9H1Zc3NRSA9n//x//3oxZ/n0OSGSgrQd7iu4O+Bm8lPS/WD7Wa9atIfJwZB7RDvq1K6CQm
jJ6u6Tc+ANFAFKTsYf7fuyQWbEfzWQzsdYhZlBrAIszgaQ3kmppMusZVs3p7hD0ESCI32hAzgZSf
BDJTUigRJRATk79krYnqNQFfLXDLz4/tUu9TkphbbTvb/kHUHYPLmBz2Rh+qOVj0ru4DTTHS2+g5
xhyrepo9lAF8Jg6kGwREGgXgqE5xP+LgypZbwdgPNr3HzV27ZF9B5DLco22bnxky3DL/6Bkkx7Db
USc6/rNhYYiPMRS3PAM2FoHvWCFhgPBIgDcmuInrAkFJGaoeeq2Gha8Z1TZvy+3QyRfWcfo+Lfqb
uHXJ5qh+XwBK4eINGwKd9s7C0xgBX1PNVJ/KSejQGpi3zPr4qRLxJnb69kxBTs6TThST0/JgePRz
6zouszh8e9f/Plz+5HAhTsHkO/jfT5enL6qsq+7HJfn3n/njRDGAxfFdcSzy/BykhxQPf5wo1m/C
QmeLa/6b9ItH+n6iCHbrfMlNj7ELqGW2Gv88UVCMuXztOKLwCxm6Ldy/siZfFyM/lG2mT+PFNoFn
yIMI8FH8/Q8HCoaUfuFbSDyU12I3TxKPZS972x+uyX84NN6fGR7HBa8RZDV4f67EuzMj6oeGbUIc
HXDHVgatic9WdIrql5UGcFM6zHuLpUHFiqn7z0rD9f368SVykhsW5iuOYS6by8X++SUmTlFMVu75
VFo+c1ZXtSPfSYPHtfX8LjPM+jUmotanHkPnyjgl/TJpSGm2TPMtlPTGEsx9ljK+Is3GarTmos+R
eLdeRkYVkzkwt7NCAo6e/rJv3egO1+K4+fUF/I8vwl2P2xU0zwfp3RXUmTRagEX8Q7NM5nYSfNVL
jQl56o7zY2Pp6IWNnMmmVrL+XlnKz6OPLcCu45nnl/rTjVOZ003del6gD8yOfR/D/+DlxXECSg+7
jI1IyahlR1wwiyWthGj369fwvkhc3wfP5dZJM8I90nynx2iJbexnd/QPaLzGjcLrEEyDmvcuAr9f
P9L7+vftkWgIWFaulrr3cETWNW0pDR5pwLpMHBHz8c7xmgvVWc2tbpM78OvHe/clevuE0Wh5Yl3X
mdztf/6EmUbLygcY/2GIU3XLiYIro6fo/vWj/Ifrh5aF0ArXI2bJEu+un684LpizQvM1x3TvcdWk
5aeHvPUefv1Ab1THHw6F9fXYrGvX5Sznwr8dCllsmP7qMDiYEByOi8tdN/H5zMwzbxxR18B+jQTA
B2Hx+d082N5ZFk6+EZkR3SW4Uk7IXJpbNTusMpyBiGVpoCPFrwDZJi4kHKKiQkPNZ/NxiN0KN9nC
ED+IMxiJgYh5kEkCiQO/mQKTRW4+Okt6+PWLZNf8/lzwdHSyXE7TRafEBuDndy0yIyjri5oOY2YZ
TDhqEhDiqD1q7Ex3dd6aAfHgXwFsaBs7LxBGzm52YJTT7wZDdrtcKnUl85TU664iE8Gp9A8Gi6cr
25/Fi8sC7QMquy0kdvPeYEdD9896KlSsfR9MHZdJsqTVphsS9p8xrLsK0cU+x8SC5O2F44zQ8c62
r+PehLWW1uzxHD85lDKCPBI76UGDKhDWdlpuWQgY+9aqvQcV2dkxw/NIuFiD7BIBy6cEzXFYQmE5
CrkM17IwRoKtF1ecS68p9kPk2Fs5mAISouxDxm91gZ8whp6u6vypa6uwIG0CLNCsXeObmT/PLM+o
kZJuG+edtbcjwbwocxJKu1w6bIEXgQ/a0pmttAD44gTZEOB0UIO6P8/4jCAfgp3XLWJUkumj61UY
iEpTHWzfL47ZDF4aQItzTXy2t+m8FPqMVabjdc844fcqY7qgN+1Wm/wMVHP+Rcs171JD8LgRccp6
xlUXMOd51o7RbHPTX3P3qqs6kkyz2Y+QTKdIz9Pcag/z5bxez01dZGgtSYEiGW1sA6O0nu0EcAwZ
efoxzoFYikjOj1qRQywySn25YjfLXhlNjwlEAKNAVo7WnoBBjx2KsF4Zh4Li5zpVR+z96G/d1nrI
xa5KJJ+IgVzwvrGsV9aj9Y7tkLax5OSVQW1W6rGaW1Zr+TTy1kywpibQ+uPc75LEujWjst9ytg3H
rqgpBfGGeXjVzM+W4j1X+NVuZ1VcppENRmYccthQRb8BoK+CBFMGkghMPyY7Qz2mgs78Kb6vsvgS
Q+1LgljnkHSdzhplmbeZcj7MZJeYqHo3o2qzUMscpAp2BHeQHerZZaAPWin3g3pYYDnolNI9Zgq0
nVAhXV9LOKL6MTTKKgtFVpPj4MX+Pm+nKpw1L3rWZDLzZKZol5g52Hm0D/BG9QYqBjcjd8NtKN+l
sYd7OBtTlAK4fveKQvtkL3V97jRMZQovxmuG+ZOFYQu4mrm4Z6JcyBC31dBNA6M1UIXPhjgm1VQc
DCvVDy6Krb1D/Dp0cL8xF8TQJuqpIHETBnldEoWTnlWf1CBiZtdG/9lx2/mjNajxgpXvcMzhaWMC
k+Ks2M7smy5nvA194dizRCbWPSf2vpgxe8HhcVsD47HvLs3GWA2spR6XwaQt06MY9GoHRyQ56oDP
t6Jgj5DNbCN85IN7ENMwyMGbAWkt14hl/phVfS43KQ6jC18iEXTqft5rDsiQptXzXcTk9OvQqbG+
0pn1bSJJUbAMM2bGGscY5kZmYmg39gaQ0cBEAIMnczS3vGJ14TqI1tlOIkxO9BlJut5+WPxRXJt8
Ua8wQNPS5VEH6EuX9fDFyNS48Qt0i3OWqU+JO8U7DE7uU5J21bmyXeNB06kvilom14DBqE4GSr66
HoknxwLMswO/gh3MAKQy6U5+V7Ak+ZhlVr7J9WXcpBp1IdjJeQ/on70+pKmdjP3+qUY1cmxSu/28
aIl+KDLB2UMjGjSS8ssp6uhigU11mGdLXlnJEl0wWebONbJ/Dh3yQwgHrOQWqQ+vPE+Ta18vx43d
W+a26RZzK2w2RYsrozaAQcbPmH7RfoiRrIa4i3kmeQ99bRg6XpLmGDHKEXdhUZln9hb/gn3NKKhA
dQSMRXZs0yFzFKHv9tEFtYoNAZ2tEHWkuhgQRoENS+av1MDDUzoozvXabC6yuWC1Sm1j7g0dAmdU
aTZLulq7m3mAZKMV3HkXdrY87TmxX0ZiZFnVOkl3pwMCDiLSnu6UbjYbqHbGR92zT8RS0YMPTb1v
M6SuAfWidbInfY+6Hwk7HnEIV43YyaSZjmXOzncosmRXW1Gyrav+wYg0M6QVTUkFHu2tiy1aRZU/
BHkSD3slhznZc/nd/JMSXpOcVVs24NTIUQm6qerRuZeKHZFlqujso4GVnKxY7YPKM0VyNY3mVC7f
xtF/N6x/0rCa9AiI4/57w3qdF69J/TP4/PsPfe9YQVIwYTJcG03KmsSzIim+d6z4B0E1OWtUqqmb
a2f6z47VWiFOzE/X9J91avYvUgXFJJ0qgAtcTtSuf6VbpTn9uWhDQwjwgmka4UUm8+33pb0a8jXJ
2WguRKdNG0sUu46F+47eyKPoqNDr2H6skS7L1sje5srptUcEUtnngo6E45RVgMT2WJZ+Gu01Erbx
Q7KOP3FvSrMbINzqBYQa1klIyheJERfoIzBW+qvFstHTtLzgjpXvnNWCCfqIU/nNl8mNvb4cvrk1
Z2NPGulANsfq5SzffJ3Dm8fT0xP2vN1q/BzG1QQ6r35Qd3WGZm8mUcsZCO5g4Oylr0OnJR8xQrUl
kzbWqjvZIsw7d7ZO3MROg00lVoZfmkxBOaaeNV4VCasAd0dVt8grgGy8XBydCu1wNWciOnStg0CB
hJBG10ru3cL2igCzic8iPe/XgBfPXKJ+BIrB9SQNYy57nEoRLelIQBFE3RA4jqF/GlGTjAsmJyLp
AD9UrU3dXmV1RK55rxZtjcupEDnx/Uaxg0pNcCtOvKURcHsySSJD7gwEBENwkmaCP8TLmF1ln5eI
kokYi66ka6V2qVMRMDoc4r2ZT5G6Aq25ZqhX6kbP2CYvrECDcRAqyNqkOiaaNuxjW5r3ueb08O9a
HTYTTpZbAyn2zqF2fXVllm8RUKDgyOcEpiSLucEr8zO7dVQ85LEfaWqAf1UDxqemqskvG4r+6A1T
6PZJvitLNqQImuJr24RNPiTFtMEyTfPT2RZVMHVzu/jRrSqBT3N0dxLtOYM80jHkdZE5jzD041sr
btqbMRnc20Lmw3MC2nET+wb2U5lMt3weasBMdfoErzO6Ibh6/kAE9HoG9z33HdeMNqORrvStPHpK
5MQwM3G0a1I2py5Ah+rvWKVaZ2jKEL0zLV02hqvy+Uk2no2NrnAeQRtU9+3KigjKKCHbyc7wdBFp
qNwpJPl7OVYK0S54amaVPYyy4zgtaj8Wefxkydo6+YvLSsuQ9vggQFvjb5AqyjZ9roqvxigc7mDu
subG1AxScrNmhsKw/QailXtUo80g1EXs0AsLnfvkng2g0zGK9AUYGwiq4bqPY/MEMZpkZoGpblXY
YSYoWnWbFE71pCgjqY9d+TuV2wcDNkPYga654J1GLiWx+s6t9C6XuZhuqcWTiwrxy0NMA/qRPJ+y
XFGH5qesBo2gLRWqqKax3IuxmPydyOSXwW+iA06VBhlHzm4ID8G9n3v9RwJ5ig8zEscP1tildmg3
Xv6hoRUjoIxvGMmMaq8DwNv67tjtUumcxhpPH+zaYp8pa76uoHxcjFPrA4FFfiUDfla7NuCGBou9
ZHCiSem7qVb826QhZAhrjIJ8ihGmJbY3FQG8hXbDqnXe1mMvgeND+uS6dAEckySMNR2XYjte1LqP
1n+2zSfhatZ1p6nHdFH3mdTcz4ieAKDr/hqPY1MY2aEpl+zBVZk4lfocnfVOyMDJ2mjjpvHR/z/2
zqS7cSONsr8IPhgC05YER1GiREmZkjY4SkmJeQjMgV/fF0y723ZXlU/ta1cuO5UiMcQ3vHefaN1b
NTaSR6NvHxlL5yh/9erDIQliVeMfv7fQ9v6QY4VTxdCW1J9irG+iNBLPUUwauiNhPELAkSqYZz+6
FabRv3YAwEgrjMg3KnRaR8NApDqhL0rq6L0l9uYrHxHitoM8mX04bmxnnIJ46K0XcGbJ3tJc0yOs
bFQncwJoIsD6sabrTI0nTsT6HZJWbdtULBlXvu5VD2jd2P/WnUFsfT8ZZEUm9KE5uDWcGwR4TXug
d9OlGgXSUPKkLYSJofcDiAQiwT7p0foyfiEiLozVBVICWpehtN97m4BJLCqNA7fB4D3X69Z0Hxll
SBtAzsvKHIV+e9XdItRr71yqWLWKemtEy2MzVmhhMwA3HhJCcA3vpDGPvEOLg/1mtKt1p08fJGqW
F2N01CHSQqTgcQuYOWVSYWc1qjqi3E9atwCPALt8iKqxf1aa+AQYYJ4Md2hRmEi8hrmfbjAQodAt
tOyWXDLv1scJeor1igz4dP6IqRlXUkckyn7zudKbRxyNgDuMBmwhGh5YGU68TXBwIYaa/QdpNNVG
c8yYlQcoYULN47s8g2kn+iQMsJ4Y3xNpi10a2fqW5/0jnUsg/mY7rmOZV08R5nrmSE19HNOs2DQM
L/Jbu0L2Z7cl4qdSj/baOClmSIXT7YRhVA/cucw2dH+8x6HSfEqABfrKrI2csgf9T+SE4shvqAJz
rIkvsGtqzTyzi/siBHafEwlxMEocQDq8oEC1enLS4PsQ01dWu66f+kCgHHw1G2wzuYelcnCzt641
fqSSnfHM8XgaxiIi0Ksd43tqXcB1MFqCqWD6oayp/WmQ5b7pDdU/pjqDlUGw76kiL9sKr8IZ1mjh
Y8J4ctHHdrvRB1Gj2qQ5DxEzqE06+5Tygk4NnXmsHQilaBIRg1YZfzS6yN+QhfbbCDLsZ+G5xkaB
m0If673FXv7VZEl7wOLpQi3IAMPZ/K/Qdv2Vsm2HCVKnH3QU9sGQGBhUu8QgKE1LP3wSq3h3xtoO
+DMExTbMH9KO6AsIrMm27lJ56ClINlA5/L0FT2PrTlReMGhsEJnxcJMUVc5zNJF21xmaFugK1vBE
l7ix3Lb86OwR2pTIn5I+Mta9ip39SLOxTuzbWYz1vhRFRlMJ2bAy7A+p1w/gbCgdsN8xNsAETJO9
Upb2Qvq4WsVgLdlxoQRyct3ZwJy6I2v2wdXbnd/K3TwWpIwU2RjocXnxtA52dDVH27KpvRWQX0Z6
SYmOgKCyds6jbSjyW4uEREzAzFtyp2eHqFIYMhYI/6y8V9B0t10B4WJGv752cgULvTcQaGbAJbu6
CrqZODAiRLyFj2iAq0GUFWmudSZbg7woX3OfOsEYc07Dag0z7kuGDpBplbLXLPpiZSa1zUGWxZwH
Vv8wonj4SAolN+SGw99oIWRMQ/ngkCrMYTzHq8HujTWRh/1hQmuxT8uIwWkye8eiUw95Yr+J0H2+
Ngj/66X+oZdCLLfsw/59L7X7qnBO/cU39fuf+b2V8vTfFv8pOIhf3dJijvq9lfLs34CboRpiI2U5
sHn4V3/ICf7UPpGsaruCvaHNA72A+/6LYFU2Xn/tnjBJoW3gh+kOsiDTdpYVw5+2fb5ZlV5Yefne
8qLXMaN16Nqs2pBV8AJX9rEByFLqvXzxCuMFAqWx7V049dNwRJztbWZNmgcLkN2hzf15VRpwU/2e
J4H5C0RVTQJpGvzmpyI2Oqhi0PSV1+ongtXqN7y6+kUzEdISPtkHVj7Oa7oc8ue0EoBc5F5w3Hr3
I9CGzAOKUI7JyE/rqSNHKTetZkIvQv131LtmLYfirFrs4HUHbwL90AHLwfxAwoEdkE3trg019k9m
4mek2E340RNqVaEZD+Ns2Ty30XdHFAknM2t2tKPxbacnxk1K9uaaZPvk3nDaZmODN7v3LHcjkvxb
D2Gmt2C9KunY+8Id3jFEoKW3BjZZYF9+MKWObrIRM7zlz9WqJjlmRx2mbxrRuLuRoe56FPm0wcP6
2aXoSkVPFY+EFGOV27+bg4Iz1Q1HEo2KLX6tMeC0THZzV0bUkgDsYre8FLLddrkiE087h5gCNr0m
pz1boJFgn8q4+LWZv3SDXX/HIbst/PEBE21xyeAXnJLcawh29zgb1iGxzk2NxH5jeoO+lpgJXvq5
Sh4y4vMOVqt1a8sqCVCoo6F5lBaHFisG+0ZkanZZDRI1ARBPnsiNT+6aKh9f6CFRliEQ/DYVVsaL
i9EvA0pMFDF0h01LdXyQfe49kOsOaDi3EMHl5mDvO8urX90kBeebukP+rcxK+8ZG1rvTEVrfiRLP
GFGCOYvbSK+bkytNL6jJYuLL801gx3HPHBHFdYnrOSTEhblveZTajNdXeqVLF5tnkIGNilQt5CB4
afDFb02cEG+uiWkomMII/5qZ4MvCIPPoWWGBAj2pHmEgGnckV1c3Ykz9EzTE9K2uSUlcsWYmE4Zj
yNgWKfzDbin5lD0kWPEydC89mr4NNRzXbyyavYXFAklrMqigWZxqOHfJbkiU/qPp2XyT5tun6wgV
0z5qIJs3MbNPvkBtDRMWL5XPGutpwNlynDp+pGv2qg/0MlL3ZsStafehyvZ2O/DhpYrUBQgnv2NR
6dOFMJnqpkWyQ8IA4TV4AnN+IMbqWKJUJhdHDSS6TV1Rv8Y8f7vEYc25mhhNBOGUYDNyY0J+aqNM
7pQU7WeCPW9n9Fb9hVVqug/7qj5ff7M0TGtvy9HIj89N031g+EGlCbWJRPcw9h7ExD0olgwc0ikE
wwfGim0qxnXlKAePyfLBO6tQFwUm99mdCv7DfOEM21g524CAXLXR/XbAKCTSt+udhnmev22OOJFX
BpOUm2SiPMcpWp3HmknpKsbFtbZnmX8TrDO/j6WWVOQFCfcBNJg4VGTiXnA9VgFuBhPYR++KfT1w
UXuCho4aFhncQeFYb2kqu8/OjRNQfpVzBg+kbjAAmZeQOcRllBo7OO5IWjjfDt98kzYIzFmc4Kcn
6Y2jm7/RRWe8zaNYe6xmCVnVSatH+GY+1iH0jderxcigekyixZrWZksApYHkYF2h7TopV9gnQ7Yi
XDms3obAifjx/aiitZuzJZoJEkCzBCcZPPbalES6t+l815ZkF0h132vt0yDxsQw2mosE9h9BdPQL
t2bXn/Uxuo+XXjDv2C+mzU979G98NN2rTsMWY7qXqbW21hCzRJ+/RU3rBGBQsEcx7FjVIVM2ounN
WuFjMcvq0nGO9QSsVoC5EsO5iDp9bo3UuHMG3uGZ4UWB49bW2nBLQS+i7gj1DQgeAONcHa3SDe8N
RntnYzLTrceKOF2NnhOTuZct3rdB0N7DDnExq+yHAZN+52WSqXhjfJbMMRCafEmcFDeSUKUbwEDt
pjQL42CZ9kdjdHscwA8ck2S80Ume4byxiIrMl1bzPlRfwTQs22LLyActjMJEqxWWClJqxWxlNuaA
zMqpHnt25kx+0vmzGOidcduubFBiFMsT67S+PvputrPSjsKdBJBdlTjGdpKsdtJRZSck+c+OohR1
fXnIJlUcCF609iMv4UAnIg6BGcYb3YcpF81LbnL1KtG5rqay0k8q091jw42/I/paDwjnftWNAlkz
rhq6jp+Wqi914rlfiQluQoxSf3MdDZZrlj11Rpu+w++zsM6wZEss6a3BjqH1b32wSMBUl73wzPvA
GpAlgygFJY/weT1XAeCBR1m0nxj4wo1eeuqO1L6xZhNNY4Fd1aQRKeem3wCXKk+V4dwxIcweuK0g
fzqhQWKrEigAsXwxItTSfVayyxItTN3WMOuv1jazzVyYB1UQ2mfV9XsPlSOQXusHqTG86CEDVb3i
tMdJYLP16j9IFHhFpb/TlQyfR6MmcdvKBiy3xKlUwtZuGwFJTZX62uExZLZURi/4KpEBtxadiu6d
QONEG4oE7xM283Bx7cR4zpRcagjwJetWOOo4dsSn4eVGL7yGDfxMlGxGkySKr5ah0FfXNDlZewUG
iohxSTVow5YzfdxmLX82Kix6tE6/c7GjPKDAYsoXSyori5zAsW68u3qox7dSV/kblb91h/WlWttU
WCtcgHOAv5gAt6JLencdlzaj2Kzw/JUzpdFpmKClHonaNbCc4dm8M32yf71IMkzpvAhT+aSdHaNh
lmGZk+Qisi8Nm4gs4yztT67dCO6YktTLSjIzRVs9cgxOfXVXeYZ7FCBUN6G0iw2x3uE38la6y8jc
K93MLeHSq84vtbsu8uwDlULGpqqSpHNjU2TUWuF+aqafZWGaZ6OIuuexScY9OEX53ZGLa5F3YRDN
S2ijO7aBJmo6RHc+ZAVVWDEM2lGveIHVZM7sq9Bu12Ca0nUaqnBbJYbHr5XLnRL5D5dsa+ad4XjO
8BXfspNqtrmFo0/SmJIsw2KWmuF2qtKt0LQd7k0Ip978mjZNVQd4cfL1NMoG1Ahz0IRM3m0h9G6N
7Urs5mq+JXMO5mG1mER7SCB23g73M2tBApKrlpNr8M4kE+ePMm1xGFmZ9goP7M4AhPo1ugkFCInF
W792om2fMw7SLJDZZASzy25mHnGM5uwC9QsnaHUuWaiv6mU21MLGZ8g67aZxigLSoB4V2IO7KTEN
cBxeulMl++sxgS5rMFwYquhLTmpndRx57PjwFCYpMlV9mo7LqIFEijY8jDI8JZG8iNDGZRd66UHN
znQTptjauyDVYqjBjjVf/Iy3q3Hj9pqTDJt0yQuodxnjMYbWTgp5zOyXsEM+MGP5FeGz5CBGkSQT
MfsVkIgRmbRE7OgkJ9qUKtk6jZZERYKXh2C65izav0IXObdJYCwgrporuNskM8YZJBiB7GbJbFwG
6BMpjhqDym1xDXbEHPgYLmGPxhL7SDpqBafHFrcdmZBytpLNXDuXxMcTni7BkRj24VvBZD1Ll1hJ
lBRqnS5Rk6gCuttxiZ9MyKFsIsXu2yaa0hsIqQRsJI4wRUfefmRY+kuY5eg68hJRqmxM8tECReYl
3tJwJYs+fR+XQMzkmo1ZQpAsNOIyo1TXoU0iniHUgwj3JVazXgI2pw6oLU6SJ38J34SifjMvSWXE
yn66JhgcIQsw3Ua2Rg+AacJsgxD13lFF7KNIzVyK/kg13Q9djN2nm9nkpC9xoKbXir21RIQ2qf+o
Dyyp2YiTjRRkQ5cd5muu6DwLdRJJA+l4iR3Nyba4bePigwY0KjbsnvsawfFs3wC7qIKE9FJZEGPa
abL4dK/ZpmPYddueLKdtY+jNK+WLszHhSlzgFcxraqCLhX3+bF1TU/GbW0cIUlCYl1DVaYlXdSCx
3sBEL0/zNX1Vqo7RXSmZQc9LPGuJlIEV9hLaWqAZYjJ0zXKlNcTwNWJ3/kR5zosDj7hxYaLkfe+W
MFjmNainrwmxwzUt1rkmx/bsip5IhCKJy5g9+MVdhc8YI4ZnzIdEATitR5osaOnZXYIG/BVAmRE4
0gXrZJdxsiZRCtayyV9+lhFFSVp5MCYQdHRPpDI3UbgBclQSbraieu5mtZ4SNn9ZYLUdoR6yHX7G
bVHsXQu3dyOZdk1aCekDnnOrQix6VnvKGqZAddR4F6fQh/so7uoL/OE5yKAk4StDF2czXgJhbMEz
9L3wyC/2TOPHcN5nT4TYyzvk5H7+L+3h9+DHf5j6mLrwkAL++6nP7Xuj8vfy88+a79//0B+ab9Tb
wnVZlFOE4ENarCJ/aL5h4qDgxaJGZuMvf8kfUx8fXTdZR54vIO1w+7DG/2OJ7v5GSK5lsFt3F704
/+q/GAP9XR1Lv+ggfWQ6pBMYgznwr0MgBjxpU8Qk9LmRYc8E4YqS5jZSz4UxsbWOkKn86ev5F+rv
5Qf+WU7KX+harqfbeDstjx30X//CLvfJlZ0dtaeDRh6rDcPa4fz6B3nx/zfb4iP5QGxInXKEYf5d
XtzZrT5IO55+6X3RlMiHrGIvmLgCpZM2LmIwVEtCptqlHYHt/OcPaZPf/vePiYp/YbySKMA19v+m
AkbcDJNEud2+yh0sbdO4CKBcREoDi3bQz8isJhZcUOFCF4xGHVoh9uM60ejV0DI/osJHT1SFnrpl
u7BwRgAEgEcZsy2MA/5bJH9FsbZyDVbJVKcAJuywXeTdnlI/ZacyXhxeFsyThy1Z2Mum2JHHAhs4
DDvMueHA2cS7xiBvBzYbcxPcuEiUJAZE3FD1XTMC4Dcnxg+dhWJpdNr6HR8nmdcETineZYtkvMwH
8gjR77bpVJ5C9n3rJkywzY/IFwGi6NVbnAAOMSKdPzhOiX9qJZp1w3HCiz+www+GttarA1/VYsGj
Ejew45HWtTOjgY+pL3pjiHbmk6qUF7gTYntbzrQVAoIKvD0zxzCE0LrK0Xezohm7ddqhpmqB1N9y
nMLZW0RdFslJx6w35UNbdMjCenfaYbtDPrYIvQyrG76lejF8k+nsPHJ1EIS1yNFK087XvTPJD1Uh
XGNLxT3EAA8ZSVi9wurjysi61PfOSLynOzbh0epKH2C0luwlJM2f7GXxwDf8EaU37XcHbukpnJg4
yKgznvqc/L9fDMCqgmhfeHwjfkrCx0oUo7akfM5UUznYirZGSzaWSNUqoO+XmuhHanaKWNQizYcI
+ceIvanFNtCcWZZNaAFL0cuPidCsZ9YfRNUnfX6oPC6uchdddZ/mMTVl2ZT0ZUjp6sUQwJmPBFdo
0w7UfXaJRgOFixfLOyzFEJ38aPjKdDR2UPBQQOQUe+FgVG8A3YdvIWSTW18O/CjEbKSTIC40lmGP
P2oEZWTLw65J+wwne1gLUos2jkh9+geylzF5cysO0Kq+jAz1s0pMcY4EV+IqFxQErAYEPIkiyPFp
/yTErH53Keio2kESBx2woJJBcxheHEASH+hU5ttyjNWzict3B+Mlw76BcpBVTkd0FaSoRCRjEEf5
vL3q9NqI65j2y1e93KLQgocv1fDp5wwDLTAqroRwKrUDpqx+kmoGGSlyw2NOKPaI3/MIXbc4R95P
RL6skROtQCHZhvSxcWu/6aaSL2YY9t8ik3sT1xhRqKbOHlCwy2NPM3x1AhIGdlVuyonxwhRzoYi3
7bYgwOsz6Qni7Hejfe5VaDyVCeCcnqi6N42dEtDAbN42Ji4aq7AV42vNfpw85dFopB4xEeWIscVj
B7dOCK9Z+Q2BmNcP58U8BKiDtMuk6rILJpxvt6On2u91qyHoh4IF7T/i3jPYaB+nPMX5OurJvquw
K61RmSQ7e0qaD1T/KABY4NGfqtiT7Ogy/5TqCiOKY1ryrnPMyDO/e5lvZM7rUCG//kiaXrwmBsCe
CH/GXIo9lZNWbixdH/tbJdEz0jlbvbhYmQKijFTw2fAUbZnTM2kxmDwGEsj+lvvQ1lcdKYDMm8Fp
Mn4s7/rKh7fOHXYU5PIgY9UeKj2/aHZ/J4q62Hqxaz/MDTm3tjtZcOWjx9AO8RtLLIIoOfcR85xD
YWbPrS2MDX1bv+mF+pF4KK/F0H8i1ybdpiRutBfxIZ4dZIxGX58qhF6b3EYn1IZR92kkrdxESXsz
dTJkgNgYx2nOfAKTWcvmro1/r46SO0FJfqv5KCjXtIRHJ/WOWsYmNUFzP9MOhvLACiknymMSa6lH
9qpIaD5XRZ7/jOoZ9bdll+6ub5n6+aK8qNJNNoSi+TdpHNW3rZOOWyfmgZUpXR0lL7sW3wN4r7iQ
BF6wEy61gYUGrVHNLB5RCTKj2kKMPpSIRmPdrdeIuOA42om/Z4X7aC0JZo5w25NR+la+MfnuP9p6
HB3UML42gxbiGkJH6Ya9WScuAE1GHNjjT31r5swT9f4Qjb4RUBc41Nmhww48bD8s9CzItyLOPAw7
DJNjjrnYnDqgGXRfWLwMJtdZu43IHmbmkUE98r3pzVtooKOVTTclEXsYE7Ls1ceP766dyVE7H8rl
CEoOiYhve/HaHYRFhYgRiOrMYw1jW+6h5v2qB4qXSLySWY1/h0DE6lbkLbidOZxpjnTzgM6kDQCN
8lS1pOdlclVW3IHIPuxj7TTT8wyjh56hGNZeW+7HPLAGrToajTO/17luH0xVzE91WlfR2mj9/TTb
/qFgfH+Pa3MOhrCXR7JMcGKYecHtzjQrH6Nsg3NKPLjQ0ykOlAFhvBkLVubeVhLhDas6nxk3M6cU
vpW+uE4EP0xX41aEikgkf9C2MkbU0UfFQ26gD2oTfTwkiTWhvRqGINIi+FpeZOxy0n4ZAlTxInfD
Q0ygwW3lVwKMyKhdioXzZMhZHdUV/iSuICi5MKEEcKh4oUT5V2CUGBd4VL5wpAoRZwuiyDjUcQFm
Konh2OYLe6q/Yqhce0FSmQudCnYWoCpQNvpXTVJXHgi3dKZAT1HWz1JC/C60Zge6wsah3zNEQb6d
nkQXtR+FlTr6rdGKYY7IFjEi+xVxk74f46xNVuRSkdmtMVbdLgSXHxV5wCgexqUuqOUDJN6cng/y
ycYbiuRGg+NDniRmH5fbr4gPDdL/ky9bBPqg9cAgIX1IwLJ7aHHSpLLPykSPxBS4/mHWnkbmbg08
l2ujQ4SiRLqq2vPcmPcpwpaTD6qcl3PdfZLXRfJINJost3T8RhHtqIcePCdjs1ZaeKkzd3kGMsoE
N9RrcEo2mxn2EMWauD/7PCeJdtGquubjJla87dEleEGE5HtdUOTFgXAm6Ch1P9ebeCF4XaX/qqcq
/FV8SWZKT0wV2k+waKkXmEw8qJOLEEXHpBiLUIY6j1MmKcuWgrHcmINAQh+b+cEiC+BEkOi8FzqO
ymLR9oPtQahW1ODRgthuOdz9AuE6LOT+WwItCmsylUZpO/UdA43lt/Dli6UtPrFQQrZnjl6on3CE
MGD7TPcOMGaMe16D5acFR28ItMgZSAQdeFVGvIgWAhuH2hJXFRsauKFE59oZUvNIei7wFi57jht9
SPn8sG6CKOIsryi2XusWF2CrlvLXd6pXt5vyA8okfWVFwnjyikn99FSd7KY5JIwpTUjATkZkjgqn
h7mqoMIcMiauD//QRPwLlIgLd4CmkWYGWcDfnbI2iuSa9J1mP0neJaSUkQ8kiQnfVmpaFp8lvgvQ
ND8HUw17VL8ogQ3z3Utr1lsRcU5AlzaaPUZBT6z07dCY4nWo65KUcZJhdL2w3kzB3v8WCnQ53DT4
fQ8h46ZAF4Cck4kvEvN4ukcNbZ91A5BZMxXUCXnhnzi45205WepGEMLCKpMVb7VcWVP02mWIGudR
s131s2BEY6/MUjC6sFBHcVg41BtjlR/6nhuHfE1qJZoU6sEo4z+aGb+XZKAWPAHXGgmyv3wAubNc
S38pl5jKv/gFRkKhJ86jsLJ6gwy7vstQiJP1Jjn7DVo9hojDt2jWYAf4tpm/NRaK6WOXz+5wkuEY
8SUlJBJqU9tNGzvKYn3d1wBCtb1lpT3YOpts15YIb9GX5rcqFLC85AJFdjHjR4dsASaH8/J/hBRS
YaC3rALXIfsdj8UDlc6Nr7MldfMF0iVGaqlGjwn2RTLIJyZGHVocNz98uokSyp0MfaWhBCIgDZsq
XQ+3tifa7zoxaWtwXva6tbWqgf9UM4tuKJi9WNQ/VNpn2yZhB9QPnGp6NkKjRihAbG7p9N+6JH9z
4deu58moX70xZ27UqGSgmOe788kVT47zzJfPw65dmtS0DgYPLLt/FsAIkYjyAlidHzrbq97BeFbv
QhmcySZ73VU5cT0tMKP3dACsJZELsoWk2XLysv2OR7D9Pk0YdvSpq966paYuY39JAe6GcS3mnJA+
laNhM+aIuKWWtXpauhaeoMR9KKym/6YbvbkxSzzZ9uLbgTajbmqDrgVB4cyT1xH09d1c7EdS5vVd
5yakyoZiqt67sERg53VUpKEQnYv6b+YZaVlxGavJ4F8SqyU/iCXiW1myyFqqcrbymIXKmHeRrCXT
EKy1/moiE6JAFJrOW1u5NN6FKV9GJDAnY6S9besYOYBRN8eEGL2Tww5s1/Di2kEotNeVVw7f2ELT
Vo0Kn+7SefseZX6R0ZeTxEVnNpbzT2iM0bxJvLl+JXPlfpgQM3c9gOwRh/LZKDE2FWPsAA7kh5bs
Dh6uv/UkfIYHHoZQtMH5cg1gOx6M5VGd6GQ5SFC/1TSpb7ac+u1ENDwEUB2jV48J4VktTUMy6TRO
8SRwQ5cNV6ZiL/Z5fQfWZbSoYiNT3WQWe9el2KCftvAcMdDi07G8uZkjR91Oi+/3ehuaE60vt7fU
91Ovqdurg9dqlXy4dtrkl+R8FHaujkHHKgu6jxxY3T4XHGS5Bwa3D/FXXdsyLdL4GoSko2DQw1e/
DFDmxFP4bWnExzj+2Xizup153Mr1RPwVXlLYl2svYmqg11N2kbWAGkLhQewMWKx1X7nTvezBgMYl
m4JVNOqY3mc+0ZK+SvM88whW/sjoAxcVYxdCu9Z1r1UbP+UWLBmYjMBNeGKiqbDPJti3Rw4aHemu
M7TfO6ySJe+wTL7MFmE4K5j+8iNK6XRbvVPPpcZjHppNftAWDxzGLl5rdFLh8dohA+DVV17rls26
nBN+UmHSZEustBvL4K+/9s0uSsjbCdQYTS0KHRi6Xzr+ecoUV+Py5QWH1NUE+OvWTBgZ1YKWnMye
8KIbeXmqFw8galzv5HWtfKkMZhdE5jHL6JcaZSys+DwIKtx1pEOCbTT0PFXuV28To2nM+tJnCcJ7
thrJvEOKLpsPvbS4IGTJGPBRiOAjV4sWMeWZXu5n2SyvYXb67Q3oSCZBfuJSa2QNf9zHAnOTQIx4
ipdp4yiXKfdMYfxmeNwSYu7bz16G1TscyujskoG2NZrl/skEhRdvolXu8HHCZepwLSu8BWYQsVO+
FLhet7PgmERzZz5dzwZjcTgu1O+zyyuffp/h1aDZ4uxGms1RMfreSfp8w1Jl5hMuyGHtF4K5RUUF
AlR6WMdOajzVjsXWHEfOwWcwd1C5zhbD6kvWXBQP8JKrTUy99Nq2Y1Nvm7miKBqxApgiGr6pkfKk
zpiL6FVuPl3xCiHvsReIDIhvnDw80jc66+soZiBP7eAR4nmMyhgl2MQgo+VtUpP9iDAc9BR3SDXN
+x6z7S8gdEeoJjnjOQ+F0ofqLTc1BoMjszoLfutedBQsloOszGSoh6TtqmhYXrOTy7dBx65umkpE
3+mmFAmEZrHUcbhPjqAjp/uGZvm5dqmWCMujVRzagS9T5/UWDzxHmW9xajlDTW3NaqfW9PAyjcwp
zBwl1aEUtjyO0FXf3eVVuYBSNk1mZWcE1ahO2FoxbdDajSV9zgfCsJkKzg1TwbJz1S/pvCXd/gu8
6bRD84MZXWY8uIlP8VfjMf3R4i8kHAadxiEteciSGmen6ZZvw2Dzrc1YIA6mF/OoDBnfQZdjny1J
kH2hKknZg4NQ4lDWK5+6pbeTu1HTecmOknKCmAJr7Su0W0PPBQcfNN/ikAwv13+8PpiqSDliNKNv
PuyRM7XmUDlgX57uJ1NT2yIGHlKNFQ90IuQxchfgOPDD6CxqPDL4PpL5tnZmKmGiP7dTm/3sxVw5
m7jFDnsd0Llt/SZMOoJxqQIUKaZDUJtzv6OB4xMDLsjTcd974nVuojiYr8QLGtlNby82nazqvWMX
snr/z+XqlfX018m+4YBPAN4M1RdRxLJq+JOetK/g1dep7PaC7Xm8dubePl+txBGSt6MSvNpin+K7
i/SJlNiKCK7WtvYzxUGEOeqiEbt4JNBJofes5Qu6K3EeEnN65pUwb//hl2V/8rc1hEFmvGVaDkwQ
gA9/+2U918tIHLTaPVYvfTW0pfOokC+tdSONz1pPY8K0gkLUGGiKso5sFJ1RxjGj5nlH3QbmbXkL
/+df6rqV+Os3aOFkhJjIL+X+C1Rfz53sJ1G7LwpLcqP5Vhi0Xi9P84ibrWn6OKB7nzfKsphNhD1D
NhyHFI8xc1YlBgA2mKOP5LnxNgjt6rNOcvfBc1Ds85alMNSaCiHCYrb5z7/5v+hUyJi7Xn1Y2NY1
EuLP174x/axaIkHwfeBaDn3mNkzuqR5lKpuHfBm+zkiMgoF34lurOEUAlNEX9p39++7lfwL1f1hV
GtY1ZPDfryr3JDglyZ8Xlb//kd8XlYYtwNOxlXMt27IBgbCz+sPq6+i/mYJNmiBCyeY/Yd31+6bS
NH/DGuzCjtKXW5ZA+/+7qTQg4enM0QiHWGxuHkuy/2JTaS+bwf/3dCy4KLCliDlN5shsgLy/6dWp
z/I5tSPzsW3rGnnMXNCCY+mk9p2XlrQWUfMQJzmjaJejO44z7UJXTiUuNN77eUL5h4eSqgoYxBhg
2F93vkY88MQkv9V1fg6bc9pODbflfdpMdUYUOEzICt/fthemuakNChpT4/2FnAQwQZoxQSAd6TKn
0Gx8wnNJKtP6r3LWMMHGAmaChm7oTFwawNeYY/sd+wzOU7YjCfIvvjYq3YGCucmaeYtYVx6BTNc/
ejNO37toVPdapojzQKv2qpq5WYPSy1z0u3P3NTSRgdQyB4Jp6sZDFDsPiCWThAC/1nxeBOrZPzzm
1rK1/NslcHANc1V1qFyGt2w9//SKL2YhUlxnzuPcWP7BtnpoMeZCcfXBqiLVM2UHOs8s/PvKrc0T
SfHLjtHxKpsoCEjSc5yqjeva1cGf++F2Bk1yZ/aiYkKead9LabeXGI7JBjJtetvbnUFc7yI6Rv3r
7SLcYdsetM3Z85pnXEn2HnzuifBZ88mMTd6CPkBm8uv/87vNX9A/f/nQLLaWG9hjEkOb8Xdqbk1P
EjFwK4mQL8JXhqY4+qrKeDFMAZbC1ZtDD+v9UKRjtxGEIpirQmMB0SJ8uZ36Sf9RZ0tL5NvjdI4I
NjqOFQveUPG/pGWaX2ZdGTe8N8dz3DvGCTvwdG974Td04yYTa1TdWcnu0clyAPa8Nsnia7RdNlhO
gO2t28w6hBvQhPpwo8/WJ23/aQSWuu84AvaMZ7GDitAKkgkq8WTT+2Gwiv8Pe2eyHLdybe1XufHP
cQKZ6Ad3Un3DrsgiKWmCICkKfd8l8PT/B+o4LFGyeM/cE9kOSwQLBWTm3nutb0Eg/pyWXnwwzWJ4
wWNMtgJZBi8Yd429MwLKrVtBoGeIdq7su00bDeqWlzK5YtvkZWoSYFPGV52gp3oxGx4B1ceohVzU
Q4QEuLjnIqYei8KJva0+1Uiqo7ldmefqVuV8S3CSovgyC42KY1Qq4cvk5aubonha5EON2tyySGtT
UDcA5TTNzlNldExB0lxiuVQ3bi76SwtRVYu6uCOXpQqneDfWYewtCfCVt1rUquumFdxQOevzJ+rt
wZrfTYImT8xnmkeThMxnL0iCC9MkF1NH1P8dw/ofScTv1iwLFYL0bEAJZFNAAnujMfz4wswzbD/o
He02pN9war0uZ6raIPhXQIlrBxoQfXqenbqYXgbpTsumpX9Ju2gMvzIaUFelTW1IvED1SAwiUe6g
c7cVqWhqPu5WnZ3dZxU/JelrwozinrCylO/+oqDLtNBbegoNqeFrhLTyVulIGRfOyEcd3ypznLNL
lqtxgyZBzgtqkSAnxhS7tlpNriPMP/xMFABXNeGop7fHlgOeR6IaJX9dWeJClAR3UWjon1wtax69
mIZMrk3VFX4H8ukISqDxjCg0es71ZFsVNQiAjmDUcGF0nb01x4nAs8QN3WtXr1D1//nVfX+g4vYT
EuLSOCVxysI09Y7qNVSiQZNY+7eyLsnpa4UjFmNdaXeYK/kEIpYIgqtGO8f0xLBbk/MAz7uGRLV1
9YjtxeAdRL+eVv7BZeD7lPR2PS481Fukkona/4zCng8z21MA0XTaB8fU330Ac95eBYQ8w5HWfIz9
YcHNp6SpRYghiiNdu1axUFewbYJNhZuflkPOOuNXA+uFnNvmRNBrazKkS3LNdeuIS9j/xrtnsDCP
xRPWenGBbzo5hLLsfGD2rn9OnYqmSZgHiGf/fPPf9uN/r5vzsw8AxHQE8hsoHeb73x2zS1Tj6rRu
C8JL8sXQNP43nmYfZl1Tpw+CaKDLWDXqOnX6fNtmLp9A5jnZAWXUH3BBR8sB+8Q+tYZ6X5BgeG7t
zNsCIiJgjoZzTsnYRBcoJdXNkHkp/UCcx9+I1kP+7UXmc+MP3V6fJrdHfTmpm84ckhz0jVMvmbJP
CzV7M9qu8x9lKOKd5mruoYkqBAeuw0S5oZ9epqH6TEuHqKCh95EJhvUaREDuLhk1q1dBDl+9kJlJ
bl5TSrGmH+xtjCJ5Flh9mtDIqwX96XKfmojzaW7We84E6sacXz3f04KvNZEU/ZpeBr8eUv/DpGp5
i9ITV08W01JB4R5+1RmabWI99D/z5PWvZprNK8h8a2L0B12UT5cmBF2ilDJWvjKqmUPKLDnrlIVY
iCs7guYfM1TNyG8PQgWnXjKZmj0MGgHMF6FCeW3hHbmKBdLSDx4EDok/7aA8CeR7cmYACm69HQff
HRtYq7OuSXqSI1JBL5YgZWa2b2tzSlAuEqiKUWw4m6lIow82HMXKJ1u2E4411qR1kDXwPGBEhGmc
HqoINwFhVnqULHstjrJFEOSbtkJkv+BN0p9HWnr3LP/tM277/rVD86WtPNvKgEyEbkHbjOPYZU/7
b53RtuA5MHNiNFMj9dNNKhhILIjn6nYuIs/VOJXOXpnZPdYgtDVO2IzpUpPR1qts7YRybxxWTad3
XyuLbYXnK1xRYxU7JSYiuOZCzEnnRh4hE3wzQ9Q+NgqDlpbQQ1AymtaeMT4KhjIrkH3Ggt8nzJgU
8kKQ3cnDGsuGETCCwBeIrVDd+j45kL1NG9RL0XGg0sbojMK9uGQGYjIX7ZLwgX0gemi0mOwEUpAN
WFtRFj8yTvAwZCWVHexCzi1w2gxWg0UTluFXzXPELe3D+YBTq+Kgg0Tfak1mr2o0rMQFh127xiqW
6XzchCUvLRpuFN0t/rvfdrwGYwgwZunajWmu0knk5yBom72vm+w6k4iN5xAR1ojGyy6To4Z6iOOP
N56CNiq0NWHH+nNG+wZ8VgWcbDbm6UstJxs0sIbkMPIg4FQa8Oxp5hhijIBJ/UkQfEX4nt5NJ1o9
PtYvJ1ZEP3f9roWlESyaZpq+STtx9243abAessReEEiMtk6vpwERR484prEj+hU1IlwCLXkKo4pT
5oJm56r1rATNbenrKxLm0m+OM9yi8p3DEzi20m1OqHHTgTBmx8nCG5k5w5LNAMF1Q8DE6W1F/W9l
+1FlawvJkvGfK9vjU948NT9Vtt//yd+VLRArCzmoYzHshhCDbf7fla0u/9LBp6GCNV180PMu9Xdl
a8II/ZfmFhI8XBAxl7K0jSiE/0klK8y5u/Tj1kgqBRUFjzDiXhd0zjt6K7mRbhoHyj5mspwzhmhP
06MWAwaSZddoZVuBOnqjLyXZnN9eEOBnLWtL12qPhh7N8rv0O7ip+Y5xAiJYg5xx/Y4ZZGfMmFXn
jfyUfMdAkaOQESDZfkdEjdIZTDgdmg08CoZeZl/0ZtW8ADo5YUlw/KWQGjOX0HY2Kah7bN9VMPcY
xzvNnXglwQRGJOJ6ggzLhfQkaAYpauzduUKSsYwbHaqmU+N63aUVDawbqsbkrq5873OTTgbhaE0F
uaCuGcYfwWyF/roYvU8a2aUFlxjtaa3Y0MHmIaymthnJPcP95F4nxBd/rngLV5pXDF+i3oxvJqt1
NkWH9jWqwxoLeI9OaFEYocbUrQDKmEwZreAuDb/YDfJX2RiywAMceS8wOl9SNV65eh1HJLThZucP
/7LvbOM6suBDgssW6zY2vKUyKHZQ6TPnB1wd8p6Po75qB7rYC3q3HjLariDpx/QJeB6E1e84CGc3
neiaB9ZNfy/rcdhOkwM2opHjgVj5ikWTBqe28Nn7duxu0VeeB+sUI5Q01n0hteswy92tsmxOE4US
F3gu8nM4OZiJ3a64KZiWL3sVsB6abisv0fnKR436H98MkO1rmvgzfT/FZ+c4zh7ax0QNZY39ioib
bi0kCHvOH3IxaL7aGIRIM4eLSRNgS56+aGNWboAVadsKry/DDzm96Jl00DOK8g7ciH+F9aC4KLSg
y7YmqC+CvSa7Fzgce7Nl2YXp/P0/20SafXipWZLWzTLSszdHVI9KrT7EyC+G/JD5zZAWK6f1q9jb
yFoD2SFcRBj9d8AYxx9oY/9dUf8vKcA05OY2x39eUa9eh//ZPWVlg2b19ceF9e9/+S9vg/6XLWgD
2QRgSPpx//I1yL8sGtlIV8iIJyVDZ/3716Jq/WUAnIDei4VhXm5Z2P9eZGHZQ6Pgr8/xj9At/pmx
4b3PgGKPHzSv6hQiLsv7z5WTqdkqqFyGVDAEQpjS5ElIO3j44abcfF+xf8y/mFuOP6zjeEO4CGEe
GDj4nAyIf75Ii8WzJOyDbnsCLkk5zbQKqS+WZWK2H9Sy7x0N86XAKrjOHN2kW2+tuR8qQVpPTPQD
XlCFuQiOQZQcpTTIISZOlxF91O4yQVtITZbJpHssPrj8L7eTnj6tL1Y7kE5Ejsw72g+Xl+nkWoON
B5MB05ljzqNLQtyfb+a7TZFYKi5heRSLOt8bXd6fLwGIeex0X1Q7SwxnZRkPjYc2ryNmaYFW4/XP
FwM2//67Y7uX84EAeSonX/1dUUKbDUGcR2fJHJg7AXYWJYN/WIiJ5WeHtDfviQSF6YSesdVxEhdQ
esAe0dfNkjqrV03hR+zSgfAWIU6LfTewByz7AlzcEtUgdvim8eKcdFBRDoQpeKTLeehG48x4lvGw
DYBxfcvNueqtW10+jI1XLrXR67JVwijsKqSvg8A0MVak2KuHMUY0G9kBfktDOiCpzMrLzraVBo8I
Twq0dbVx8gMUiFbL6Nu2UMRCQ8yQerbBVYeAF5+/hyuZ7Rj1BqF5hD1gs3WDyy7GqGwAWTCd9BbM
4os9uae2LjIoJW52IEDwSwC7ikuQXKdZ/Ew0lnjSSmqPpLIoxnNQjk08vNYhNnaHCVoJ7h0mR1Gv
AVh166EY7CtF8MLS02z/IAPjwcFdcIhBBC+rxikXUd+/GrbmnVVONt8o4vhq8qqAkt/EgOEmS4yf
AXTMAC3i4PeoQFJ/HesqvAQ4uexCHLR4ZYajFQAQXnOMb6k0ICJ4+xaepNpEheOdK6d3VyHOmqV0
I+ei1ONYP+al8OkxKoKo7s3c0R5DmmnXiCX4Oa5S8lyIpD8CyOh2usG5KgIQAaoJd9HRz6r6skDM
i0gJZ0E2cAiosiq+qcgfJ3M4F2swoHLTR6n+YFLArIj3U0stjGT3uYvIcQw4RYgLbXKCcxRW0zqP
CgG+NzNXYWU3yWKIhLefNFC5NPTqE7TS+iarmwvfG43P1eS2Z7Mzkl2lheJSKMPeZTnPAoL4aAMh
XW1z6OUhMotxkWCQ3BB3q3ZmE3kn3SaJB3lhfTkFWnEDo3olm268JAW5JAAWhfKmHpBGFrYFizGy
YQkLZSFt8szuiFQVtclEmmfkNBvfp7FADUhvzRPBFwRpMOxs61H1wcHM/Ap+/3BCBXtPc3AersTa
1szQG0IgJTcv7JtF33Hw1PxBbKXBmUvoZbobs9bcW2TlHWFzw95A7l5cZyP7Bk+0JK5H8wP9ZPjV
+NTM9O+Ul+YCcppGqhpscEN5ITo0zQIYniH2TXz6B5VecTUYisDFcSsby2Imjvsze1zNFHI3aXPc
R5DJA98fjiqO46UDvGZpzwTzZmaZZ0kG38LEl2r6HRX0zDw3iPg4TPSQLpRnuLC3Id+QQB8vswRl
le2ET4ZvPHozST2ggX1LJ17fyd5AmedfaG4a3CUFmerC4U4b0XTA998twYDVCIm0duXP7PbKFfNI
Pb7Umqo8xZWfrvJq+goSvXFJLk1gbtJo3vscxdaMKE4KSHw70+JjrYsXhVdy9GTyT8iZXd3XQnPo
MjSDtipn6nwnC+OpmUn0xcykb9SGJqNxtqxyTsJN6nyfgw4EHFIaT/N0bh/NhHsUoRh5e6j3YdjN
TBsiBa78Nyy+MRPyC+GmFyxI014ooESltD7XM1Ef15wGxgMEGukPctXoIflpTDVmEn/W6z1Q/lnI
lWYiv2pmP2sv75MsBO3ni3wZuPXBrF0NeKTmr/yZ9x8A/vfnBICJKACnk8S/60gjEXGScGA2mbew
5vQAlgT7OpoTBWjZp3t7Thkw3ChZFcM0fCrUYCxmB8+M24DWT2QALxBEThV/82ItfSQpQT9jODdP
xhTbQKs8CLgkQJB8YaXGFuBmu7aJNec9sdXXbE5IoFpBWYjnJqmd+MEKrXw3ehGRCiShg9o2sXHE
JqtH6pK90E2kMKDPHGgZztkMWeNqOypSe1lVzosjjADQvMf3XvnkOrjAm85MM6HMzakPSHtH3Axj
tJPJHJYxp0N0c05EoTrGZHN2hB2JhL5PEGCSWGdzvkRKx2aFeEfdE4+SIXT13A03KT0bGACWlk4G
8gJqnryjg7i25wwLbIXmF9Xb4ZWNj+GxIeqieAu9iEvyL7q3JIw5EwNCWLwz55yM1OYhY/P8Rtyo
RNdNmoY952qwPw77Hs4hzXRVOPaxFdko8bakTff9XPHftslHbRNSoThD/edD/uVTlHNsen2rGPZf
//f/zTlS/Iu/D/c2TQ80BSZuT8t2jR/R3474C8uwwzReMJvgTPrv873zFwZWh6GLp0v3J+OyCS7c
mpswDhA8HTT5P8qq4hK/Hr2ZQ7/FSKE9mQ+sPxxIR1rORjtqE1CQ9egBUbx04+sf7sb/6XRPZcPY
aM7E0oUl3l2C6UGKHgBtJBiBRTKx5Yw5zcMPTqK/fpCfrzL//z98kNr3lLJI1NmhUGu0L4V6bT/y
XH90iXeHdycqzJxzKWXKdHL0E9KDavpgSv7r4Z0w8jn0lRqBKB7n3SXIu5Z5r7n1jiMj5CDNC5ZR
WZwyMgus0My2//CbYayqOwTzMdmz7F9c646yVGsVpHePBS44veEPMnYB6gVl+kFV8su941JCwpkn
0dSiUfiujtQbu1RomvlgoRucVWxW8Dx6cam3ffLBoOTXimS+lDO71pF2/SKgE4kF+wed7w5DbneR
pC2pP3U8Ln01KdJ7VLYteugi//xWQhOiW46yB5b+uy/OikCXaQWNujHhLiJPtRZ27QIi1Pjjz5f6
pYTlVhJ6SSXr0C/4xfqfGFo5laVW77KRUQC0ZdBPWgV9JpHkoKe4c2/KEYJRkk7hZYct4oPrz+/r
T9X6fH2aCybJwPPS9O59HgOz5KSEvM7N0JjYOR8QEez9nz/kzyolSmQugqyQwpK+g+448ufXWYmi
HVvGlru2rcTWGUIioQLH8K9SSULKNErFcddT64IacvPnS//u+TGkbclZm4Ps+F0B7VmEBwfSqHfx
kIzr0rBa2DzaCPJf01NOFUFoMaSB2fXnyyJn+PXtpwsE5ALQggN6Wb67s02qlXHQA2GztLx+YTvX
SUTXkZo4sy3e8pP0lu6pf9BTSAIGLgyErQZfQcz5ZVT9sI04PzzIEMrYMpqaeFW3zklaENWAfKvh
woOAtcE1qq+MVvUbgariLtIloycH6M55TFy1wKIXHxHhO0u3KL9kLkwnF2tmWoiepEHsPF7FGVLz
hE197YSXJJ1TFVVdsbABDh7tuov3oZ46R92d7M9a5lAxh4SqXOqVZh/TIB2Xk44wOdQsapcg63hQ
Z7fgxDjsovOy6Z6RY7pimCahV1YvNl2Sgx9B/XI1Mt1hktIjlc2Fmcj2XuWjeRro1hM74aTrgsim
vZnN2L1OmJsmYQ11VCkuXR0YdmyYimG16m8Np+WHwES9cAgZXxdoppHAjY24pAhjK4xZdoOiC0/k
/wwvXpuNpx5VerO0fcVj0MdcL5peh9z2P4VlV8cr5ubTvT0wp1gNk3it69k+YTVm+02rTBUuVZy2
D54ksHujAJKd+l7nB8032DLFZQFTHjhem5VLe7TsFQFa7UVq+wYdKoRAax8/cgl9H4SRR5d+2aWx
dgUJ/rVtNBjwY9t9jef4o0m+erlnfVbSCpYYyKJPbaLivY6liIDWkBeJQPtXlMI1zRZQOLu4YsWI
AQGATcLu9NDp/LxM8XvEykkOmWc1D9H86JMs5Bwztwsvy2zw14ZVCwzSQ3iC5BTvA1wLK68u6w3i
Gx0pHwFQCzacYOkBGKP8H3WqCvywqPJMuZsYXYJbmOYjeQyxOyOXjcjqnvpt6u7a0ucv19CjF4kb
Wac0GIuFnvrJAWUjEbVa0a17YnSvXY/buahmbGlWl3IlOTZdESUfE9cm7QzRAf32haoi4ZMz5Itb
s/OD0xhE+t0c+6RwhmLIQ3KCJTsI9K0wa//Zd+DM8JRo/pUcvMJfYt5yuoUpckCvvm9eI12AmhuM
9lJNgXkYy7q6qDSmvgI3y96GTHbja4a2xTVi3Dig2i4G03qgxYFuibH3sFRWr+86+hJyX9Uk0Xad
StWSzBH/uVWweakxi3ZhaJ22LQAAfDPjxP2mBX67bLRmONaO8J5D+nDroKsw02HH0dda03oLnzEM
98PXE3slJvU1rRruZNOrdI1vnX5AI8YdrDt5kQaBedZVMq390UWeBuVAbF3sMltrMIdPrvT7Lzmi
whNZSaBWIpnaKyDuEdyXqDcWGfLWF5E07QFWV3aFRHJ4qlEnXeYENF4zsjfOqUeNQ83majiooNwO
ErSq0eOTCsravSHQO38aQ2s41SMqNBWH7ZVqKvtCKNwJTeVZxwSg1VZUFrq5sbXvytHAbDaN064i
rrGnrEIvuqjEvHil0m9PNVBbLEO6n8ANtG1rhZGz2PT+oH8zI5tWE37t8K5iVPaVHJpmJ3oWoQS1
1ZZHw1opmtObciybbVvAGFw1JY1ZDpTmmiK4OqakJZIWUVTheZIZgL8AnGXGSxPaAKSY9GGMmA78
tsFZMk0/kIRSHa1YUv9acGKWgGX0eGFlsbdHtm5tipjaF0QY6s/GKzYtRNx1qQfatg4TpBi5bfBM
uLQHNxQI7Vof63qv1XrKx6jwbfmoPNaO3xHRLvXUo8vRch9UwQFH5q66yTkEPA9V27KM9QnCcdPd
hjAkli2rwJco8nDf946za2XcvzIanDYwJawj/sh8OxRgjReuFpdPcKzFc+vkSEJSsn2+NV6HYqZR
w7Un9OTw9tdljnUL/Gy9HxVuU5wXznA9TDGqQQATa9JQ0aPxDE/c3RbbqQjQOLxdMpro7y/QOYAV
HKXXLIy01Z8TXAKPDlTeVW+F/FWzJg/6TSmHaSxeShyGt2au/M+xGRYPfZRl2zc9IFhQfx1N+MJi
jCb4n3SkiKpLDkS6PTEsafeokcipDrrYWrl+gmcJnxWLZ91fea3O7XuTfdXCiy7tRPWXQmsDQP+i
ULtC80ZJGgsmzFoaMPp0XO2HuBHIPpzChr2Ni2HaIb3kF9YVahUvSuw7oRr9U9v00ykymQ4vylmL
ZZU0aZxh1plNZcdlowRbh0KDtSA0rF++KbTKyB4GPLV89a7BoLiYJU9daoRfPcHfTgi9uctq2zr6
oqDLZjfNCuwq0ruK8+aWQrTeG6WWPAxe5G1zdKJ3s85mbc36TLdt822QePSb582O6UAD3AQ732A7
Gv44lByF19DE8W11Y9Sj+QQMNV3nJQ84URDJYeKJXjo6oxnIjvkrKMIOm7fenJsEli0PUnBj0yC5
buPOg90KucE2G28b1WW+dWvD/tSiUW+J/5D+RYrDelw2oAi30tdgJLXIfyZN71/73NfuM0LjlmAH
Y7FyNfvv7ylplf9t1PlllWkMG3pU4spivHqmgcUiA+HkEKeSiaylos9517gnr+jVRtM769HoRvOx
rzXzMbbK8Yqdyt6EVaitRmz/K600w53jQ6mgm1vfFkyN17JmaK4lhrp6u+stDOIV/jIXz6K+0cm4
YONr4iOJJWJRFUyQ827C/MmDuCETRj86VZivcy9u99nYGusSq+ZS1brJS+x446GTY3rtuyLYiywE
7Pj2LE+w9E6eZrqcK1xohm6krmDO+OssdcBcmG3P7MHKk2sdX9feHpX9yfP9ftuiErLwsbIZ6pgn
H4apwljVABMCc+zRyPeMjE55ErIECnEbatEzEUboUsNq3GONy68d2AMkOFldsJgJAA+6KiwLCu0A
o7QbyakQwGhSD4BwlzjxtZGE2qYzZHIwu8w6kjWrboQzaGu/LhWEyIat28EhunWqQjMWasoc0hAR
fILTwLe6Zm/q9+RzkJ/nm015ObSYWJcIA4tzV6h807HgcAbKnebIFKoFGIhxsO7gFQQYeAjQEeWB
8IdhY0gEuGBGcu383YLgZnhTLRN3YUo3G1HyrDBsrRKscxNZ8crtCeSuylkxKfL0Qe94nLISXAzx
v+KZKE8st6DhV3A3kMJ5LvJVFaHu1gjzOISYUNeRsCQ6w2E61YnjHOzBHNduO9Z7d5R9idiiL6tF
5tk9gQB9wUoHI3diYKB45zUD7tjS53+ciR2iI+n5YX/RtVq89PmrNzT0crrIE4lJYJ7NbaQb0554
Lns74FOaP9G1EyrCYT2U/yhAkSF2UXYnVQK81I3z9VS+hY8UbY05dpRfxnx0YYLk1Z3RG2PKGEM7
Bn5/05WjsyhMhINDrL26+A42wsw/IQUXizQmtoiPAfBJx3mEGb+pN3gGhjUJQ3Lr+1EPoddvj/BP
645EW91Zc0IMD+VkZcs2HG9A1RTLpLGzFyfXXprJulaoRjZSwVrh3FbtIQfBbJ6i81CE05J2dLBj
tdpyI+bAbROirU955yXuJ0Z59RIBCSMH9PD+yh3o8idG3a50lwCz3CrNdeqUfN68xA286ID0sWLn
l6r0L8s8DNB2w6S3oxT6b2H0HRKSOPwSdPDyE9Q2cx656tcQFIq7En8OCr9Ar7CLy/AYxnZ5kwNX
/qThh12wq2efURd1L2Xv2HeOqE1Fsg0Eg64fp8MckYBkMex2AGAtBc6hMm9Mt55uQBDUdxCKknWf
dQ5gS4zkK3uy7bVihAFIOAy3TEbjTV8ldOP0NDoEMbE3IHoQ2OOGPwpPw+mXpJZXr4YiMOCou51K
kmOTP3O8F5+x5biXwutaclylVZz6KmYcIBm+3PgTQT3tSAoAZFoyD9yOVzHLdKyMjGVmiC7fIuR+
69kMzQpXZziN16Zo41NuwfjsorH+bNecrxZKhPJqdL32c5KGzgEDcf4I22Vmt+ad8aDPO6QtsnKh
h24I1CXvjmHkmpdh1rSPeYvhBIDTcEitoD8OZLu+wJZCZx8Kvtyia/2b3imzr1nj6MveFuZT08SF
5BUpnYNAAHNRt1TgNhZwYzH2uUmt26DCGQF43Ru5k60T3xKMxPo+vCq08TXpHfeTLBzobN7kAmOE
VGY1KfRjQP0LzngTWyEC+27RaQr92FizksVpvItLQkNLgCJ8vey2h5GqAjSaARpIgIRpymnVRNlZ
S6NPKkdrRghru6BniyuPUOZFIsrH2oiNVcJgC2SO6RD4anEyhpZiZ2dSl0jcnVK5J6WJoxT63NEP
yH1KSreDnsFYKdtRLtnaK0DXGSNbW3vR2e4D8Nh8Qd3pbqliBvAekX+fGlp7waaY3nBUjJ+UMIr7
uMI/X3alcralZo3gmP0qSragkX1rASYOQLXW5ieCK4ccGmGkviS1LeEbMbI89LJ7DQZ3WHR0dpnI
ufnR4GT7kpeMUqAtNitbS66mogeD1Bhaum0TWEQDX9UFCn8C1LyqbK9oBAZXBLGBSzDTuFnDDqgu
ayKllg2UjFve/69trpO2xp4Gh8/Bu2z47XTwiqa7SXSaDGaQhg+qbgw2LjRkMM78U1MaxTNtsC+k
ZA9fzFHdTR0C341jQ/HXcgagMWzDbVsym+RVS+8QZAA0DMOqvrV00h+X5Ndt7LDTN1NP0oHFE7/T
3MLckoXkXEAjGFlcCJLYh5lHbRrL4NkaGVrnrIRoGLQAKLhyzpQ67CeBl33xkUCvCNN9ZBg1HPVS
SOIVbWDrqmrvzMiEX+KSSEVT6zmY/H7Tz8gQ7tsYX3reRCx1DXIDLIu7rYJY1fRXuCmG7zw6fWie
o76oN3HHjE3WXrgYcs5UhD55G0uztq0RyhtqkAcW5ORalZN9qBh6Q8po7XWZ5v5T4SXTMq0Hlzah
EV/Zyp+gAjH4Xcia061CzQfmZchv86kJOOFq9Juzlon/mJ38SLNvHChpKzu25ZUIe+ObCAjULGJQ
9XUXBQc/D7vr3FLhRWol1p1Zxl4eLMfJ17rPMfFXPsSobcZyu+5Lo0R3qfQTAD97lw6I2Ii7L7Zj
b6R3LSsutvE5SRjS1JbZ3jnoYHorR7cPRgBlqB3qLzgGnV0chOxYHAQPLKTaLjO8/oKjHGmDSPev
mqBKOP8W+beuhSG8Stvy2ahi3Iluizd4EVRh8ly8qRYEDo6jC/lwRbcEkCnAi3MnNTUuNU9a3hU2
yEAui7yq1MIAcG5tqpw2MtCY2rvKyQU/5xmoPFiB3jaMGtSdtLDOtmxelQJXrCPjw2NhELEzDS8A
8bODlUrIGJZFkVT1I4ruJN5nkUdQWSN2JPLEB95/C6OB/ZAFnI1Nn+kzp8J0RbvjpcH+tSqQDC71
mP2VPKFdp+wnhxJExcDBa/3EGWrOfaFNpHWueDG9dDiahQU9sEKNrSd5fR34YtfDc/sWkt58gxxW
nhrlfauUqT0EvHr3WFGQxlhNUWG4q9Vsn0Y+pOVWsdU9RbZ3VDGRb2c0XE4H4M+N0F+7oLR+TZ0N
mha3tAVS4h8nOUYDPMqJ6L86FT4FkfX3NiLwXWBT3XoOjfw/X+53kwmDYQumxFm7/F4RFtSVLtDK
crmmtc6VrLZUAGpd+Y7+wbhFzJ3j951zKMXoGhju2XS2f/5k3jT93dTG1D+8NG9N+tHvvqqWJr3W
pOKSvpK+td1Jf4L9RkU50I/788f9Xfd+1to5tmngkX8v6Esco52GQGdm7wTmyeoKWnoBfdI/X+V3
N5WvcO5h6ww+3zrdP0zjTEwUnYmS7vs4pI99+pHeqBbCjMsPvr/ffSATspdr4rdmxDj/Kj9cKoGB
3o/AIHcDsQErstW/YJT98ueP89E13k13IgsVLm9rvROyvZzseoug67sr4T96HH/7cPD84XDkUcQc
/v7hIDQQvymBRSUb2GXQ6fJAtBjd8n6IPpHDyyOZ9/p1ADpvRc6Uvnd946PRzq+vHkRQiz4q759H
/fJuAGFaZWdoBYbRQADdaYvWXsKtrS5SjcjCpPTy1T+9r1wPqSrMbAsB4vt3r5phbTM3Er2VYpWy
x5MTCueD9eTXZ9Fgho4Tn/6O/BWq4AWineokrWCiBmSflsRgFGV/gcUl+uBR/M2V+BAzdAJpLq69
d4+J10TRNI5usWNpI+dSa47G6JzLOn748237zdckHFSXgu+KlcucJ1g/PPJ2mSWGVzsF8j19XadP
iJ+WcQKTFn/ln68kfx02Yvb64VLv5rYUqraf2VyqA7S0MnMzmLFTbQvPq+/WEB6n+9FiMG3RBIUh
a9Li0+vK/wx+QFvDhIY0yghoKxtqaaSVdMEyc0oOFnS9Q2soDWwpgGk/5TBoVjlxxAEtYw5X7TqV
bdweyC9TV0PR0caCsQgWm7bDYiDI5YMP+t5cx8CRUSbNfZ0XgJDY91O/NJ00w8s77mkTto9elpN2
27u3BGlFTxmc60M3IyzrFK+qIjjcSUD6JMre23YGIZDxjJjjTGV3n/mcjlqbfNciw6rmYs+nuiSC
h8S9BHFUFRkOecyxIWcfVr+oe+kcSJTulsoszB0DLmA6rSsBYybxijreuUAGjRsk8XwCH4pw5QXD
EqmjWpnsPh53S855vFOjPzs+vvY/PwG/edYkimkUHOxZ7PvvnjU/6yvGsCP3Jdaai550+z3fuiLL
qI4xd/nGsPvzBX+d/GL3g4EBpALtOvT5nx/uqsBMNgBa3Hku0kWaLpjSg7q9sI2y3aIqbC9C+i9n
MyIc8M9X/s3ry1ibhAGJFuf/U3dezXEj6Zr+L3uPCXgTsXsuyoJVFL1IiTcIyhA+4RPm1+8D9vQe
sqoOa9R3GxPTox6JSiCR5jOvOQZf4FkiFbQDBJCvcfwm7V57hiOuPVianfz+fKgTL0mXl9OIhIf/
HvbQaY4QdI6d8HNZUxqVGpV8ysEY9ySivgCyCh+vocsGBUancvf54Cfek7jKgAv9RuN6Y0u/Oz6c
NOzIPYXwURKLtxV+HuEQ0u9Nxn/7XfyPl9rxSDh1sp8cEEYO6P6DA5FEsAmhWWY+Hg1P44jWh46k
AbvIMP54mRJuAJgCGAUMQz1EvZcN5n6IGGc0F5HQnGyqL0Zy3feWjaeg/etPJ9BUUdQivjFR2D8i
EeAQWAoTKU2f3rrhK+UoChoJFHYbTBibM6HU8QZkMEIbQgP8LXTtcD/QII7sLufNFPMhMpQn8Mq/
ksF4CHv7TAwy7+WP8SlDgc+xeTXOfOtgKPTq4lEodGPRS10bFEw8MJkLJ5OYpgi5o1ZxLho9PaJH
KAolgk13eL3A+HKLecRKk7vUK1+KUXswamSgO/TbMKLUL//80xF4z7RBj6vz8Iq2cCOw28BJfaXr
dmMmfdNMr2NbPTPMccAI4BSpARPCBNHHoR8IDlRDHPNX+1LRlQfFEeZFOXAjfv4yx6cIo2gzDwia
j03c+PGoHBR9EEkCHrU2SGtJ95ZZ0r06wgbZ3NJVQwjDGIszp+TMGT1aJfPB4VjQTDgtD0YN8qn1
wL+kvmfB+u5xIuGuK5FwA7YNA1nQyWrGWUdAKZDFXTqTV1L7Vp1tO1ThRUYzaYPu58M0WtUdVrcp
qu1ogL+FBVWhW3uwMfZXT+9tDFEb68zTn/wwrjcnPxquMIcfhr5klFHezHxKVJg/jUi3KAPFjs8/
zKlzz5q5qZ4GEQdCzscPk6O1aYuwyHzU9jKMW6WvpiggO+25qOXUp4BzD6rStlHEPfgUaA0YogQd
7SMyadDNDqKLwVaHzedvc+oEgqsLHhE6EaiveU7f3RdToupD2CkpCAJEv6XDNTVY8NjR7f4hE/PP
o2hyRmCiXBkz6+wwQ3Xb2JagLlJyx+DXPHd1bN/mdfD0+Vud2jwQkW1kugCyHfGkkAQUyCKweTD4
dm/SWQReC6xfVFyLTR1a7s8+K5MLUCzNmavq1Jn3Rn4GQXci6aF+okYGKnN+GOrXrVBepgSFjOSx
TKZ7NuKZ0U4teNIeZMNMMssjtCAS6eDIyib1UadOtxjXOLe9npxVrju1RphEtFVM5NDAMHxcI16n
g5Cn7ua7Xa8+xpGKi5YLkiZAfSOjQO/08FZceGhFK68rfFuvrMwxtpELsGsaS3SKwqRcaRXWEBne
pJuoQ0P1zE2qnZx5IP7zzjRQQDvYLnXQqBb4e26bwaRW2FYvWuvB0jXc5iJ23KduoDrhlBGVTIH0
Q9pLhBfQa41o60522e7KPkdEFOzuwkZebOFFvMfnq/LEPNLYIgR1HAOU5eGFmDk8A8SWAu/S6Vc5
ae1GLUFUBRlN7PHl87FOTIf2BjS0ZsQqUffHb6ZrI0pdbktoH2i/VAoOq9xSX1DmEL7jiWQNZrg9
E2Gc2HSaRtmeiIYb6wjfLGuMDGtkv/w+sb5FcagsdVr3FDNrTL6xdvla1X2FwJCQ/p+/K5xLb65I
ESAenpQmNPG4dpvCJ1e7quweta06uwWWHOIFED6OrhWeWW2nvuRM8jQdHZ4uR9nB7Nq0HBoTDRNF
DavlqElak8Job3sIh35uk0h//oYn7hxekBgKfXaAq9rBDsyDGgl5+FIwW5GqykzkvNWqqFYGsLh/
MhRKNIhVEzC6h5do6ZhxmwtSNM0rxI2VYapXO629jztNO3N8nVqjmH+xPE2OlSMcsAQXIyYqA36T
dw9dVPy2rArCDt8P581bt8PR+c+nEXc5XbcQXCJCPPhs2kDBXW8m4U+z6I/q9Hd1V2MdgaH25wOd
OJjBFkNBNqg8Q+OYv+e7W7WcemAgASlgFlpPaKZt3al6+HyIN22og4D+wxgHa8JTkjQxEd73QfVq
CzOOy11jNdad3sHjRr0RGmao9guUocoVvjbh16KvHRADNGw6t04p/nXKuhYx7R70v9eKoWlr7DQy
PzbaeoeMYXSrezhEixFdpqBUxTZvQGiQ3Y5LsHDBRWTB6p6wTb2xtBrAXkIP727yEF5ShYbscpE3
9VaVKFqQQA3hdZKpRIcF6osijevraHCiLYoYI+pV4LSkEeVfpFJLH/ejh7hImyUzPNtnUTddYIZS
+iCUUJDop3IddJEFYjDt8Tgz0MCKIVR9Pr2n1qapOY7GOjHoUxycnyieYRBnszbBCr5UQ/viRuW1
aSiQgIt1oOBy+fl4p3Y4MTfBHuV7kPEH41nRKCojHIXfVtFcc7rq9fSib8WZ4PW45AdBHvoEhT9q
BEdsfHNII6MePIHjW3pbIoMFcMj9WaVf6UThoqcsO0t/DmtxJmUyTo9LlZYZJbk+zCu8Mq/ysreo
iRTj9C0aUCzBeV25Be2uZmsa5+Q41Wyh3KayWmUCpJDSCQ7ySpcXFlBfK+mVC0NFPk5rTRiooMNY
cOUW4gdtLC/5YWnYPPUDeCBMYMKV12o2tRdnWoVacA/jr1m6k1Ut0jbBF6idynCd8DxIW5cQIx3t
JnGzaVtib7yB0cX/n08o7DdtsnYUR3+ssI068ylOfXEbGRqE3ygzGLPgzvszIlYbC9atFL7avoxQ
JhaIcm1TrZVnVtaps+jdOIeBkSwlmlFeL3zXytQl1g3dMo+i9efL99SFaONgQ1+BfhuSEh9fRq1Q
6KzMWvg0nVCbQsuOZPypSCOAtc14hnR2cjDqleQsSA4dhb12zWEkMvaKEtk5mei0lWa5AQYGoLKN
z0zfqYPApuzPbQFl7yj4zcYRH2egFH6d1Ld642AwEYxPRVb/RpTrNo/sMzOpnVoXDlkSCSxcKrSu
P07l1OAS55rEacmQRVA9dG3nTnV/oVOLXxWGEvlmWbVLdBiNu1gNIn8MQTaHRSy+uKGbbrzCHL8i
ksaOQiEf8+3Pv/TJx+NApIxE/RYez8fH64cAz7uIMKevyt+GFz5GurzPDJrJ/2Ccv1QnYK8dBQeN
VMaoBJTjk4mWVHPaFzEqGOh09ZmL9FTYSnEK9po6/8M52IdG7wHjBoDltwDHowacWy9u68LaJa52
jYTUQ555ZwoVpxbwuyEPA9ZkMjOAOmruK/2wDbviN2LgIFztXV3IMzmHcWr9kpHSJCN8JBc+yIva
3oVzPjg5x4w+PrdR+Ypji72UWKEsKd+GS6XEUDXnRF7H1Qw4VrQZnlWD/PFk84TUUfQUVG7jdzqw
ZagtkA2itr7Hj75YuXhvLVElcjeD07uPrsWpubBFA2pCaQYcx+bSZqG/qqgcrx2ciYZSfU6K7gpO
Iir3hHyxK1H+GPEi7yA335cgL7nsdevMajo1C97M1KXEwbo9bMBiDgrHHJCyP5XTxYRr9aJVzSer
tPbUTJ/aeOzPDHjqE8/0jDctcAvS18dtUiZaOFYEQ36Mxx/gmA5h5onsd2XgExksmhmY+vmGOfGK
3Osz29iDiHOUXXr26OatbmR+iiziOqpH+4uIiNDGpMA/tcZODRzSj8/HfMNrHAShYG8Q8NXZoqS2
B68ZKmNGZzbLfTufvGXUd/a9GeE7I4zR2kdFlj2WOlKFiQlk6w2n/KZVnXcotbZgibZK3wOZPfNQ
J4qYoBKo+synNmYL+se5DwdrKgPJjm6mADwbDmUbUGnGpgkwE/YcG7FXG1XuzMrWXlhHy5GeDPBr
U1t9/iDGibNy5oUDx9BIc8zDUqEKNMLO2xhDc5EYtEZmcHNsZNMtAEth7flczgV2ONYengWiG7iS
I0yR00dFpU3e9EavbsYxUL9FJoE3Yp/qN8JiZCB6lhS0iXQDssfagsv9jQwZyp6qXJt2Eq0BDJpY
0ojWx6jJWQ9R56zccI9vnnGfGmK4ZtvCREEhfXqK3M7bZarzXe3G9Exifur96YAZKGnNHfrDwhHl
tiRrWoP3z9LhPoKf6yP8ED/FmhJtPp/rU0OBvgRrMIsYH6WtNJ2qCgGh3PdQtUOyw50pPcjT77wI
+Z/Px3r7boerfq7+GmSvXIOH6b9Q7Kzr85jkAFsSFPRoGMP4mExtG5Q4jQgn0/Yakiw37aD3V7qu
hLcYpSFkbWTlFivk+q9Q8o/kG77EP2v0RF/b/z3/2M+iHOs4jNo3N4H//reHAvBp/ukf2f4url7y
383hH/rw1zb/9fbb4e9i9dK+fPiX9ZtWwm33ux7vfjdg+P82NJj/5H/6m/+p9Two/3ffbh7h3z85
v8L/+V9fwA+//Iy65nfbNu9lHOb2KD/5t4yD9y/OTGTaaHsgrKZ6xFx/67QZ/7JAOVFFcy1I9G9i
bH/rtOlvLvPgehBsmEnNRBZ/67RpOD7MwSkVG3umGdt/IoZ5vLbnJitVTewnXJ7u4DzzDJSi0lIp
fYQGXyMsBLfgWYNF7JLev5udm7+W8KdibbyLTmGQGirIrqOsNxOAQGYbPN/VoW2AH38uRTEs+iDq
zlRITr0TY1CtpYYGOm/+/XcVkrBVgqku0xIYXNotg069bmSekO9NZ67FEwOBeQKqNh9A6lE4LdmL
aGxNpT/iE5Rm6Ss6kq8J//vHM8cwlks+xxc/+kZgQsCWII6OgUzvrT23qhANBtOSDvE/mDrWKqcO
XXf6T4fFQOieuQmlokRzI68vB7VDaKrQ3ctaJGdeyuYjfDznqEZQKSOnQ4cVCOXHj+RIBMdbry/9
qEfNyu7GuzEcHmHjPJYSmbDPZ/A4Dmcwg1YX8Azchg7xBIpmFezNovSxjsUFAU6Pn7hVsCiU+EV1
Z8sE6IILbYQs+/nAp1YIPUMAhm8hzOH2susCl81IlD4+QcV9B6R3YXkQ7MDFGWf21zxhRxNK/YVT
gRiUXf1xQqcu6UZALyUdapQAchg6a/T1g/t/8ELvRpnjo3d7yyUUkQom7b7iDRA/6+FR5qiHivqf
Td27kQ5OJkSdo0IKRoqyblzZQ/IyFZDjz2+vYwQlrGcU+jV6hvaskD6vnnfvFHbguE3M3PyWUiYA
96ZYtAPZS2+Y36oYnDhCbSCWcdrdWDWO96CKzvRjEfg7+no02Vw0LD10JoFLzdvl3TMUQW65OVqS
XPt6sSpViZ/LWLbDzWTm49oL1GKlebW2geJs+SoS4askM7y1UZliJyu6jcsea0Uo80AVa7zdf745
EzsJdiKzus6mc9LXESjsRTjh3FE6TbCoywmfD93Dk6oo+SNjFORrHEz1JfK7lu8MVX6LW4X+lDp6
cWEFSfAsc3TT+3ywfJS4IJqN8C/7hC2VOgOsfWTzlXyBSRdOUxW2eW1Lr7xLM7EmGhX30NTMHVya
/mcVcNForc2zQ/i5HROz2PduI5Nl5LhRsR7NTP2RQBKkA8jzKMRJLyhwFqtUtuWmwMTnGm/4YtUC
PiPfNIIgWWhd5qHTYrTeFkOUclOpoLGTCtcTpS6VZa7ydlPO2ZkDcl86rdCXgcP5FoUx/C5IHfAH
B21DFlu0S0nlFvU8HPLoMBV7TW1JSHM4dK6XK0uMgvSnMJLWfgi15Dl0i+zR7lMwUY1Rfq+QNnsK
ePdy4UA0/F7mZjfxTBKRtsgpvXZpGCPHzWCbkHkVbCofmx4WNX6C+S365+1zwNTAHqvKa7tLXlWN
b9rBoniCB/w6NH1w39pTcdHPpzPeLMV+zGbb6honPZav52URRHl7uAOoal5wqbTLQObxVoaZsSAS
iWfmeyd2cQied2F2YXwVGqV3ndiheEUDUrvSULLY2l1GDVNXetddvO28rEG3AKK8exnZTFmKAsgT
xXJEF8xoXOZo1j24E6Qi9Fbi9NmD4rjIq75YIQiQ5JApZDHBb63tbBtjPF9+0TpZeis7CuS3KCgV
b61rsnGBP6bxtLAxQ71EGGd6cqEPIEuZ5q+6E6GMn4YjkSCHNwIwlW8mGmp/bO4HA42lZAmTYVbE
RIk5pc0aSQhoA+ZUuEkZlHJ1PkEbDKmFUkOJRCi8PIUmIoKBDUJ8q3K2cViitenRW/ZcKDLlzPKB
bxI90nAPJd0Nkbx4VBw23uyAA8AVKfvYk9m2kcFw19ee/DbVU7oFEd3SkVBqPd4kaMFM6wmV0mpR
N2HfLewh1X6Ab2l+6RN7y1QCXKay3mq+Sqctv4eJae3fXIByPH4tkjvF2NnYQuMr38fKUkv5ElYU
ps9VqIvdEMBQxA5dR+guecVb0bsMNNvY8SDaBt78uFLGBqvFKEc5Dgb3sO7CbKbz8YU6g9sX8Da+
wC62cChhBfeJrOH4ReUQ/RalZ/kitbEKtiN7ujS17lvZjHJLqwJirIf5xXrqXQGBJn5tUCxYVAoc
wkbLttBzf7ddjW1EM9yLSveR6/3RYby1y4WNA25Q2ntuY+c26tiUmuCxcEeVX2Rbe+swZZ/TY0Y1
GDexJ1crpz0Mkk0+YT0aTkPZLvM+RaET3/kY86WMRc2piDFYVo4r0SXetUFci/M7uz6d5TWlLIOF
0SDbgiOL5ed9K7fafPWXJu+t58lL3Cj44NBgfskGyN+GbDVqST1Gqfg37YaOFQWIOHjuUAFcqtlY
rCQdrrXVTGyj3K08QBkzPUOpEd6D5acsI7RibjUbmxNTzV4si4Oyrjk/oLk7t1OMCoBe1+MqcCp8
fi2jc29h8dYYG6NQhAIUy7Dz6mqbqXm3SsaEQ0zvipXdM3SN57AfQ0xaQqbof6JteFGKTMAlbGA/
gnlc13F2DfS12EQ9EhhRk5fXTTWH9oVe7DOtZDH1VdTFi1wz6WswO3HgYZNq4yH7dur2Ufy9TV3t
t9pzWsl5jVjqpF2lQRtfJdYQbuRIDR7adlItFKW1kJaxNg2SBsjw4jhlGRMnYlsMSznZxdd4YIYm
JxCrQcUChgu3B2nWcnJnal2D2bLFgyzD2cJCiF0wdflt03H2KCGnR++x6VOZM+de0W2MhHZLKGR8
ZQS6+sPTunaPiywhcdFdu2mT+Y2N31kSUXTMvVD50tbxtREb8puSJM31OETtlyCZnuBH909uOror
dwTSak6ahbMHtiAiqvJrtLKCmyz97lTwbWMjekX+Fj5KG39lPz/WUg19HRQiKil5tWxVgybe2GCI
W4zhlsP9h2IVmBc5XHpz2exCiaPsEaar2NWCE0fNXe0hVrFwAiPSgwp/O2SRPKCYxzfYkP71i9RG
OIh7WyzhqgydT/XSrLf4eC90XKb7RfumcTy+6R0n5JkVSyRBB1kL1fRC9JXqQWZ25q7orJmM/C36
yVlpUKBBgHnWVX7TWC5z/WuT6/mur4x8Vzitihaz281WlshBdn9JQwZ/CUWOvT7kE5dPVnP+YbgR
3FV6DwdOTRO442Ys82jXJ54Bfx3FE+nuTNkVAlXdznCMJekAparFBA3htRmTCMUQJP9/lxaACi0O
MXtxnVJb9iPqCEQ3loqX8sC5PrpzIQQdkra9EbYD7TgxYflj0h4mlPui2sThstNkztnTPLupmrbL
Ysju+8QYIONq6O3O8b2JH54zyp3IknQVl+oP0+38EqFZxAUNxKYtike6zf7i4JC3lpUoXzRDKMmq
dXKoVqY+btmnurEoEsRNusxtfb0C0jZUwUsaWSmKW3qKtgrlaAQ5tG+U4Yarjjsa2/MQ/Sxh6p2y
9DJjumK7hj/DzAE/lmqNgrv24BHdKspFPOCksXHw3UkXps3xbYZEJyRsiED38PKsVckL+yl1Imzo
R0tuP4/xj2uLc0CM6p5FSxWU6GEWWAKeR36uQ680z81dJ5v8tTAgmC76tm9UHH9MQqssy5i2KNHa
K2kTWWgpXexSI6xCxfWFi0vsXB3P0VEn1WniUuAvPnbW3oTofinoeGFN3XjrVlZxiQ0UZnnhDCs3
EF4q1qaTB/eQjcwXw6ZAufD4xxZDAud2DDSO22AcgALEcfL8dgYKgSbbsp9S/WzBd04zPqRVeC3S
wVFx0oSPBnD7Y2COgU1odo2a+RgQc/bqvfwCHUh16DETMyHNFF+NNM6ihT4RY6UeWmYcftae0mQY
w+o+lzcfleLn56FgA7tmNi85xNA4IYpIyIhmfp1r6G6Ne6wrq0XvxC8i6+6CkSv/89VwlKizGIBc
MZJGbkId9GACTGnlYY8ktKwISAXiQVzWGBQKEb2ZARVnetfHTcp5QMeaOxyAy44gV6Im2DOxW+Rw
RbNp1gYoVnEjJIpyLKwWntk6xTTp2rbc/ubtCu6RTbG3kd5rm0jLlCWCd9YLKhhyOyA69Kd5NpYD
9LqAMLNDmJeD+QC50du0kmLfI9/eWkpY7EuzP7cHjyoWjEKhAroFLCqADQf5YBd3MrBFEUMJI3K1
gdGClbZRa8fqF5WEFEmRMSFyj1Iizs8/uD5XCj4ueeIDrJBnFUPtmI42aqkJ4K6nGdz0YYAlSeFd
KkHgPecdcWlT9NZ47SmW9yjM8TH1xuoVn9Z+3Y4S+bi2EFE8H3ZYwVRZ5xqIbpfEcmaKp2UTepdJ
IZpfVaAF7cXsZRr+VXH5o3r1f1CJ/s9K2v8/1asBKbJIPpEbjn8CjHwRH0rVf/3Qv0vVrv4v+khs
cowgaFUBdP1/pWpP/RdcWQ0NS4pn1LdtOtl/l6rdfwEcpFVh0wSFBjIv1f8uVSN/Bp1hLl2yaeDY
/l2wv/lrwVHr/x9JQYcwXCpbyKSaIEHojJgACA/2RDUo6H9kjYZngCnbainDPB782iJLDyJVgNco
Iqw2LxMMX3viTcgTQ0mnH6dGr7Re0KATurZCU3COTazEnuAtwccxk32oVwoKeoFgb1WioZX3bqb/
/Srva9/zk73bUToHMnXouTnMwQGM5eDJ3abrM3AA9R7+7XCnRUJZWsRIl6N0VAzuR9LSzwfkJjga
EgrVfElQ17f5mgf1VSXOUPLqinBv295l0TpIBGWSq34LsC+sVKQ3lcrXarX87oEsxRahM6Vj+p7N
wbOxQkRVLgInntXGJMSvBZKVFDH0Fm0vV8SOsS5ER7YFBukh0yHKbs1AFHu0CCCkUVDhytZSbGkX
VV3l09KCbJ1usBlirhVbDnfZRGSga5P1gvhZ0SySajbi8KgFhOvaCeaI30IZF8amQknA5osQ2bZN
122AiIxfRjvWH2rNYBH0Bmd9bXD3joB1YcO1yHrVLkWEpYPKergGktCHayoqw40amRlk0yjUHzQ8
gacF/gm8G5Ii1XdltrUN7Z7HwBjQHdCq1MvvuuzRwLALbCCvhyjnibwRS2puWWTba0woQIhViq49
6EmkNXRB6UhcgR10lI3tjHb5DXdcEe3aumH9hZhvUctCzuFuqoX+AElWH55wIBuUZ0NvmbkYd0IU
tMiZiou6dAnvJAzkCdkRhaGzcrYCxGKQp0OAj4BqmCpVLhQkKaKbQGqU8wpkxzAn6Q3eH2qv9ZJw
hD92IwmH7Gp+3Os1spkKagRoLf5qtamYpHg0+Qq2SavrW9Rz1/omvsb5mnk0uqUVG0xLrGQUEQYL
K/t7/AD5rHJmZ+9Ba2TRDs8L/cGZJ8dDLIbvh9bK3qsUChtx1mJnhmJK/yUK0b1SXDVCPnRg89I/
RxKnQmsTWkg9sgnR9ecpa1DQzqqQerY2AydcZValoUPVD+OD3ertFbcPiVGeoP6FcmBXvIRJa30Z
x9B+VKSjXfWyzG6QdAtfdCoTPoVj013GunBeRJjKp9JQk2GjTSzZqMdQWvaydZdRMgfUOZKh404f
bAsj7MLxHhUAm+0tZpGKvbKkw7KRtcP09nFu19dqi1fOBptfRQBX6SpDQxLKdNHSJWU3Ff0n5VK+
XWwQJLyOydiV3/llnryCBxzu4lylvmDTMl8WIWuk0YXeLUlbtYdRn788vhqVjdlGz7dNe4zW1xPy
r9+ZGTaXgx7ptE3Log82jaqUzbcmsIY7wkc2goJN2eDHOkCnLd7Vxd7SJ0qSwdCQbMuEgmES6Hih
Glbld2g2DZcG6qYhwoSznzMVqmSC2NJQlxuGhHnBiglzhg7Bur2IUr1+SLGAUB4R0J2qy1avlfpm
xGgi2GTEw/3XKSeH+xqbap7eBTKp/SFX6opKpGFcTHKO6acxZy5J6JjLQe3JAjwvZCLoQdV+kLnZ
QNSASMyurECd4ufCQk4HhQ+HriL72Jbzpmhrk78F9wjOUGEW+gM2wDiFupob2d+GzO306yTwOCgw
VUiLn47Ra1eR7VLoB1rCmEoaJgPifWGdPNda3YflAhW79pcRuG36VHNC4PyB8o1VXxc59rgusY0S
eGsnQ+pvrafAnBbQBpNdUzl88zartauknYzhye2CKv1tOULHnMocqxAdPlXq+nXO/TNh3Nch7HUR
CN1F/rIobFW9iHSDBB1eLMV1BYj1czxMYK2xGbkSICG+WbILZo3Aewesfr/U8qL7Ohajskb8MsKe
p2yWRhdGF7hjBCuq4nG6yGNAUJqhjWg5O7nlU3axZ2hzUikxNWxym41J9i1wKSnHQHDIFBdl6aqP
jVXqSyNXnxXqLNiFw2JPR4GqXtQPro+gVvgjawLn9xAiJi60WlwjIHPZ9XU1rrGeGG5RYwmfLUOK
dc4ltSLsM+5ouolnzYzyjS5Uaj2oMiMg3zr1jReiYuiUKckiKsDZl7gMs6960jgLT23azaS05N9y
ADOO7B9CaH15LbMpv7QoL6wxf8puOdbL5wRz63tpZje9ow7Jtq6Qd6pGVHhU4s6tjIv4Pmzs7CuE
nCbc1K0Ql1AOKb6m1bTLFC/doHGBzyDsZiQAHUonKNcWD1w65TdhYai9SqZGYMunFk+Rbc9TiwoP
tgRWJ5a2082W4YOxCCmDIELnNK9x7dSrrDNNX5/5Wuge61co4jlYDKmWQEdsJBxYNZgBUw3Ni62b
VVjc0twpLmapvk1oabdJUJRbzJa6FapC5bckrSn9DLq0LwTpsFyPudNdVa0Z3HtlZOMbO6VIPIHE
Qx5gcsH52PaVErXVngN79AG4jhe9MjsbtWm/HpsahTzd7JZVNyZ+JBr7QcZy+qWqWbL3XG/a16L2
zgn7HyQ4hERgd2ZYJHr70MwOQ6IxD83Wq1tzh70zdxga6VwxLFvOOTFQOKLywU8tlVzOljCU7Qb/
8xDpIJHmAaBK8Z+3rBaK2/yA7zpuVZEbLhLWaKi2JcUUMRd1e4Nb0FQoCCeqLPYBx8yZUQ+6tG+j
zjAiCJF4DUDk+ziqiW2TE/WWt6sw2/0eQ4iplmWrE+R8/nYH/cS3cWDVQbsk3JxhFx/HkVFhd40X
BjuTKjmHulpzaYih/G4NASfWnw8295yZTihSR5gljUNECYlCd25GzbooIvPiDaCgxJ23/nyo40ia
qgB+cSQDKgC8w05+FXpOib4twl72qF2JjtjfAmVLHbAt9s0MA/3j8XDbg26J/p6NksVBVx3qIedG
llsodkbB4193oMDGAEFeMfdUmhjjhjPTebxG6MJZvKY6S/rDOv/47QphIq+epfau6+JZnkgxLgat
P8fHPjkK2DkPArClk5l8HCUL9F4EcWPvwpZi4hiLeOtg4fYP3oWEEuvxGXdx1Fu3W0OvsNu2d2/I
CzumfQPn+B98JfxxDJCpZDukmwczluL6FqMZau30oI5RDIaahy5/T0McSId21ZaDnM6kdMfHB2c6
RwivBcOMYT9On4hlMPaZbe6UIrC/aR0i9ZMqCUU6GBFr4Y6qjkb1xOH1+YI83tgAEYHMIFYB0fNo
QcJvj9WpREI27dhcQcEx1doAZjDFcs8wa068IosDaBMxOADcw7PKQRyLoXJ9NyBzuUSnothPDe3J
zJyrz3MGN8yr5s/fDw6CC7DNOqGRIdVYGBEOYbvMBsYiciALmepGWxKdsxvtrYr2MS/3qE6A3DYd
z3GPd9rc81TZzrRKG89dJFpuwWpz1OyulFN9VSRgd6g1EyYPPXEdjbexuZKVxLaO/pVJclHQLQz1
5hfofoOocxI0393ULs/RsY/PPdgoBqQITnNQf4fMDRFbfTwqASs8p2a6jIO4/J4MCtcVTHqWWuIR
1n/+JbTjE2Km0hNXUooEgHaISQkz6iUBV8xOcRVi3cE1yB+QnGt/ubXGjRWVwbzek1i7qrqs+i4l
8tArI/aGu6rRqwxNym6qNkRJ8bYdtSz647OZajTISXBqBt/urY757gZXqyaapMuuzyeXoFu1kmct
pFOOmoqIFzS/zpVxjvYeoMJ5N1DKYYmidPJxz1dxMwf9aPVKM0BeVk1oiYyVYJkOc3vj8+k/NRh1
IzRpUOg4Fv0DSuFBAEbqe4DkeZMIBLTVxiXLsfBnPKedcPSpeTPQ1KY2E6w5zvSPb5anilY2gTqi
1G6RWOJny8piI5Ilfv5WhyogQGE5Lue7GzwjN+phYIIWfTzYpdNzgddRc6OSw3VLxW1aeILQrZp9
mUgqIWZogjPpI7puWYmKPbXk+RosquEuilPqBEpPskSzbyq/Tw79Y1WxKWVR9TI2Kmo6pOdVSnL8
ZiDRisLDI/PzNzn+PrPWBG0y7jXAn4eRSIwydunkTbPTJ/rHPV2KfU7LfBuq+KF9PtTR5kfWgjVg
0gqgpHfUEWlDVW/lENW7GjjxhYsMQ4ZmfOWtEXIp9rOrwbn64Xx7vTsYTa41oJIzuN7VACAffiUx
5chs15a5s5E8+I3sgNxhcO89vhVEbAcJSjzMMutrMQz6mQtAP1wi+AHPKlM2NsdzGwIC48fFaGYA
DMC5JDtNo5I0rdTEtWEWY0vfGfoSlpj7w9bS1FzJgmbvlRcChUDmO8R9sR1BUiCGOt6pXU4VcUrn
ek2F5h1xfVfz68lhHdW53STbjr//xsHFTvA34enie+CBaBOnOIDcWklDj39eXrgrET2MbY1ovKyx
+ljodgMxuR8ojTUBzdt9SuEI/EQlw5kMQQv4C+Koab1StTS/7ak2XNV2izs0jiI3KBUp0xZZaZq7
shUTXPFKV9FgTlTUlB2rw2PHrMvLNjUdDagZhO9VAd+HBHqKd8j/aktTZhaOL50WVYjIdhU6k9S+
VdkXL5hjzqhqzGkoHnWllmm/+hovjctESdgvHmawFEPHMI1u5Djwa0epwJLZKL7DX6nRk/dRUSEp
wd6U350q59/Bp0wDKi9eNsc1Vclei0Rmja9Uy+N+mWrhDG0d68FLL0JXGe5KNPujG1BCGbrOYSXb
2wbwDS6XJXp/60LLy/SumICTrOqu1aoNLcjhLkWq6zK07SK9AwTQ/MIHg7foQXtMvw1bdOaXutLm
UlSPPPFiUGN+kFe3Xqyex70vATbTG9QT81Iym5KKRkdtLk5xM9rY5cjw1EGoXLVTRCHczUfbWAMe
5G/sgKGByOoNcVENSafcD7iZTMsqnbi1PJW2fYURjNHo16KXVnunxWihr1KWS3RDuljUS210egyk
FSB3UtYNfgVdK5XlVIoSbXB9ZrJPIStI4FEK6tLpcUA2ZaD1FxGeTwH3qgacpagzalouim7TdoA1
pC/ollNlpOM81A+asOpsi7kRCwz+FbrKSlxzN7zFAdTsWX1TaFNqiGy6cDvNdoxxjx7tgE4rKu7/
l70z240cybbsr/QPMEHSOL6S7vRJ7hpCUoTihZBiIGnGeSa/vheVlY0auqtwgfvSjQaqElmoUMjp
JM3snLP32vNvv1/jB28dkZV+tuDsfODDiHQ2ni1p2u9ZnKbxviOhCan052vlbJI5MjPEaXKF9N6J
O6X1xgTQeDZmI2UKyq7YYCBC2BC2js1T1HjOJjbLbb5Xs9t65kJ2wwfi5GmMZoSJD3+OZgBUvse2
2A4SicXZzqtcVJ6G3DqxROSi1AC9cZxJjFnDz+3PdQaajCm9K/fOJsVmDZSezTIiZEDvLuh8eE2L
WmPSkC8WX6wVj5aISP1OsseubPgghk7vJKpzs4NZbTTz92F2hTbS6LGVevIqGDtXe86NZ0fK0gpJ
f8qWX57GJGOPXty0HhejpgucLpyNYU4ak1uwHzMGSCtyT2iD73yLaQ6yTKsX7lcO5ooQOLvtK4a4
eTbWpILHMUKBkCXclue87ejWLzlNyYgO2urREUBtdi50HTI8yRFz79EgW4dRTv9/Tvrr0x30H2JZ
N/Yep5t/Nycty19d1b//46D086f+GpT6f1BmUjgwDt3MC1hw/vL0+O6nOwf61Ocs9HOG+teg1P8D
5glzdYIet9LNZdP9a1Aq/tgyJ21UxZxoCZ/8rw1KIY784/4NhJciGIIYBcPmpv6UvP/d0Zjcep8A
75J4dV2riLIn/IVE+NkoY2i2xlzvFfGtVbCIkfC1GT4HmO+6F9DHc5fwijUrmTMt3XVGMuWTaE6i
1Nd5zS3r1fA5Xe2mzvhIPDN5KebBDbPEsb+OltVfAb73DysewpjIdwkbp0LqeE0m/k8yGWa/Pmgy
hTvXy/Liynk9oiV/zNtefGiTFS8XplGzR+vP7O9G6Vvli1Dx4N51BNLoxNc504BIqxBbbt02vDW7
mdlYpQe+RDW3dBAcVbfsRKsLlORieEPNOTFrGsZCuyqR2dtZANxHpLi3X3DLFk4oTBTHODbj7MVI
F2SFzL/IFMkk7VXLsbuf+JWbL441mKfO7dODOUsi0tAjEmqWhZ3eZLDNaOsfpJkRhSjUgyOZYB75
I+JKEHNc7PpZZKQ8CWAjKJPFvje091mRKujpsphO7BZsFKUv9iBTfeSSHnEE9Akbe08Cefdk6Ll9
HX3mUUY/uMZp8P2Gqn/149e18NwvtWvHz22/mN4JG4bQdrKr7fySdxYrMwkh8ts4tSkUFtMNFZIv
voN6DBqQ+WfHr/JLX7t8l0MxZdvJJmY2vCzTpR/6xAu1pE73buasT02ZWJl+iMnhOirDAXTR0i0y
+wkX8LSWO5pHYwp2vpGRt8Tx0aoK81u9iqUgOkdbn/3cza2gTyY3O1qa7uWvgJWG8iWB3uPq+4E9
dtb2UOj9rjswG1n07pQmdgn5V+Z2Zrwn3dom3DkiZmyoHvuis0Kzqa0bwVLTftZjZPyosk/0rgmI
iJ29z7g3VKqaZJjZLZHxVVOEqeP3CKp7cts3dC9hCrY57XPCFQDnehAHNfdZzfausM1TMrRXewvA
Wac1IMb3ZjVrA8aEnJaZOE1XlVHJyfRF09LHGcVW0PJrIuTJhDKOy5uhT+SwuRkZ9+PyhW56R3If
eIzVaeRdU2j6qbYtFfVxY559HLWB4ji77zREtYU1Z2eLVlI0eVV20fJlPenkInGDcvOFVLHvZe9Z
YWMkbkAInoYqVY5RVbp9fwYIIk+cyj5aThPnliTIC8DsgcT2AupzvRwYn4WdVQ+RtdZ8P1qzywqN
aPdG8zWkkjIlJSn9Za/NNwwREllEVWOe01dUeK3yQvyK0w7xU3JHeAMwjgxUSgODrs80ssiqzAgY
M8Sh1UrjgU8vL9JetJbBY1+fEHgMv+pNo+2Rh4LGMZ2OpCnhH2GDLJO1P1ZNg3DV/tKI/Ikcx7vV
iDmXDvoW/PicOYSg6J1/dpPpqfOzE4WKufP0ZZ9Ivv0EerI3Wi9d0xy8Zb5KEhkC3x7mqK1zMuVi
hmlJbL06KJO3NIxuZxT5r9zSWyKOJhL5SN/5kmnALsjECf2eNIyGsfK8ZN7VqtG7ywLgvg5bOwAg
Yj2S/sZwa25LhqPjxLNV473nfjhwq4su1FJ/OHpt/mN18fByyPfPpDhBhG6ZmEFAlrfU7+URjVS6
460wHpO0eRxJO9E8LmqtytvsWfI931YzNcRujQep0y51bVpPmdk456ru05AbxpEGZAc65fQbEakc
Z8z5d9oXxjFxO0qUrMkDIJCglRhcnlGtiX3Hsv7Yi6kOktXxT0q6T7HTPjIG1yOWCe9SSW1yQ5LZ
+q+sK8POHN14DGrRy5s0iZtretUfdG5UpFfNwETLTp/EPPvXdtZRN2g90XakHSUmaaz+gOK6iAjD
IGtQ1i5Q2O6pI3GIbygN8GfKSAol+HiV9Z5a2U2JlN2hAVutDCjHsn/O8SBEZrHGXyY1XWutacOZ
iKEXZC0vduIzOdLG9271vzmJeTIH2+E5HmoAT/kcoAuMuqk9VY48+KaM+RYb62YaSXOYvPZHSULL
3m7X7gjF4rmG8coDrBgkFGk+Xuxm0m+pIZ4Gv77Lu/TVUWQ8mfm612GhBKy0eywz3y1/YvRq2aHa
1tJa8x68Thy6TM5PM7eODL8RmBvLqPddxYnxLSfnYdcKl1dNs6hY3fGKLHlPgNOZ6riP7LExL60j
vaAZa3IgoQmmoVpy74AKfD2lVX+EcXAes1gd+lzPwsTXakaVWsRmlodr7CNQRStMWWgN1g/CwnoW
bFS9t2XVrce0sDQq4ba55gN+kmUaiZGUdvpRz44VTuZwN2cNe8KUvxjWeCxJtvPHlY1V+th02v4L
obc3rHHFj3EuAW4v36Sr8v3I9SAcqFRIUEF2GRdxQmxiRFYawyVPiFq8zYRsjcjOm3o3UIVd7MxO
okUTS9ANiXiLq6Emq9ggLktjOFvvPcXKNBaifEi0ET101aZO2LOv1RnYoaUikg26XR2VQz3cmUkZ
o/IwKV4GPQtiob2k2rRtz1Oyqxw/0Dz7NmHkfUWsUd7rST0CQ19yC6XussrhqZSad/I7tZ7nUbxY
s15/QA0jXSwu0EZERFSKLW7SACNnWdUyHtlnzf3Y+z8KbXwwUheFujX1T51dPkylplFAEoqzpMM9
Xt2vXSvaiNiV6tyszlevA8wyZ8RhaohfaFyOO7PMm+8sr9ZxQqv+Llej3aODak8A7829rMb04OQO
GXiEhoWFsrjYbnzzE+hEpe5pV8J41CsGsykAr+L9diBr7gbG+IGdivy98tzliztpCEkG700ouw4L
r3BfXYLUdlrs6CEGK/lcJqWOnoLmqe+CixAC291sbS8RN0wGYhYqaph/817z8RIqmH0hf9at+lh0
zX3y/XL8KrqR0KwhvWFJs7EdsGW7sjZQq2fQBimKWyuo9Ta/IK+ujnIYLM4IZXI1zPzYq1iFmu3W
ewYc1RPiiIbAIS8dHkkh8o6r6zRftdU/kok0P4940iKiN0ml9FeV3ZV9/7NR3g9W5xyvpOPvqOGG
l0waF6cU/qH28dvYiLz22I/YICiud4BNxjC1TdovWiVNlBZg3wAKN3fS6Mhz67vlrsATdpwqY965
afMjT2B2E7+bGQ91PRpfWCA7BGODIADV6ac0P1hlgq6isBSbV6eVbw2Tw0tCSHOUcxZ83Rw1CxaL
3NtMBYv4UqTC+KCh4nwQikYc57pliMYpvhra5kQo8p2b2NnQOuGIwZd4dodVC7IBR4Ew72MKFcF7
W7bke6eM6gtOHhi6sjFJQegY9CUvLRqJSBVj8oUsOHpZVw5aYVGOr62/npC1/2SM5RyaGqpZwbwM
f1ayiVMIUFtn2w/YJA/ctbMtLVIHqWR3eVXJYLaG72Nv4UJa64EIvViQVIbJqI0b9j9VHVOrrIMl
rvsAnVt+FAgNgrSVODDIKI9bcZOpFMiEyEbJa8e7ZGmBjLBn3qRcH5lZGuUj6VswS6yDbnwMecqB
CT0E8RDxC12nIsgbcxdrlsBJWEMjtFscJTJGVrCUe7eBEVTy3BXY4wIGa0ZYaWWN3XvcoS9qWE4y
O0BAOQZdg8V3Ven3ySczgAN+RBC5FhR+/YKVodpDUUAZlBUXQiSWnTQ8RHQzR0O0bcQGJm7NnphX
p6qynnzEJQcnET/ycnhBVWPfaw4pzgV1itnbSzSjgwzbut/V1kJaV223V60lV71dNfOVoRsZXHlR
vMw9gWP0MtnqFuJ8pEEin6jQhqQMVANTVnTWiD3HeIkiCp1WmFVx9lO1xs6YXdJQEW/u59wJFh20
oTN78Ytr5HdYvqxba+FCHZryN4ffLlBptzfkWoWppkxu6YjUsUtBCg3FS2tJgrAwiUY4jf29BYeN
Q7dHkr0m86tKWFwWrNqRr9vNzfHiD71rIeSRcHFIJzU/NgtSSL9zjBCaD6ceA9OEXstbOS/DzdSr
sKjIDFy7duuZ6MsN99JZA1iNJ6oSoTuOSEN8d7pj6vuzot7IDe3N9Nb3pHYOrtENd5S5C1+GQlmz
nmJPjXtUaYc8/a15DWRmp9PvjE7Wx0a1D0RoXMo5ZXlMGy9EO6BHdU15i5hOHEQ/HszKNuhWyQt5
T2ygUsdu6r3YbgrWJ1vfZ3f4EQ/JR1Upnp9KPA791a3il2pcyaWdy+S7ppnw06381GfrGibCvVt9
75tXY9jz/eqg2BwDkm7rWxybeI5K3bizrPpRAscMtU7qYT+QMxooL9Hx2VUTxzPtYXCa0QtUMa9s
CTLmctkJGkQxdRotHgzilif4+9Kmv4TCMCHiaQlSYXZtMFnYboPULt7ySgKXzDKjAKBsQm6bK5Fz
wKswaJppWz5OyCqPozY3mx9WHWSmJW1Ym62ehhVmzDfMFcj0aH5S5NTNyzR4OY3OdDxxqlZ4zNPy
YPmlFdXLmlywJjtRWw7PS7uiqK78e98b5EOZacZvO+uGy5pmzrkWXns080WdhypeIjLE22erxHzl
teY7Nby8qtKiwE/0e1w4Yzh2VXIn6NiFAwr2Ky1ja9+sEFBFheNckigYja6lRT1TjR0EGw4AJZqv
Uli7BN0gbmTmdVnXb2lri8Z4i1QkC/i9U0uxN9M8vneQCQMUWj68gjZ8YbqIdnO+MQ61hJTDzWvl
coIoimxxGm/I7zhWdClCVOV/x7eT7RrPRfdZpIhya7vkGNSuu0nx13c+bkfenYQUPR7XYooAGIGC
JIyVGYqM0krPT5wbT25RotTOizHagER7VnMSIQu73Of4yyW2F4op72mQmnWgFKbjImb5NiqffL/Y
0tWVrZpdaKJauC2df4GX5gU1NNedSUQ96btFqNHyDirDbLAYdzrekjw7doo4zLYl5hYloX7pVdOf
u0r8btbhCpOf5G1qC3PNbgar+54E++JBttzGakto9JW5N/J8CjVUZYFTZf1Ooee+TJZ8yEzEjaoq
ronjvlae3x04XzcQBnn8u3mOSkM/EOUz4g+3qWVglUaDYqKgIdxE+Nj/WqsaJWF/XejfB+0S0+EW
aIJJsmSeUYaFVpTB1KdcXk67RnQh2mJWZVuPjzDC0IOr2ubQspwn3tRw2ABp+tCzRgKWJUFg/Bhd
+ZG59smzmocZ5fUp6xZzRwl5YYl+BfZVRtYw7ym1eJLp8of92OHDMzL9RmaIefDmiTbKyqZLzxfV
tvGEU/fkyWG/jo4KmwZrM4XOWn5tLI22yTRNXmTSY2btfDKXZOGKxn6vPtOIvQm6BOVgr+lAn+pg
oCOwM+JsOqekBQS2VX6UfeU/ykTjRnr2oZmadIficH1BUfFAZkIPB88wd6LTo76D4GwR6wmorLK1
nZO7S0CBI5+LOP3lGc2tW82L8px3YZh0xd97oyBD1/vdjgshrF6G55akSmK2/V0jy9CQtdzhqvpd
9zB+c019Txst3Tdb63+zOyuTINZ89eiVrNJPdmVJLyA1Vo4t2KZlJR/alAU67IbWmZH5Wu59MYzm
WeNMXyOrJfphGinKx2Zp+UPs5AjeC/SfdbMvu7lsd2nvMtd3LnVhXDD6h46cmd3MKh8iujgocPKB
hNLVcBt26KUZIAis7cHClOsHWCTaU5Y3DEBY1fqA2WFrFxyNG0yoMyfy/lnDbdlFhYfaM2o1NbWh
YMRWXRxqhIXlwxww81u+0ZhByXdkxzU9h0Fb9LsBC8xHp2ZX9Xjv/Y6OxZ/j5v9uX9P/VY4l5rv/
vhPfdRn/gRX8j734z5/7qxeP/UhHkrHZVTeK1d+blow/GHaB1TKZ3f+tCS/417813YX+B64khH2+
iZ7QcW3vv+JO+ueJuW9vvXZ8TnABUbX+c/zUoPfgB8c0YX5Yrle9aJeDgCucBRax58ZOT9L2BwyB
5kdNjPl/wMcwXPjHfj86BJtYGpyvjhA+yqltHvB3/X5a0Y2tSGs4FZLUdjdRa6SZHe/lWiC2s/tU
B/5sw6rAq8MmaDQLweJjZZYowavlZY03BgMOBJOOvYJwH/jGwlBTxUif6CCqnUtuwdtaq3Y1g05m
w3qJM3cZeC9rcy8wAF19N9GPfEoW2CUFBn0b03L85UqPKXlDwF3UpsLH6YM85AlbiBu2MgZePk0M
I10+by3S5eCirDlX9sz35pRzecfHhPdLOln9TsraGiEOVeAdGEcuiJXZbFKL8/wxX+pkaL8YUAO0
s8cJz+B8yl36OSYicaLJdzlZ62OcZPtiSOaWbS7V7LdU97H9Y4nx+/RS9YLBfzBxnp4eGtOFHekm
3pTcVl9Lvagi6SN5IgHTQV+iisYCgV5g0zY7emY7LdUFKcvW9icTI/Xdb3Or6vJA2xQ1jaaoMpwl
ZdWMjQ47izF5q/DgeDgGoVBB4cS6i1eqTD6KdUnuR3ep9pW+5nSn3aWpA3pV3rd1mHuNFXma94y7
3cPgrLue/7VN/tsftmzGm8uRtQuVnohjjr6CGgCY0BRDWGkJgvD8/FC0hX5FvMUY2Y/qdvQkuFaH
vY4TSWM19QMZtyYPTO3qmLKJYdcWP34cnWV+YSNV3/QUGrubl2kosN2EfabsX1o5yycUPNB3/Lkh
xFrzo7Q0MpKAffEmbdo2ExPSXea25Snzy/5sxbh7DSN/SvHhP44zMnwU4GSJgSw4aMbkcPgoT7O/
PLsstFussd992JURPxUkvOxmKvSTSkjQ06e+uKDXo22OqSbEjpVzGnfKoNGM9JDMlf/DSRT9z5bk
vIcRK897MrL1cwBZ9Ju/eGxOvTS0M+xqfmrRS/2x7eiRTw20OGHmz1KrzTfHSeokNC31IwM18+p4
vFQWeKiI44R1SiiraZDPxakV068YZO37Sudy79ck7gasCf077cW9XBlnG+lkBaqeLqOV2vc5qIpI
jCvoAQf3+7FlEH7C/ONc48olld0cvJvhlhNHxqk/+VLlJzy3PhVG1T13uPvuxWRXRyUKcZkwsN1w
zTBTS2obAHtq3CDsyG9Nmco37mh+mOdBXIZqzY9DWdY3BSv4Rw14Y8uQT9xz1or1obH7kaIKcSfu
GGMM4tpzOdH0DLo1jZa9JubsSuytePRX3QEJwCtxzOc2ZnTgZdm5pPC9H2iI3I2tyL4i4ZjHQCyT
fq3VmF37VDXPA+iCL0BG6zMOrXKvzZn/RjdVvraj0196u4JBSqNckn7srmZkFGlB2rAfn6ANT4d+
JVVal74Xtc1o/7ZHECkImpavszQJhfK1U6nq4tTb8RXbU7mDUaQH0+f4rExOpl9fFltfaKkKDsbW
8HMoJyQKijQkHaVdUNpUa4bRjYc2K93ITIlxX2en+ahje7jozZRFuQWKwimt6VFWlL0psQXHqh3E
I5Lg5dsAtegH7sXxkS8kvp9RoXxlAmCAZZmKHe9Jv6uKWR4nnKeH2pIOSKqhUi8Q83N0QQZvi7ah
4l1V/xQaE4/VK+hezLEu9rMzW0FTtP2Da6DOpDO6ENpsjmngUcr/Xs2UEY6OV5NHmUKKhsdzPavx
CtrroaZPeTMrM/lmerz/q+030SwW5A/6kulXJ1P61e+Vf9OY3D0u8ziwUZDIdVdVG84nn+/zZqjz
wOBFRZqeQNygwUwm+tRzaEYCdK4rShqMAACYBlFeh4ZWkStYaui24vtE8GA2lvHFWRiuhTqYxrBr
nOUHvjuiyyfNazMOvFIeO3BFH0wqGepJdWYvQejcVOZ3Scl+yjsbZSmZFM9GK7unhMTqG7ovGmkD
krQA0mzz0pWDT6vZXa8jB9P3uhoYERvG9JRnFd1E3h73rpym5edCx28JEShBOSrt6awlxXiIO2O8
jX0rzmZubl6fpnmdoPc8zDb1x2IhMxHZnD6ys9Vvjj9UH15fur8XhEYMWvoOk6Wf/KT7Ifd40+jj
wTKa4KlclrmzdzBCexqNfM7Q1zoqBZK8p0Dv8vG9BgmT46rE0xo6q4Y+JLWaV7I++n3l4suCgZ3F
oe1I9bu00D5B0W6+eknpOHurSooPkSTeoWzm+DoYsXcZvRKsyLy2p9T3aIkr2DSLyf5GN6/Pb72l
+/fSK7qrMpZ+P5Byc24qDTJOj8ZFWopeee5SyY7l8BUWNaqlmr4yo0ONGX0npuGxTjrvbtX85Zcu
hnzYeFBs1xDlkks+9dpzmtrOGzwPlh7FcIczNzmV26JNcNO6xkQy6F51zxxV3MDNE6BJJPNOefli
BDK2vYPb06DjmZgyyDG+hgfYIFJprlzvXSFNj/RMvGM+qa5aUtpfPBrhSHxmcTf1vsUyuJgPCOf0
MInL63YDMd0I47D2AzSdMtv5sjGvIIjkKTHhKbRpWT1UiSleXK8f97Or0UJuKvugOZImJsrgPTpE
E6tYRt5mJWpswHr36NqJ9aNP27wPjL5ed8M0+l8MG0FC2XRmpKNlegael1rUqrX1oOImBhYyzv5j
npTuAcloFU66uPPiduK2F5aOioL2rOXMZ783vT1as+YXoCazB1JDGzruG/fI4KsmNrJbwjJeuod6
zWuyyOrmCKXQPM5ESoSrzWhnmlZ/PcRG637lLGA+z8KXgGts4f72Cm14KyrPjmJVf7Ob3N1r0n8U
ZttJrk/vOXcA5QNwM9FLkb2E61O32slBdoG5mpZtzKbdrD+yui1AkmbxdDaHeWdXbG9EuSQ8mhbl
lFT2Q8zZNDJI/7kMjrIkU+3WlTtBJKVkyGcNN5EMDUV3+wrBuLjHj2vVYcyo6sB+V0YjMBo6BJRl
Wma4R7PKvXvXcGd2BTd744Dm0G2WNNObJT4OtYyZYCvfDFyjNdTJzhMj5MnGFEiAcxq21ixtLFEV
x9exw61IqffktG0aTKuYTo6+4GVUDcPRHJEyD4fv0lZdU7qfyjwonWUF4Q2H6ZmTahn0pj59GfU8
edFVlb9YJmdAC7GCFTLmau5r1fuXVW15v4kdn3S3RsOSACFAZ1Gxg9Gujk/gPugUYaWUZ9kj72CU
Z2QDR0y/OlJ3Jt0vAbaw8/FgoqRHpiAa7y4ebbVDIdae7ZzJMVZ5caVBu9z8hiawrzJoHEkzn9Ny
WvcJB/9vKx12aTnPiQOwaTCzG74Cg6u0zoVyje8ZAmR6LHD3mxgpReAWOFvW0TwtJFEG45SKXTNo
3b4W63ubLrRNtEevppnop6OzyzHF00ZnMlT15XTQAYWHCibXTIlwyXKj2OckBXFbRDSAsAmpkoed
yDncaHl2P1qZuHa29WZ0DETnsR+CRKl8p5RHH7LI+WKKiTlEQWsCbVYdoBYsz0zMBbM/L0qTcjkz
8LhPF8t8FS121dCbqyLUnbKNDHxW4arNOOnVIHZrtVD/kz7t0rwJ1kyKt0UzZ5qeCCIKwH9+bLv3
s5OqsHZKtJY8fu8a8Q149+NnOATOsQbZd6Z5rl/TIs92YzJZ4eq1bHNdmp2y2sV22fVriKreDhdr
mIK66pNbiYc+8pVc7m2di5Nevs/WvqBOqNueRiQKj7+rmP835Il/LUsdE8EHM0O4Gf8aMZLGtC6y
wctOsugo67TZZTSyeqzS9qCcL5ZeUpFylirZsnX1Hwwa/ySRpyp1IOWbxDF7NkFHG5/k76tSVGRM
YdY6Oxlz1f5YJdk/dZanENp89fTvr/OfDAzbryK/jP9u1e+/+gIzVFgOgAZ+VW025Z53ZMEPviTV
r3//e/6Fz779IoT4G3EfIIrzzymTqloWVDBuchpqetYYiKyTM8zmPi+z/qFpFTaN0U+ZyC9W8V5v
uCZWlSS9J2NzK66Z6ZX7z4/0390Z+n+PeMMjBY3r/6zkRC3dp/8jfG+rPCv/Uc7554/+rYXk2n8g
yXSI2nNo4piAb/6XnNOz/hDmpvDUEUhuLxHv11+dJOcPhq0Gj7anCzK5HX7qr86S+IM/ChUHnaet
Q80R/5XOkvsvcGDfwCINQprXycOh4/6TIcJVoHjbvJNHFnssWIa/FcFrlyCzNscWcGY/1nqFmtBN
mdnSU7ZOpVlCRHPWDlu6OdEnjcQ6F2pf2VXSHLW8MtAw1DBE9IBU0e5nkdne3RLj3GWdgntp5+B7
LeYsnBihozCbFacxMxCDTzDq8kDlrJzkcnh3QFuqt7LzAN3qK0JpBExgFabS8O6M1LTeKeCNWwE2
lzC4MnGcYAAoXh/M3E1bku217Uc+NfhKZsuD2fT+64D9kV5wvVnCEerNT8Ru+K9FZsxPLV3/U6w2
u4WoZxdlvFmqipZRW3m04d3uZ+fpMGnKAkX5J2jHKD+hEhZ4FxCKNKPUBvAMasRsnGjNBOuQIYxn
eowgWjadflVpw1GMqXhZJ29+KAX2kk7oOEjoDhu3P1lBvNnx65/gDugleEJcX6JbrP21+ylbAvP+
BqMgYOhNxBulZRYtf8yaDXxClW2/Lwk/FwwJH8A2Jj7thBrgQRfAaWScsnMNAvB74PgzV21tlidP
CdwoUufagQBC0Bg4N94ci6F0iav8JpQm7zhNGEynMsQNcTaeRIUjA2APP/OnxZ75E/7vYi444/Nc
8w3/eUNzPcGwksAAfTWH7Q6PC4AfbmnXfQOICB5kYsEzdjP+imJHuaKyR60wuYSKeQdi/THln16X
Y5vAVoBDbQI+wPDx090wgUKxQ+LOkg0JWtgoZ1SR6l9bp0OinxerxhR2Wn+n8YYg0cfSf13y6alf
Ozta6M1YIfpc5K5mJx/pEfoWdU2joX0rzOeS5MW3refHU1vwoCtECXFER5C/aY1N/ummgPn5JDxE
vS7AFn1iftx+5GngtMud9UUP0+iT7YNJDqMJ6IfNmZ90PHwaCPddPJq8eng8+p/sDlhjOB9DEqFP
NO1cf+YGVzWSbEQGSYfCRtacR0pGY1mofMZ5e0KZeN4MXsu7qiYrmWhF2NyaHHHlLJPgc2frgD+p
UHCEhY6SCflVwRMTGwNOmNniV5bUhBibt+dk8fHyD9st8gRjp8KmFPWMjr+sb/TsABUARImFO3cZ
R39fW0b9xnQvfv18hDMNrM2iIEdX28sut4c0dsAyTWhYhvDTM/fpOiygE1+sFPdFtKEGaIj5fJGb
m0GEde7xwAwcoy956WxPwPZKgIbPDigk+PKQPXGzN8catLzmT5deY9cYHpwBXrM1VTEcfH2kcdRB
ag1kA403h/5EEV3hoVtNL2OQb09jAGqHy9Hx1vxJSGr0DZlFCDQPmAafE6EiEi/0JJbxPJo9V42z
yAxwcAooGuDrpir379YGiUhAIBOPRIVsEm0PPQeEAG6Xigf6p/hntLZbWE9hGu10jIdHHC06DV/p
39nwx3ZiSpGyAmXmegWJtFO0Aj1P9+gKecPMtti4NoIVqzCrKX1aurm+JhKjdrYADxcL7/InC9Yr
FWCdAlghAwJqvpNSeLhlT4Wm67Hx3MOP5htEBvxU86AjzKZv9qb0uDn6Rpcc4j6FtrSxbAAlwtzx
UtmuXzqsitZxHlgixcoFz2pDaWu+yY3KkZk9xzpDxXNSuWjJRVmAbSpiyVhZh9Q7WCZGG5TiLcnW
m701w0y/J5COZyr2LB5wDHjc1rYDuKXDXEAOUBrGM9QQEEY2na+dahHqBQVNN4q9rgcFsREnJpoG
Dj3uxrhlG9ioKAw+jyxg/e5Hf3ty0KVUy9mSLX+9mcTdz0RBAs1Sm6ebts0zDFD/FaWOIS/Iltvj
YLh6E30+85Zp8UN6zzWjS9me/4EkwduQjZgVAelwnfq2jYyT0fSPkPKxgumQnukId723y1OxPY/+
ggupbjxgT2Kz7P+5pEEzy4odXlUeJbJ42uEkva6BSEkjr93/T/bOZEtu48zCr9IvAJ0IzNgmEjln
zfMGh2SRmOcx8PT9gZK6Jblbtvfe+NiWiqxCISP+4d7v1lKTd6bNpyvPMy/1h4nHawAt+vmJK0bX
fJlKXF3+3FhtvPt5soLGwHg2xW7zIhPECS9TBPbm1fqJ68rN9ZSSI25pM+6tL94K00gHKPwyHnT4
ReVnGc/esa3r9TJgSMDlzEqD0QSt1820WBxkOfXD4LuVW0OcjZnCx7e6itWB48copi0oeUqITYSi
SYI1W7xzUXY98wgnnKFudYmX3y9p/j0VSe64Pi139MJVir+ytwp+RaXgU5MNM2ctn0kWshwxYNQn
3Up9o2ntz6osXqpIticvJK982ih3mqlDjPZJN11G2+tFhPQ3fwLNVqMQHdw7WToi5LM7Ggx0EeSj
ve5vLAE+jASgCDdEFD8nTmMxvCrDj6bXsb1WzaWD2Oq3veMLh7k4JPNCFtp06Ht17OKhRkDstUW4
Mt8q3/P617IZUPt0zU6zHe+uNkfU3KieddMSr8rOa21FX7GJOUpZFZyqK1ecVDKwwmLQSWSoMS/a
+oLWu+sxttiNmfp1pRcHKZso3iRmjZ7ZzIxdVuoj62Y2XmJAG2BheEHQ6ExqRGVeI3BQNlqog8dr
SUQqe25AyU7sQYw1l1t37p1Tl3pccwCzD8msIZ0rJvlskkF61ehmb5Mlc0+OHvL2SvBnduxWQeSm
NQT0eoYEkDnDGTmZuDrQBkHvatb8BYZn+qyc4hnvXJNf8qYz75sM9brWkz3gm0vr7dzRGGEyt97X
2GWQ2U0MUBZesqBBzIsmR7UIdVPvIMZm3Kq5R/fpwoj3TTNdEfJdenXbOFVXnpf9iYuv3C0ka3CP
JwIk4PRMkirGG5ZAeyecPsDlw5VLna9MKNRDbKlyK5Hy7YzMAfTWW+19x86U8qe0A2su5m/poD9p
OGsYSnXd1U3i5Z5lmeVXzlDsYGCZ+9AbnUvtJWYQNd1T4w1oflqbyijoiqa64n3kiEIyB3sxroOI
uuE0FK086V2rsbmsumPmDealMhgZ8tDKYMwa6xG9boU+oHEDDYkpahdbw+VQZHdmk4Lcck/akslb
LgFFyYdYBPurfczRd95HKNiM0igPukZasbveEIbC7DBH+AJY1zItgenw3oUszdK69a5Lat0PCY4G
9mHiAZi/e6lIp3zWZ127EMOWowcFj82citr1az/mHnWJri+nfi4bphd99ZauYwb2CURX8H7r2ZPe
hu4B3bJ2I1hGYnSVDhNWk0AQlIhQ4Iojgmjni5YVb7PWZIz3Uf36Y9t2Ow3DDh4xZxKoo/thL8Is
9i03a3wO/2i7MFfDDhT3x7G0PmtMnIHOPtKXtcjX00oeVdoaX8IW/cY2rLr5DTwbdCCtpRJMRLlV
ULqDvmEeBVtc3nDyt0WQVJJQjER3DqKbjT0ifLXtdIV5YUJ3fYkHzZGb2oDwP3CQuC3PrrfEA8rn
XDJgy1tFLY4qLH1IQjmjAEwLMz84SzdGnxz+0S5O9WYLMKJGNTqiBY1i0qLYfRvhnqQljYOpTWyC
oofpRcs63eXaA4KB1lbGWxRBdCBxEzgk+1yTjs9FYvTTC8rV/Liw4d2gL852C+F3AVsn/mfqJDtb
z8XzFM0urziOaFM7JdZa+HGQwg77hjEwukRNcROPffe6mkbORete7azEUkA18FgMunjDYGC3GyTR
YX/KmkYhJ7frQRyLDEPTSWvkomM2MVJvZ3jG0ExBCgR13KCTNMLbkKQlqtmxog2xksp9D5ucQz1M
06lWHN+K5RrYuXYx9k6KgsDy9RyPFikGmpgilPtiMN7duODWXZ1ZNjpu14h2wN+t4tyIlv8/Y1+N
zMEqsO+OrQ6A0BqoQeOfLJ5y6ihE7NHkbkqaOlcnIZf5QSEqfKIWBZzYIANgd0V99oeO//+Yfxlr
b/xHkgHLUgtwEyAbV9riJ532jzMoZxRMp9smPtR2xIUZVZSCLCqmqXVmDmmjKx9rFHPmUVXcoqyW
qy47jaY+PgzmiF4hHifvRQhF8c7Gl3Je9lTVP8lWBOBSTSQRFPM8ZLy8adfWs/RA4281JFbclE47
I6BjTvH5a42cFEAfh2VtSkpVw7IIE+QYY7rMd+u18iVZMR/l0rlZBoempiD7+8eh/4XpgzjJduCO
YfdBM0MO8Dov/INQJJZak6jR0fZGbPEr0asFo7g7rJVXOfPd8x56Fxw/o/ZY6gu93FzEfFsKxcfj
7Nk8rchY2S/W8jOLyeS/8rD4zxnZZIQBjwrX0Gt+vgmt5AwPkHyZQxXRkPsJIukoiNBzH35lP+Jj
p5e0MzUizqY++fz7H/YfZ3XSQo5jObhthWAf8BdVzOhFiWZobo6BZcS95al56DAAZjWlDkFQ/Mh1
gWlw7povSPXVQ9MzYfiJh02quX0oyuafPP5/yDRd30ZhmMh0TAdj7s/v+A+PX7MabRm47RGSggrY
2BrUg55B0kvHYIaHAICCJ6cDFEJpZBzrNQqtnPDx7SVzeeymXb12TrQjf/+o/mFMLHHkgLVhzqQ7
TJv+8loMcZgndZ+kh7BC7bktqgqA5WIuQ/dmqgWIj1l4FO1VacEl2+DB+mfYp//jd2W64PUZdRFs
wXexDnj/8GSm2JbVovfRwZo9F+lu2UXJdvBkqN9IZuoRPVlY7xMjiSMMq+FSBjVe1Zuo7OWTKwZ5
Y1YZzde//Vg8QpDQm9mM//5B1FUaQ1jFqRkdSm3NMpkpkoM1HMGjcYEX2Cc6DcJQgLrYamNUv//9
3/5XPNX6MPjr4Wq7Np0qRKw/P5NSORkb0YVnoiCNHVJkW+zfu8YtUn4hsbIwcRmTazxlTqgd5dql
/sqzHlHy6LemrcYMvggMgvjQr4OmuonK9MdPSOxUrjjXn9/wfybR/4wpgD+es+VvJtHfp/+6fp+T
b9WfhIy/ftlvU2gas1/gNIK7IbiSWPI/QAWk8H4RFnR1lg6/ktn/dwrt8EWgCDwXRiFAyzUP4vcp
tGR2zYHDxwrwONyDf0vfaP1lwyKIfmAECmCPthmq+19fxiY1c4gwZXppkcGqL2Zlkitcmk5vBoKb
u/Q2xtROqTokXKGFdqyYl1ntGltSHmgWxZ79pPpsWfSiXBa15c+pGpfzTJrL96bNnW0Ciq5dGlrN
CFM1M7ScqeEjn/3FHZh6Dfj6us8cQRhAEoVr3AogEKcxfpJE6537sRpGMAa13eNxfjR+JhLaE+K8
d/AaeaI2eOkRRLYo7cvilLja5JM1o7GKLyxFYR8tlIfxxR7LpnYfY91ZVuO4gEOJuh1tN0UiMoCi
e+pQYcrARciYi9ekcfpl2Jf16Opkz4gC5gLjrgz1t2i+xRT+O6ep1Z2l5yUMbDWlfKmttOWDrF4n
uf7nA/ivQT2s9UL5/z+A1OJ8Ktq/6ojXL/pdR8xHzAMiCTOVNQubzN9Cej3rF4fU81/TC37f/Zji
F3ZP1JNYoaGrojD+30+dvX6KdfSaUvJywCr9d3Y/6C7+XL9C4EJKwE6TXROLH4J//nwHtNJOm4EB
w2mxBIY1kp7ssd+YsLvR8tvm+C6iwoGHblUPSa3Km2VCAcYNIaRfekMaSFqtx7TPFhW0+pzd0tvT
rtsawGePVnz2EuNEbpmEWJDQp1kumD/WlJ6JnyTDMqhiKz6P+VRdRAR1ZFPp+YX0oezOqQx3Xwgv
3odO6OzNDFGRHxVauO3YLO+XJG6PGZXQdehW1wYRtppvDGC0GGe4+tmZq+kjK2yFhAH6tm/EA4Fd
2mpCKqvwoWpM0o4SbZqPg/iaZUv1BYexe10yI0SqM7s9agxGvhNUkR0jc/t2CmcXtJXt5cJnJSWO
WGjNQ9bq2jcKqOaHUyferZGWTKHCov0ezXrY+HFRy7skrgey/oz2wezM6cQAhbGJYklf+EaqMwur
MLtaDL4AFxi04FDmbyJRRueuXrRvCB6JOiHGCxrT0pRHlTRvIzrYh3RayeuxOz7Hdd8/MoOacStq
S/t1Rdq/YTDIUHJa2NeQl6YDrngPmqJbwruEWrbRRYJwy/IyBxOgbL804LpYV5jTK0t3DCpDmX/N
k74/eEvS7ySCuG+LGPJLItpbbYmsU9b29akNl+Vch/nol5bT7ZzZ7fRty4CeaZEadBpfPcreMNDi
zecpDfxphdahajbys5JOSJhoYfODzh5+HRkOF0nvekgtEe/JvMqfgNXGr1mfIJVApG0wkZyrKijQ
+kk8xaAKsd8bGQxz3j3oF+ZwHUx2ZP5QCYOEU0nYRLxQCeeREp0/dWWMjsRAWwPgf/qRpPqA+mNe
eY5lDhOrTuPyLgHNvzFxFl6itlq21qKIWWvd4lqTMHrRNUMi6SsmLO6ISrG8IEiKXggspYv3kC1+
bebJrBHhWlgIc0yVpJ8Wh6VeGP/jH8PS5ZbyBjC5dx+FKvYnVwvquMAjrMat3Vo3Se6N30rHyI6i
xYnOnkuLt2M3KGy/8Xym+7c7sFN9+exVafimFXaknYB8NGnglY78BCnQDZtYTMPDuLAFCUaVyfce
5Tz+MMaU93Iom48W0prv1ZP8kuEbx/2mevXQATp3DyY+v45uE3FQojPv8AoDWSg7AZJ3hlAaL8Yo
Yvry2PyKd1CUG4TpKvKdFuVvHZXuR+oI55pZsxKIrDPvaQF4AAaA6Rp4HbAH+ZbNV8VWoSy+wBXz
nvEAfGUUUG/tujVI7rTVd6tuoeV0TEvLIHTD8i2Nhk6ywEkx6SD4bN97B7co86O0Prph1W/xyCN9
6rEyXGJ9xv7at/f0kizzmoTPM4YeVh4IKgIX6J2P+w6R4Dh0uM/rZGsyFwmWqW9OWSWdkyU6rlMj
Tl2eAzraahg40Zi6Ob7m1WI/5mbyoI+ata8Skc1bzetDk1ixVrzrWcxyyeQwHXVRK98riyRFaljn
x0gZzQ2+euB6XmUw63ETkwfrFOkrQZONYjbdG0CG8Escw2iGYEEZUX+g1wchbkKxPJC4FzFKEaq7
NRkrfqssh86zk+mIFFFpHC4L4X0Vc1T6UdMcd5obNx/2pKbvTR5P78os5dVAS1cE/dS5amNYqg19
LzQapE1emG1dnUm0HU8haQEM3n0p6sco6+otqpoJZkSbEGGRNVu7dE5mrXpSKkvE/3GXo1JKwmOa
cWxW0mz2syie0E0O+65FhJVgbsEG3QKsJxRBlfBPRjtoxLx8LsY4s8GUdrOtjAHVfRUzvQLLm94y
M8jH4WzmjV32MF+mOnldNNr9g2L9mIk3V2WIJjdxa8i+fxuASqW34YxaXPdS+1amLK8WmbcPdpGL
B4aT0R3H4owyK1uOqKpesLyVDw3w0odBdqG+EQlbzAlo/JsBeA/POfL4UwzQ8MUlVpRDauJj5RI3
d8f0vbijMkYnGxXWalUwYUXCZcGuC00BVA/HNrcdIw6V3DCsGuAaOAx1ja4oblJP8O3amcYmK8fP
2YGB5KPu4V+XbWdfyCOxbyH96FfLKkMMoUsfPppuax/TJJuesIW5IANHjHbGoqlb0mOHYt9rTQXp
UYU3XlXXj8BrnGPED/4NxgeZiqq19nPPnmIOm+UDneRMNiQTg0Mkc4a1psKdDQIqaPpwIPLB4jwa
Ermc9X5xjnGCNLaY0rsmH9qN1ejGbVjBgOKQzcKHaQlXAIp+becqqvxyMddcyaG6i4gJ2a/P86mt
Znnx0gWTgqk5+7RptVvWkiPeWH2C0uUt8WfYk6bCUmLSNm0zk6xkiV6dFPL2e5aM095Tnncc2Vi/
tCFblFGy6efzZDMbH6oWyYYDkqSbIqbTi1JiCwcsxhhreM39ZIgCv0tqeD4BJjJgPiUOaZObt5hW
w+vCkv3YcTGyaNanG9Qt30TF9FR2hl5trM5q3hLoAB9iCrNjV2n1Hnyt5iKk5Kjh9Yu5pM3csNaR
qrNLxjS7A6oyfdSOM22zXtrvepW4LMtKPnnxemiy4tST/TJNhPe2ra5Xj6Xy3giRWfeWMUIcAhua
QfqidPUYJf7kvSdamD3Ccu2aO5tlWnegcWNhuNh2ZpFWIxtx0W2s4ehEZCkakn7ipF7RXzz5Sl/U
Y9tE25l5gNoZse3sEAo4fkzqSOin0XTPThucUo8UqDgMvRa/WbVhJV90epbSV3omrKCdgGTRO9mr
o/Eq5YyScl9FhDUPJ15ZvQUwM7Ku77404fJO2Tu/QoAqv6XjrL94/eA8sc2qT2hanprSUUFhNMXR
abradwbCNZ1qfrDz5Z0D8IeZxF/S3n53mPF9peejgjBbNmOdNbw7npYebMfN7xqZB5NZaBd+Oagj
2ho5CnzRH8ZijWhn64ZJJ7GjLkEbQ0KqIdLMe8OaMuUPgxk3m7qFb/Lk2kMboEZY7mP0zKsEYbIK
bfOf7ulf654clzy3v+meqrL/8hcFnfz5Nf8zuzB/Ebpho3hbcyBWwdvv/RNd0i/CxPzO+EIKBMS0
Sr8p6ExaLiH4R9C0IZQgT/2fLspEd7dO7R26K6IDCMv4d7ootHd/6aIIrbMlbblhEL3hIuT7cxdV
Y1TXQ4q5WwfgA0WKVrAbhCBt+VbD/PngkHNV4jyPYta+iYFoQydHki1X/NmFoLiwAhZ67bsibuZj
vDSYzvGQ2N+Wlh1HUSauuTGLWl0qMBP5a7KYzaXqFvGZGtHsbeSQsYliOeGotQgajX2i2dWz0/eO
fuwabxxPUGHa6doiNw5icLWUTYARAPHZ2bVG8+rLIew3WP8vYlB1siEcLMKPXS76tlHtB8MRsohA
GBzNccbbpFJim5lE44ZWRGztPBf1aYCNEo+9acfJNQd4fMSx4Ry0dmiPY1WkeJmTckYioe11dq3b
Svdep5IVXKzlPQSVqFq/KzBJr7PFcYBSCIQTE/7Yk/jaVlaRlLAOyHXcDlWe4lgC221xxZboXlHs
t52/cDwucsNvnqcsloHWS08shB9Ld9fVU2qfJ+lY33gi6pyRbBy2T4tdL0cynjrNPDttNGdB2rL/
Myd7rvety+omYDs6XSvGU8m66MM7IkW5g7RVjOQIm3HcG4cUuw7ocGRC9Tg4Z5yUJNosvqR61XFT
xtmQcsV7UUuozlEWUMdGDCxeCm+OGxc++0+qsePU21pHoj6iGX3oEArdwYnR5k+q+jr94YEL+qFC
gX3nRi87q5CPqB3kjgN/xU8DPnbe6imHdcSOZbxMyNtPNtwqHlSbhTGAlCE9JkA0jKDNs3sK6zYQ
iCzgAGXTbafgZq2Jt7yWUES2ih0LYXJSntw0QwAQiWW3JEm2z6r4Vibslnp7MBOWnLm+TTzMLX7e
9NHJdSnLfdPgaft66oYHLI/gB3JDWcdiFu2O87X7Uul1/k3vG2mgVu9soB/N6pR0QxfWTc9ad1N2
njx1LD83phHliPNhLB3McvhgXj72/sJ48E7jCVo0YXX0EbWmOJNrX+wgfmr70TAhRvLXXfGp1nu5
yPm+RIu2QmOoKk0ZOvjt3YlsZF1k5xXWNrEX6cCuZHZ5HCdBG0Z2OAVRn5sXCNvLiSoMaEIqWPIP
3EytAYhSQB9DRHJjxwwltoNpX1h2E3E3Z+EHNYG3I8ZupKs0zCBrsvKEsqh+hvx9Y5WOdb++2bc4
dsWWiQCLokayoqeh5NLufdeoLbxhIFJ4ArX4UUklbisri96iOiEzqTGJ2Rozoshz6AYqsaN9mo7Z
nsyVcAP/rPvUJ6jmtd16jxHqyI1NyOPFzZyXRRe3pZHC7oTKdWGrYSGbb+i60256tRqEZYg85glG
m6G/M7zEtDgQyLcqSIXxYOvmEEjCtn5oDitbv+dp7LIl7Y9Dn38j18ADbopHdasNqvE22Wibj7Ux
IeSAQld9M10VPUF5igRO8Nb6CrYo2ZcwOfkzau2IwZRUMKNmxjSMOdoBaGarPNl3CdEOCHpDaFxG
7mG27BAFbwm4ZrDhmyCZkbzoQ5+cpRcPTximQEjwfJ66ubnntYb0pauLh77Ot7LQO2hOXBMObjTO
yW01IrY8M3c/Z7uM77zcTQ5jWJWfzLa8bS4ofTY1zGQ7UJWJWEHIY2inDz1r9KOid9lmvN2PUqvq
AvWI0vHCGaE/9UAzBHMKNVtgNB2nIdaezIsNbkHjo8ojBM7IDbbzJM10S+aQ9U7isLc1ZL08VAzO
fNrJ6RV6EmYKI62uel4z6Rid+Zs2l8D8dKP/EUHkwQXTLEGVxx0EeN1406FW3i6ScdQ4u8udKq1q
J/Oov9MhsJxDbRKPDrv4zMcPlTW7quqioKsa8QUueLs156F6SE2t6tGNxnBuwZVvTNw9P8CyiEM5
ls67QUegbRderWDhyPFjsnntDUKqaVtWnPzuxNjDcUf7qjdL5POJNLAsSf2ZwIn67E5WfKq8tqZ4
g8yCoJRGUHmx+o42on+0QBmmfqOH8bYTCk1KLAFVIWJB3ioxCy2tUoMPMf17UYCaxPvBasDSqyvs
x9TXkIldCF6c7nNHC3BBetdm1C1EgCqJw6Nha9k1FrLZSuYlH3k3IodGn3p1alc9ikl2GD3t2Hsw
vZlRoYv1tJrDBGthaE7+GCfith3r7LXAhPgauWV7B7cnfKmzMDkPMzlwMdb7Z9maKohFle4VHI8g
RK66QVpFhh5qQqBUtHWiP5b5MgLIdIZnE4OAQuLVlVsNh6NvW2ZFaxyLuwY7vxE4zDdO5aQxAS2y
SZ0tZocZOeiIp9zKNHiO/fRmzgB4rBE6KDRMbGgALpeTTKT9TefP1/wqLJM7wpgmsCbCe1WLBZLS
XLjo3ZLB3qaLOrQkSWZfHJAZT6EzttFGQ1XM7iJkULFFancZmqrd4YVH9v+f4vhfKY4NVq/Upf9/
cfz6vev/C1YxqbbJn0wmv33l7yYT5xdWCzbLXEncFhIA/tDfVgyu/ott6WwKsEgx6v+5ffi9RGbR
AO5SOC75yayBVwnD7+s95xdJKAjdqs1mbo1f/ndKZCruP5fIbN9t0CXIABy5rp1/LqP/sICPlEmq
Qkp4ZEea4JkZqMUlz8rtDMHZBAHXU8NkODMeOqltiO9jC5fMsOGEnA5Z3Gqc/qC6dy2pfo+ey7/j
kUL5wmAv37MejACogXM8V7PV7Aa76DN8n7F17MLFAYqZDiGyPI2ybuO5Vg6TL7Ps7eixHUAxPh+a
0DyVaLJG7IlRu4kKN3rmjkO1NFrreMxOEUhNL4xqQnQ6YQfSpB8Xnx9J0etrDBrMdLiPIDie+qpM
4NCWHYnlFEfjWpU2Dxb67AtfgiysFQ4lQaXdJ2GddltwUtOhNRAQLpMqN3NniNelbcczDk71FNbK
2Km2i+90KHfNxlvWnxxcbRfohY08jCCOHewZrpV4UsVjFFvWTjfm2k87/jHTKXmmzHiussraRG4/
Xl1TIcXM8YhzEm0jNFu01InZP2Z16tyFlQQzQGgT2A8buTvKx4GfOHe1BSZzSBIl9ohAr0fYKKrJ
t3zPGQOtnpKvYvSia+C/w9l4HbKsPsgkvjhMlfZyiG8jciH6ra6EmW+dMdaBl4GqKPNoMS89FFR0
uyXlsIsIfBMWrB1QNz+bnUrTDfWODLRRb30zVUaxabvS4vdhDZfF1Q99Kt4Z5FvbgZ8lyML+JSyV
OHlT+6wyhQ8U6sbHujk+yRg4cKHceGtlIJ1lb22xjEYPnYmKktl8lV9RUTY34EcwHHt5ETvc+5VN
PEZn32UGuyctdsb3sA0BGDRVGliRPV+wIH7vdSNiCKUWG5RAEsGoT7vT7KHZSm1UmmQwX3I7C9FP
2+F2KLXwnnTpN4bgpW/1TnaMcTvDtetFPt7PRGM0X1rc5kybmoEtxSjv7aK2zmnUGI8Z7c1Ws8rh
YnXwDeCFFTyyqS7a66CLjwl7yg1QES3QJ/HdLIsPZ5qqzofx1hzH1BwIioBMh0QY9FfRKvede3t4
WjRwK0Qj5ZShYb6CfYah4H4YrHQHAp/w4RyiwUccLZXYSjUkddBpDbdltjZMC7/lwHLQ7CZlNwqW
5QtodC6wS93QhANTVlBeav1usuT70nnvAoBVSwIdadyigKdrJ7VHvRM37R7LtL4XkW6/Iop/QpXz
XegDVMKUrJqgNV0oQDm6pds4Z8vCnI6wi9jWDxFnzgN/AjJro4tvMAqfkb5MRBsC4uZlNmMyyKNu
0q+d1y3R3g3xV/hDW78XiVYPDwDuQXwLNivaEN6NQ1nRlGT1VSFb3nbrGnAQ3l6ZRoyZYhmbex0D
CXMy8KdMFKEFnTNiejMytusy38yisrAbG2HgGFV8jGnUgqamm7EdTdtKBJ2vZlsoa9MvZCg42iEi
YXcPmgBpkq1rOytEzu0JNe3INE82EXmNb7Nl0N+nzXR2E2dnloTyrJapAVeUiXG7Rd2Lr4usATuD
FzNRm7tjZlIHFA17AYOEn2Go96OJu36URXQFtoj4ckiX5anJhXW0ere9zqLXsA1s4yE/49iNtkXe
IQpKosoNCHIodml9htbzprMT3VZtpx/nJVwCi3/rDBWvusrcaJKNBcSBUK2q0cXWWnEAx8weXU6q
trk3vNZ4wvYY+7YN6Ca2gNb4ql7UPtTg0qD+zbJ3CG8DbjZnOlsmkHgOiI+c1o2R9xDPaBe9dqdb
NiaEZbzJl0j9IGMaN9joOLsYYkKO9pKt6xx23xgPs61wYsztsV1KBg+C7UpBCm5Vhe0lyYcPLhYo
Tn0Oinpp2FWscsuF4eE02T5FZv8NW5WRY3hyuotZhN5ujORjhCH6YGgFggzh1H5buumemrPYxIy4
O8xalKueG5ROpXxZauNBb0txFMqRsGGy+GhP5hwwwxRnu0cCzY3tUlkJHdib9NCtOOBV9Rxu+qLw
BESgHGqPVIGwTX4gkBlW5TRjoaLm7J0kKzXP0Jtj48li2aQwibZiNu5aCWGpmnXkzXxEr3EdJZAw
cExkGBJ8ZCne1tITeaJADXfT0JznomgCsczdp1W1M/v2GqVvnhMXZRjY3RiZHtvF++p6fXGMrPaz
8SLikbPpa1HQFgqpJFhlrhvZxke37aLDMOXGtgjdmxG6Ut9B4jAKvdy4w2jdE51eAMLrbiKVPgyi
0+6nOL2bea6ncLZABYj8JnKKZTfbGbiAOUEojMq3s3cWRNetidWJ1mgc+hW5oJ6RWKrNNPBcH5qB
zJATTalCHovQvwp0bs52oycz1n5MegrtPw4xJQI48YsISNepl8eCfk97mzp9VtCkHHfZJlYHSmbM
SgekaQaF0gycXkp1qK3k0XJAqG+XcaGU6dAn3IyZbHmtLEnINP1qtRHwyb8ruM6kUA9Lc6tXOrvc
GjPVq1EP8yvM3vnkQIg6Q8sl2khpU8+o35ltX6psPAk7mzj6c9Bk8xj3B1WIBbUQJybgcvsLc7h0
Sz0HqR0ctrGxdKd4cJchIeEH0CHTygDxybRDcBt9ghfU9l0/WXedchsQGY3cGWtSyqaA8bHJGoMH
lCkkx7GIohcTqvLWSQvSLGg7KToKwzwk7QLaWCzWsJmqQU4bbrdlWkcwBjjLoYiDXm9rOnFdDQRe
cnOJnYWwHCi+imFxdM7AZibDGKaIMkDj73bjcAT6NZwhL2tHrWlsCr9QDNkGnat3Ky0IRQAflibZ
0eZi+XK9BV+QMdjEYzXivcP/gqw6Fem9G7eoIryU3bVnQ1CqGCTDyA+JZ3CFfQAfASqqybCubNBb
O+tcTPWvued525Bp06UAVmOt4QbqbTESc2d31t5gFQYtA3uC2rgloUxNBiIHdOl4QPyLAF5L6J6N
WStuTGXjnqQCatCb47Q+mqTTv4ZhnPpRLRjARYPhZruaFSzrvqwXNHCsLDm8l8DgIZ0xr301HfYV
yrFEseE3GiLIyQTsIa/N4mDq0caTLQLcqO9tUBKMWotbKDAuXqssHgIQp9famuodhOj+MmHBOOLe
YQVd4jK/7/J2yALQ8Ss+3G4Dj18a0mzA1NscCsonuXfxh0fN/awr2zmHZlza/irmxgpFabYlVyDy
rgVCQl9XzltfGN0rWVRYlSLL3CE8gWA2W+LY6mqBr5mm9ruBDWry8W63qPYg1xa57l3zVKnvuoYm
p2+IXeE8TU7JpMlAYdV4G0cSdnycfk64Q0seu9tewASMGLbg1O0JSpCVEVj2xBwF/SpBQ4m39+Zi
wMUzjufFGSfAtNH0QETaqqibZrQ1LIgr/DBfFDaAhmFxBdQ9qfo1xaFug0ZnoFhUM4Ys2DcB7T9Z
EKNwPvVSny811oIbt1nqR7QSjuVznqc/GCV2T14p8reI9Jxoa6nUO1WKPGwSiKE612Gzc3hfz6KJ
7Htj6ScYPBCWdFR7gbYgrJWOWQcKuQa1P4MlywoHrEbgyziai3I32bW1xwkPpU78N3tnshs5km7p
V2n0ngHOQ6O7F076LMk1K6QNoQhFcJ6NRiOfvj8qMu7NTNyqrruv3CQSCcld7qTxH875DrV4i1nv
EZm2tdP0fstWK79kCUCZPK/kTY7E68whwba2SrlZPIl8B+vbtVWwrE+1jjimKmfEYkMUDguJrKKB
1kHFYOfnNqNGKXFeUEAxv0sL11mYcqfTNutG96dkE/bhVirFv1gG6pogImXtpt5udv/u//+V/t80
qUL/Wf9/8+Nb/z4Uf2n9//ihP1p/JISIt22btDD2UCy6+H1/tP6GzuLMYWeGSvdX7td/LMdWNTBC
eHp+IKX+p3Hlj84f6e3//d/f1f9KfsCjwlXR1MPf/vt/kNZ022S1GP7P/ySJ5q+dvk6Tz67JBijB
Us7hjf11GVZao4YEIZVXFgAHmaKpY7vNFMnC0TbXV9LL7BmAHgnXKdypVcdQrJIGZxU3DKvMoax8
FA81b/+6X2UQ5iqIUJ/aCLHKJMxPxYRp9cSRLNn41V4FFb2/aivkKrMIhJ/dmKv0ovhUYZCvaeKn
TYeQLBbrRqxyDWILu50u/Qo9iF7filXWgRcQhQfO0eKZ7KnpZH8qQNQqBtEpC59HPdVIp/Sb4L5M
/eq+NwWsRoQknMBISlZxids5yz2alf4e2FKMV2pVccRCbbXJwlgFvwHIuVWE0jXU1k4pKDcZ/MjH
kSiXd8+rsGQOTQxCbiHHsGOKf4tqOX3pqmKcQwaKbWQl0twFqcf2x+nSe0e5+VbqNl28ptfqCs84
U/5ueAIbhFOPBZTHAoGNUqhb7fJYi7EIdUN9K5QiCMDitCXaVmZXXVaj26xbZ3jL6oUVwOqBfyox
0Nz4k0x3mkiXU1+hIN+k7PyiUvreGptIXkSOr3gdT+RwP5ILOPJ85+WqIGIM1+5AwPlBnxrWCSkt
a60ZGXk3letvRDXNDxSeI0SFoAgFMp4LfrvhMEPYufY6fbpiIDof8F1Z76ihmxOJIOLB9c1SMQbV
ii3jI2Jn+pRnbcVI8npBALHrDE+L6ris7zTqvAcx2+IVA0/5c4am9GjKMcMRpOpLNTjajUUjRVEp
vvJZ8ZyErRswcvWrr1afyZ3ht3VUM6sFiFqQ9as72lazeoXCbhgu0NiIPVVChYEls24DXiQBzQdL
9Ltl5egKu95As6AtFs2zorzZ2mwX7tb+GIFs0AnC46nVsbPDYkeFvkGp9i5N6Z9rOIR7kv7aG7s3
6NBqHUm7uYxhOiRqpwwNJItk+XXVLrZ9KJPWxzTr4qquk/xWbymVsyJZLgWQuHaTO7H2nTABv9rE
yWAEm25ySS1C3z6eazTxeBPS9JSxV97g2MijnOTIr5lRAc9Qubpyg4Lq2B7Ga+xV6CKbtpN3vZYs
r13JshK2VqvOFMPJY8BM7eIDrmVtmuyl9FBS6oNAJcduuHAsARdOLgC3DRzZiCY7AjZTQRSaOzAB
QbVTayhyfRzSJCTER6wH/ZHn6rB60Q0gYGwA2HJTS1bPHCMtew1YpDU14BbZn7OliceSnBqgwcCS
oidB9LftSdy7VEmVXPrUNiO3c623En0l2bhEYrwMceqBWaN7f0BCYyUhrbu2XXIjPbBfqk7jgvJl
U2GujkOpdY7c1XBdL5A1yO9iBFNUNxogumfPQNQPAbyJKcq6LuYkyUD1LVXzgWFeX3dUlbq2Fq9i
yl84WRHhTdCeEzng7csNJ4iRDCSKbHMjR5KV1xiVFQobGnws0Hf4O42XfojrkUqS+rrblW6DXPsa
P4WvAPxaSQUjasdmImEYkUyzi1RZ6eOgPzCrpJx7oo3CWypWFTQRaBV3+2lpTXLzQsHIS7WRLc1i
euhzlfjf7YR9cU3CYalPzlNFOGjnbf2WWJCdNo4i/5iRORjFHnhC3/PgYrj9b4/P/8/jw2YO/9U/
3gNcADX+xd3z6wd+2wv0LzxyV60LUeGrQAaFyu/xv/3FNxi6O3gJ3M8FwH8qZIwvUJ/MdWngoer+
1NX8Hv/7X9YHOBN7y0QWaSCe+VsR8M+KAuPv038PfLhvOo5nMOsExfC3miCetARet+Mc0Y+0cWTm
SwGcuY1P1A8yZH06vASEgIKMhmtgkMF98kvRvgbgfZ+c2m9fbTcfXtiSDy+JwjHzp0/yv3DxriaH
P5t4eXemzp/PG0Rl5K52iz+bA4PR70lKDuxjLu3m3QEvfsv2rV4DCNGOd1k57xH9kizQNnDN//lr
U3P97dX9VTWEW5bizfPdz83Nn18d6Qz4qzHrkPzGX6suhjEyjVlwXQR946KIdrwrdkg0Y9balyk7
IEkUBtSbWurlw/ts4BieWaekJKircMeSyLa11eu7xr3zPhtAaMfOMV67QqO12p2ttyRikea0IeAA
vZIth+qSMpvn2DSQteh+hxiZdseLxnHh0PJH2oiNJVyFmdg1X9l8kpUGVmeDl7g5e2sPCyZtvE8J
BGFnsLa4mljbXTa+QYq+mC6Ynlp/0fpe26JCeBwBx5aQITo6SM9ta0KDcD9q6dpU92t/PeNxDgse
n5v8s/1evEkSnxoTwtimAMKrtVGvP3t2bW3fnSmP0c/T0vvEk1BX6SVjNf2z6+cLcA++Vcw70rNc
XClmBkzDZFLAuqy7X1EOd/qQZUbEiB1HV6Mz3IQb0kc+SJTtNFIP7KSlEExn3Er39MqJQmWxTisW
aCqPxtik21p403hcOeiEU5i1uFegEdPQsCYkGZlr6DvQNLG/qWMBamvjuDBetnayrKlBPTCTJMnM
CXQ8k08mRAxaWmJYDg49F5xdeKibyXG+evnsI15169ui7hXa4w6FyOhQP9ifw5xEV8ZOzwlt7NdZ
zwyYZ8+kmvlPasodidaUx1JG3KkBuVzMixaTETeKR6ZIyzpP8llIvKfo1Q8Eei7boGyZO2U4IXYC
/yzhGzkPlBBIjWJUtU6tcPwYyAp8eLK+ET/jaYEUMKUr39Rz0h/2pMuL8TkDy2qv+oF9fE0pWgh0
75yM/NUA9Q0BeZ9jNAbEjNS49x7SRMutG8JaRociJq7c6YFhWqbaTefVjQxjsGdJmKu4NjY+deBH
neN2p6zs8z3BT9MH2uJqjVrEWpFuiEmHWILyq8/eZcZA8xDUGMsvw0BawjIuFq4YK5dfXYaMGNSR
E7yT3grJNw5G1XNXdJr4XsdjXkZ9IDpG16Kxs60gc0fbNrE/X8vZqGcceowHt6PEz/swW8AcD7Nk
8BZqcb1yf+q+SqJ+TJP2DcgXJRfa2JVoPDs1rJap0A8LXiweBaK+6tMpa6MOUM370GDWXh3a1Fts
Fo6wtYp7hhHrYQiDh0iSrL7kywipemw64mDMgFfr179tTmPnAZeOMcFZGeIVOGAPLyJzcwq1TPLu
VeIth64hLJkE9RZciNO8TvRRTNEcCU4knbiRt4M+Km1DTPz4TSeaRyfbrndA3McwvcLWbJv3figD
J4IdtOw+j/KAvxw5IFq/rch9ztFCE/JGZebyXA6WBpa4mCzylBnSE66Dz8a2jfndGUeAHief8Cz+
VSQBY6oNorvEzjeNsUzya80yJBugxTv1O34vRN2kQA3npl/cm24weMfsARuNcTaG87XOa4mMN8sL
nDep1vggIskwTChQKAkm5oY95yZDeHbpnRKhEQzBxokIG5ZHQNACR4AkLu6q0iAKcyRiqNmYdBtH
2FS+JLGXKhmXNOObqB567w3mx8SuKusxX7HbXPcN+DH1DfwWv9+knTe9NiiFblJ3DqC1uwyJY18H
8o/McFtMQ/NtMMSTpSb3KCHaOHsDtsbd6JZWGWlI3eXeB++EScDPSAUwG0pH28njncGy5jq1JCND
TaPLTgl6ezRBKbng6UbnOxtiaPqSwJldM6FyNNlwhKXhqCu7zJsz7XrK4mGhJxQdsBHVUe9tfdUb
Zwt95jEAA0PRPsTaY8FzZuFPDubIDsikI+2j8kw0KwPbCeCLtNCz8Op5z7gUe5Mh3byPOMeTkBRX
G+8BB/6wDg//XTj+KwMkRj9r/Po/LhwfmvEfYEr/+NHfChL/C6s05B4uSmrnUyXyu4K0vlgOct6V
KvGHe/UP/YjlfEFATZthWqhqTUrM/9SPmOiyfYZP6Ks/FSn/PaNq8Lepkk2hqju6DUWC92Hgovhr
jQafnOddnjUHJT0OsyAtrCkkAirYpzRfO6jh9sjNm/t3WE5ZBZroaW6Q8TaRZFjjR701wpGLM+vF
HdL5tnHN+oFVUvwGihcQJaCDFo7R4hxwoHF4BnxG50yTTQQ+vlHhpAqXpHVN5Ryh2C4AqpdaelMY
DWGJJSlBNItd2W27IOPuQKI2GZBA3ZRwB5kThFixMd94wWzvCm2wLykH0G0BPnldz0ltq3eahZkS
dwjFkFOz4LdSM6VaHlpydGaEdFpPcylMoI5jZVmnafGtY6DgHBHC2GHTrXhTUVfF4gevgtOqJ0+R
TeOIUpPnI5N0fnE5/2JQ8tB0Sd/hGca+WpucQ0botLe1Fr36mfGFH5wYNp5LYgGO1yWLPxbXIcCn
AI31gid13WDyzl5spkUv9aQX9wwJ1G2ssvQyjXH92FIUXsSA9u1M0544kY0yAcNv6vkg5KrSiJlB
deRVLogw78jXmred2/JB5kaMRVC3WNrgQVYeCTNL+2Ykvn8bl6B1WPf2uhERP4y+l5l4s/MIGNg4
+JNUW7UXst+CWwdEdnqVMy09DHx+O8kjEfVF1u2XNF0RTwHddSqJlkBr1zzAV/PvNEBzNzm1AnIR
3zlUBqzIKgatH1PxH8FoWScNAfiRQrq5FH0Hv2axq5n9bW6cbExhpHMWo82+0ERWt2gVAdUj6mac
pd23aam6156j8aXVERAQJds57noaDh+GVjGlECm7CH+agzvVspgEAR08mCQMkvq+UBQHqid+05HW
G1v3AYxLqTlAvCiV34kUZZnLWOeqbS0v2Y2znpzgz9fZIfY6sRxxxJnzPotH7coESMUegpoPaCG0
KPhgzCcFJuDCoficEEFQFDrFVWopCHa+xhrT6F33qTZm+zr9xWqyPsFNqHFXipP7iXRK8HmilNL+
oD19op/mTwxUtxKhtE84VNquoKjCWMt75GErQcr3fNKM+k+yVNz0mjiJT+RUSfORvSANAzzl8A9B
0Vw+X3Fxaw/zhM7fLOJrr6rkOVuJViloK8JWkivyRDFs5b/YV+YvElZS6R5K8JWQ5VjUvtmyOpNX
fla8krT0laklLL08olOdnjNhElUcpM01rU23HRiZ5CuXK2PUxXM0Nw1yMrmGnl2X+NoDt7dGnjFk
r6bv4Tegc6hamidEXgiSEB0U8MA0YQ6gwWrew2FG0jauqIkxmoVSZw198BE5MBnGQX3fLP6VyAcs
lNIYwsBv1GnKyPnzGPFsbdy36CnUHhWo9uEsnDRlzIwxXvbKNxCaZiahVK3wbvANPAC2TSJC7Nfa
3HlmSkNJMo54wNENXCZfv8fJYm7IBOBrG6C8JTaxJbIkcM6HY7WDjsMCz6nPet0OP/LZu2EHF78i
F54OaurKhxoxxyWXyIpI0KLzQEd7i4XE2q0xCOBUidqy3eUm6/x5T7SvCFP8oTucggg2NH7KYM/M
+rNvWmBxy2sTs1hDkXRZ2v5aTEVMRZnKsACNvO9iAPu5q+nXfR9PF3cgfpIZ+TdKj25PAqC/zeI5
3sHAysmqcLBfouw9LE2ThciEcMTCdT6TrwfO2Eve1uovIkELbK4HEpBtAZGCpIC8TOhqDnqViCdG
t4ILY9L2Sa9+jr1b7me4g1vRQxOThhm/WYWDzEOtNGvK6Ap1im/qx9GlsDpYle2ca9DLuyBAV75p
E/Tt7VjYJx81YKg0zbsb25TY+YVHE9T8bC8cu+KqcBePzWXHwBGqTpZv/S4T91j94uegc7hlnSpG
pj2mBIb53Tdy2JuC7OSs+NpC1KP+kzg5MtPfVYMI9g3S4td2ivWXoE80AN4IdpupXm4wEzZn9qD9
obIq/87if1wPrtIuwzrHTLpKD42AmTwBE+5Nb8YG4n8lCuPkqDy5CorKDzaYejvYndnohYVpkXDW
udkSkT6EF16Aw5SmgcyDzfcGchEyIK0FaUY8pr/3Wq8gjzGhiyJRjRStUXsWrT68cMXVXZSNU3vW
Ldy6cd7cqUXoN1Ze1JEvVgp+yWVgTztdmQOCstQ+mMAHN5K8mGNP6uQPa7CrHxAXV/syq6dQinjC
WQKm6FSzBLPCfO6YNjuZ8dQwB71HEYTiH/jLtg06/6qLzTctQG6X1clXpmUIwedaDwfbeaptR4Pv
OBQhsAG5kQZUu2Xu4idsJ3tl5W+xO5IJ3jl7fCkCKvTCTCubv85yDiJRNmbkeRAW8E1TgevHAn/I
FvF2+yOJPYmCTmsiE7beQZrIzkKMmvZ2cWPjtkQ6sS2GqbirDfemTugKK8Y224qdBDG92FxFOKX9
hBYP2Q8yGhFvQch8YDd6JJ6JUor6IoN3sJksiXkJJnHkxLqJuHE9XFlQr8UMWcXCpvAnBtrapnWM
47MoHjXTbeARd/obrBoQa5nv/eiN/n6Uxs8YeSRpSoAaNe+1ZsQdEeuV7VWhe6dgjperVseG5Fnd
a5MQo7ME44kNSszZ2bZbADi4zBOJbUrN1dGSLWN+yNa5azxlyEmvSq75DasJY2f0Q4BbTDDx0fN9
L8v21Aj1YC/psCP3s96U0gnHNF8+gJvaobDG5iH2lQyzYeGzjisEc+WMV8JxGwHedah2uBsQkGr+
9zgxv+JFjV/1zrEuzEJRbaCSQErPdeV8r8zKOILMJo0EO84Zp0mDRsf84VUTaWbGBwg9klHxqLSI
u4bp4Lcx5nC7tdmbpzRavpvuqVi8ewM0QkQ3lu9Q1qmLWXvxLeblU8+XjmsNDLF+k84DaS5eyyVq
+Ek0pwqIhpEbN1abP6mide9jlY77dsoQ3nhm3dyP6SrXRJbj4Z1w3KTZ2DzSr1BkutHgLs8C7PJa
bJIOe6GLTZAqB2e69J9sag6dWZWbVNMv8TRc1hTAMhVD2A/eJm+rt75kgbQM6nEaxtvWEBeh1ddU
a9DhVilaKSCr4sAga1COCVZAbnPHx8IeOVbmEK3i2c4VYzn/yq06lgh018hFYDmBAF1u0cAV5383
fv9S4+fihv1njd/L3FScVX9eGrAAWH/mj47vlzoAIp/LlFM3jFX9/1s4YBircCBgNo1xwPKY5/+2
DDhfdENfhQP0Yq6OWfw/Wj6wRYilvHWjtbrcGfT/d3YGfweC0TuSikHCBfsCm5JwXSn8yTAQj2Qg
k3A03YzVRwJdIi2//enT+C+m/vzhf576639/gb/Fx/TKKqtW8QJ+7m7Y52/G4D2TN1kAtufjn7/U
Z0DqnzYM1Hw+hElCZBGtgTj7e/c6YwUtybwwrnOnnHXMsJXGPghuAeA1KMBvw+fiLeUZKfS9/msz
15TOzJ5OtxARVR9N1/heghTdTvXA25OoqO9nvx5/ZOTFZtXV+MvEqq+G1vKXudXHrEi4sNbEj3Mn
dvlqhh0Y1sKibxAVc+t2QDVQOSUY4VYvrSldjZn4JC1ynp2yIqzzoQt4zvShy0jfayLeBIrAzGWZ
vlblp95os6dZlej34o56YJFzOe1gPZUWwZnCySMECuinDFqMN42xOlPAhJGdj04QsrZjWxdb89rl
nIsg1R4moNV2vbVkEgcIPUSRCxWvFJ1s2P/71PiXTg2GPtxJ/3hc9PhDvQ9/OTN+/cRvsZH1xdED
gmeIW/oNBPx9ZugubiITiz53PsSUlfL5e07kfrEDl/8F6NJe3UTci38sGk3nC9okh5Ugxwamf7iE
/51FI+vJv97WKFoc22RcYTLMYmJloob687nBU1aTXQOga2Iz8iI12wOuMn/3lVmSqK5121RDoKqq
prj3Jv8a5Cljf5l3D3hyHoAND6dxdum1fHLY7GbUjnNsufFeNnl6CzhJex89r0Fh2qCZs/3Y4/Hn
kKB2i6N3tu5sOyvMaqNRFXlHJMe+eRPYi948DdDHSbzUQI1Ze0Lb2vYaXSRweeTF04LHtgikqKAB
xUVug3hOsAlt2qnvu6fSB48PTZhEBeOUBspFhGTGgdh6qU4CHkYIsz0Jm6hfqigkObq+QfJNxEVW
4Zs/IUA3kfMmQ0fD0BgNrBobmNneNz1M2WOGlIDSbM4Ibo9nTcMEZXiF7KIUZux7Xsf+R4KylUQg
k3FKh6aCQGAQzdCp9QfmMWiSBG9h2BeqMc+EGa34LTdIz3FuUAdPgof/TrKRktuFNEw/8puc8MSm
fVVkWoEsqy1xyMl83E6677zO0rE5jkCKZkP2kLCq4csa8+uOsueQm9Nz3mTWPhcT6aFVkBzADbH7
6qokfUG7ysBqJsST4LXrxu7P6TSOL+B56nAsh1sLHSNgZBkwU0vc7xwtE3LaCa8BbaPJ3qRQ1jFR
xTNQE1gEgZFjZ7e/JRlOeYtktwdIkRx7THf2TFXIcsAjQtU27Qcv9Xa+We/NIIC5lT27pfmT1Chx
XoZm2gQFKc+M/sNqFK9IL0+VbOoDVDME1pkVKTg9m2Fu3XPb6gYhBcttmlQN1vTiec0oikZqRSSc
8oeb1e515S7x7RQ07oblOLrskTXuYMVRQU22t6X96Ym4mLmFwU1KNPykKlH+Md+HO9Vf+2Iytxy8
+tFrsmxXq8XZjFqShgvg12/ZaMp9JZ3sG9wodVIMMrdt52j3yKNwa+XJD/ZuzcXR8OmKTD3U+Ch4
XnGio3jJDjU5hJsx45hn94XKFfrTTsD8PHIupLsemsUO8R21bqoFe+lOPzC0E6WbiiaKOTs2RTJm
NV7f7FtjrY2kAy0HsCyyqlXP3jSYv4ZarG4GzYUNJMst8F6eJqZ6NJxa3wA2eNbK+LgsNe7qoe1o
SLUXYlV1EnhVfko7h+1Ya2c/rdHp38YFDZshsLtPOGgG2bk2Vne9uKpkMZ5dV3DHj73fRZa9aIh+
3dqisvcNoAP4Ntjk5ZKKeK6UdoCOM94zd528h9Iu2lvYjkA8OtwaN61vujvaZH+7kgwZfgBieBzw
KIYCTHmyx5xunuox6atwtgSvxoUFV5fc2+9j2VmhHkt5m4O+CKXkskgCWbLyVGr+6FoO1W2Cx+7E
sqs+mALQV7AXXFqKZG1XV2HHu11X9ZP4aXTdhJVoipmWq3FMfyKuAo6G57xjhKN37XRj+s6ApJ6r
BZmfnSLFkPhb0jqo9lPmt2HaaXizzIa/rJiO3pyDuEsbTgkFKazRmTQ4TBTgMC2kLLWdtY2DhTTd
JIY36C9fFRKWZ4w5BEnn2ju31Iu5ZFhfSggTVcf8T+vsm1wnZrkvzfxca9kHJIE+ysw2e676nGUT
cojs2uxnDIgVa9toMSrjlrH3U1eahU8yrsUo1C6bkxGIHZpzeYXir72nztQeCnvw3s3KyaKkCDos
bkGfk5BFLutmUiYAE/JkdoyKCCuOSUgXsWBWJIS4KYe0QWWWIW1A2rrv17t2xU6REEGqSNwRd6OB
V6NQkbdk6mbbbB4Ok6FDJIoFYIvOX+D8x259x0rsFVSVc7BlFXzvzeHOU3Y64QdA8WD54qs75xXS
BR37niWPdmn4UcEgmQW90YqfcWPb21wT2nlm5Y+PczSiWl9IYFrl61Brmd0Bt9hAdrvJJr+4LJou
r+cMumI9jzBwawXSYkBkJj0Tw4BtJrhnbbXRJ9MPgxxMZGv0+1nDBOtb4joYObUWC19NYDJA0QmC
OIrCBiYx9fhJjel+9FHnFz6LBAIvEZCOTXDolNprc0eUjC5j5nFKZ/cQVN/nFoOmzlo9HA1ccGS2
EkxRNSXbFt9ET5/l0A/8Yo46uwyiQXRH1JSw1LX2p+q8pwrOyXYJpnGnDy35XzNiWs3GKZ/WKt1h
V1Qnreg+mJ5d06SOZ0OVqDOmdVZlevVldcFfoRlptrU+ExGbCf24sLw6aPRBm65F0YLaLyNagpQK
zedvHou8ZNlbcN517tuyMHOp/RUdVog3symKs9PG5IUgRNzEFlvfds6NK66BAdeJDdixKH6yuA12
ql3ekpbfWixM4zb5THQ4Rltoc5IMDR78yTc4oVOol6K/jSEJhSkT4JvJ9iUPd7PduHrC1tj5yZzq
hy2yclc6FAxS2S8VYgLEsEP3XPr8qqW3id1jYPezH22TAUFeRDaH6MYbpvSW1L38LjCb9qj75nIl
C8HH4BVvYxXrEYdpw6mdyRefqILQFtYaoV6HMmFknSufc93Nym/IWkykN3NzHO3K3eWwCQHBavVu
yJfqyjRMbM8z2bTSmr8NKb4iaboerDPeAxycYqszansedHPBTzs0fKALovZN6oHM4QNrefuSqv+V
274QjIJr/7HzHH4WM/QDgqUj2tUp1MoguRuHcrp1gLS8ern7AORpCoFq3NhmAxdt9BNcp2nebtlZ
80GzEbKf2G0AZXaYSMzC39oLTstwBSyswlTipZZulWeSuGSESWMyslc1g3m+543ZGs1FGos4YI0j
HFk5/htwFf0VPcT3vI3FZdEtHOpSpvKQt8K6OJUrWZ3lMI0QWwm5cVJIkAT3sAXDoa1avbrv/MC5
Jxtj0ENOTY0Sw2zN0LGH8ufQW3j7uFETvlPk/avZr3f3bWs43DL4pJsDozEUwSN6tmhOrIcWS2Do
Cf3KZ6fwFdW1/g1t7KmciB+J8iZNwi6xPkp3cBjeZ+Z3I8m1KlwwExR4mEZ1bCf4rKhT4X1ECujL
dx0WS0S0+fCwTD3iNA7PawmsaY9M/nZx6zNeTQHSlMeBOhjaknM5u9L7iNGahqk5eJdAONkLHE8b
omfmRH01lVsH+lXYNgRKR33HJqoRVnPfWzZOFYB9w40qTAKk9Bi7OhKkEYtY74sqYt0I5NDPyn1C
LPsu9iaYtB78i5b3tRe9q+1B6MbVvvPK7IXTrHjhETd+LSelP9BFwiEiKuWoOxMVb9y5p66WILoy
bYjxW7lT+ZyYWT6fpTYjSFrS/hQQy9dsUh2xBKGywcnsgKSmlTKKjbJrSKUy0YFwD/2dANP4omO7
+3DaSR7IOQ/OTZ6Li52k/VNjOX3B/dfkIrI6XGuVQwoJ1dXyHPTQb3LahwGgo8EJG9InjUG0BK21
mu7bWW6x0InizIymqrZ+XLpPE7ww92tCQtwSSR82CeI8O+BG7OEQEiPCvtAubPfGtYr0VXoTcUJE
GD2USz0b0ZDW2nVZq+w1xg++I7sH9kK1qJI9Ya2TF5wn/sa2C8CGQzVVLzoozTsA5vVBVRyvfRU8
ICKsKcK68Vtd1c1qiM93rliSc19Tkpa17ATSflk94upNN5bumfvJr4qrHILfbq5EGpEQWoattpQs
bnsgRxOa7TtW6H0Pa5f1by6zgphPY7yq6gUTsJmT3O6p5NZsrXi+9728by4qSZGOB4hBAayFPvJW
ioWKxcq8qlB+wdwpN7OV7V543WQ/EFz0yX0fZwYp/XDIg7QKNnABoMSXytZCdwCeXi5t3UM0SDlH
lY9Qvhlc6yBS13khL7AaIR4k5Pb1BffiN6jecaRreZxcZXL1AHAJ9/kWtd0UuSYydPSL3sTpI/rm
SgqtPYwoFe9VJ+gFkJTtF8cF7SsAt7KRaY8912Q0Ciu7anMnC2Nz9H5WfWN/1+t1zQY7VeR7VbWP
QxHE2SugjTGsEJKxm3Dx1A7Lsqrpff8H+WzJwUUWj9GMPXHYQV19XvJJ3zK6WextQL7mbjCH5V2n
sD5Pc7saH8ubxoNtC7x1PC1mJ+7aNmuBWdnV/TQZDorxbArNym4jJzUQMBppZW2TYiDsWke1qner
mKtAP9r3eXNj210FzMiwnwaqyC37zgAUpZFvE551FOfdjL+5F9ux9I5siGTU0LjfiyQLdn2hm++O
rewD2XAtoHBOppL8y42XNek+S3Dk9w2BslYG+3hTDOn0rQw0uS9N+2KpNPjQ6/4ieSebXkA5bk1z
PgCK7CilxuSqoKVVG6h36wra7XZtoJxtxyJzQwxHiW07z9LtFGNmDUoe47HSijcc9iSRBl510LLY
ijQiSsJ6cmsQUiWzc03XZqRulrWDE1RBJfC0i7CW+b6d0sOIwOFaEbXByr+2oItMWrkt5zT90UJY
v47jLOOg7RLCUZCDFiBVFRnz7EPTMkQjW237QkgeOtN8lwo9uJEqQcDFguRQuJmzZbfNgTk0zSnT
jVvfRxY2DANo17FN3gcPLUkN9BKCFTqHm0Lr+lBVBGMZZWxv8jKwXj+562hUidCpsrR61drhtbOw
ZKTS39uOMkB1tfJDVzxY/UxfjjNpwXx+GL3BoxCkrojAZRHMRjn3EhTLS/mOGS3dSr4tMunUV8zw
5zTxo3npkGmWX4dcrtfbqDfbUZCvu1GWtXV9lkBlFsSnPBuc92JQ8aZKdDekZjZITKtVXm57tJQw
thX8QzevuVoGb2/AMw/N3s6uyiQpbpk/6Ho0wrHytxLV9s0gqLdzHVdkt45/lD+0x6DrSnDPEvZt
7us/ppoWLRe5PJDEMEaT1pl3cKaZCLT9d5EqcfIA0G10hMsn5lpRms5Ap1u34wGsFSckFfJuKdKE
GMbuG/0apdhcZwjklrw6wuCTRYjZY35hJYnkWE7XFhqjZ0qpxwzLc+j1wjunLoKmTi0UjhAj4mlZ
l3Oj1ke1HN8Co7uejNnaEC/2XGsceUjV7R10Nz+cHMt/SZVRbWBfIYvRfRlCzHAeoVJChFoK81zP
6VWm1a+i9fBXDelD7xo/LU7S3TRTHdVJi+C2MV+t1CjZyNX2x0DUWaQnvYWis3pWeAt+tm2l/T/u
zmO5bSwLw6/i6j1cyGExXTUkJUqUqGhbtjcsmKIBECByfvr5wOAWJMvdbXChGpZXIn0BXNxw7jl/
aE/R90amhawHwXcdF9R4dTjnTS5ieuqgdpbH5uJrCYEbL7CyRAfMaqq7RJIQuQzMBTVgEhAVpHC1
8Qj+KbKpQa1NfTR672AdkoSOFS3SebyFgbJF6uboFDAHdNFPZxTPRlXrAb2GajvhVcXIjK+1+BqR
OQJrycfmV259D3EazKUw2DMDKTuBthdfyRiZQDTHthLjM/O77Mh36hpNO9/03Bngfn/WaGyuYLWX
Cz8ukikEMzg0elfHhAVPNryetZ6B06IofUrZkgBP5vgry10uMA4phFkFIm+STnlYw/Fy4UnaVNaI
hJ1MZknQ67SsztZRcWaUyVfEcGY1Ax4J0Jh6sCPMFxaIjTbQkpM1knSxVOan8ASNE8PXg1mskf5L
LBTsEf5JxkSm8niBBmjqlLf4Qj+KCBdM0EjRgAqFt4na0dY2jXEeqjCfDah7U84uJBDR3r+uZPXB
k9TsAnWieFKh1T92AiWcumLsnHjRRjqrEZyfpFqRnWOVIpK5yBEy8LHgqxbWLdxO0nCLCmJx1Hz1
HZAqco5GEWxrHAFz5dtCK6X7ytT8iV6D1hmvi6haaZlR3rP2ySNd14BTi0kxSxOSUaK0HksLAUPk
1BTIs3iefJKKvo8iTDhX8yAbL1pFLSayV6HPbjjShiKl6PozoOMAFdoIx8cmtjMpilDPU5VNhzRt
l77sUqVEQkGwI32TXhtigL4hGx4a0YZRo56wTi8NnyMSJbC1OwH1TUFWhcm/aZpvxFlMLSfe2IhO
mtdRpaAPnbvFUvD07wCWGixRsV6ZJaShb9taXYw1z6jCceyJ1Uez1oobtFLV9iqtzQircmMTTcmC
brDryxE1bVtLP5UieAQAhLx6EoNUTMcAk+JT1B6RpRAXwpUEurpEqTBDc2FRfmgc7SMRgnafLJwI
TkWTnzEPgJ+lGbV9y/xUmRBsoUXI945ISRrD4WsTPXN7U+NejDOkOab6B7gp4JAuXFQyQc1lALhn
lOSle0EMkdenDqaDYyCWeoERK+vPSM/FeD11FhV0QdSq8YUkF0ZMs0F3JeRwQ3hXRTjtQHxLP6Wx
mlwkiWmiwhIZFohnkRxfgyn0uGFd+KIjaahcUcEWP5Q0oE9MCIDoRGEFyjRekDQiQY11bNhkc6WI
i0uD0YP1blzl0yoJvcs2jmN8hknwgPEvHCKmpkL+Vc47iYq8i4RYZb7gV2h8VVMXjy9UV/Oz2MT6
ORHqhKAV4d5w5HSaXKiV1fdaEeckn0Tq6yOOYSZvQrA+BVu4luus4XA4iPBPyKk1d4hx1P64kxA/
aZO6QU4w4+BdI4k7JgTdxJNSib9XhNcnlAhuG4Gwvs10cRYDskRirKimaOMnt7VTyg/rNRE4cHcW
7DbVpJssifCkBMRp3mVayn7KWhbdBK1QPgiqV8wUNyEvA5fanKeNkD/4sSBeibBnp3JsQugsyky5
zTTTuLOEBceXVFpYF3hGyN+wdPNneWaW97KskAytsbvwYCGwrI42mhkimJ25wNu0bM2krFR2rKIi
KzhSUMVeX5Hhz9lPkOsJLtaS3GinuV5pvOkNYmx56qBa6Wc3rZOBzdebWD5RSEN9EFvDma0RshiH
gdt8D+KN9AWRUwK1VscSmUxHeuVawGRHztpLHgodecpKYNd1IpXNjCE14bDjnYhOtp7GAmi1EanR
i3RRG50wa34SZ7p/GUthiGAcxejLCCelj+iY5KD7awzTwEWqY8TLFiwnuXAb+0l8hX+0ebZxJZQu
yzaeVhnIGCWGu4myUJXPzWCjfCZ7i44cHIgPIvHdZRol1WmRE/2TzjTI0gjuHUCwEvl4B5NVahmw
MbPNvMitpVBKuINKm8WZ7mr5RGhaaW6VTA3IMC6IEOUcZ2bzJqz1+rxqtHKmCwa6KfoiQBGSU0dB
xDgm35zOMtg/c7gG/iW6Ad9Cs5ZOykUjnq7NxnaaDSqqKiaRCwRp3ZGEitEkSZtPAiIOp0YquSex
3ConAgN96pZxNi7TRj7HiJ2cTeSH6PtbaNq4Si1NYCMZeGVExLJim37xAhWVIjjeZ01KwZaNDPCH
aUTkgSX85SehJpfBXa25HugUNhs0NYCfoYPlXyJ4Mqk0yjfkWCUijcg9lQD14XCBzK3f8ndxcZsp
dXNdYW1Jjdn/ZGXyZ8VhsdaE8MRTkaYiU2JbYYo8n0PBo6pcZ5IJgTgJDSE6lSVfPUPkfao667vW
hOGB+q82tgqxhTPVXiuup4yCdfIQZ8n6RneKs4UgnxFY5dMSGtVXoaYMIivCZwVkw6nYEiHXmJ5P
Y5gdHfvX3ljr5Bb5o1swushii5HJ1i51B0E3EK5NqA5jUFPueRIiz6SWwiM162IeyWE6Sln/Rx5l
MBI9lvoZylWBfGB9WcZxfZ4GycP/V9l6z/Od2LkN3c3Lm9tilTZ3K6y08x+E0e7brXzEB3Ktv/Oj
Q4H45w29Wz0phC+jIsy7O6BKFz4ta5PufVYG397S9n5/1UJgc8fF4+o/fygWpXBFM4DHiNsPxM4g
Cp391xD9QcrAuVUsFVgMn90Fn3TRa53w6+fb9eavf9N7AvsRHNDEy/LUW+a9PkCGE6JwDwzwSi88
a+OvXlDl92y5sgpg+Ke9YGjvAReJkED2vQDMhgu+oV6QJLEDEQzqBRnyjNU5F0q7V22BOng6FtBg
VU0DNEKHjOo+jJW31QvYIj3Xofm3Q0Ex3oO9QINWsnYPydh62gno3eFrZ8gGlKVdN721TpBVxunA
oaAqTAhTN3XAdoen7PWCDFcfwrfUcfTf1hiQQAQD2hk0EwABAtjjNE3pefthaj19fNN6z2V0GNcM
uO3nrfWCoojyc4jUv54KoJqAHpFrAW3TfZ73gv4ejWYZ118UlrvPm1sPFBzN/+EO+freoAIIs5CV
ACd6eNfPxgIOLKyb1ltdFbGLlnavZieI9SPieBkn/KoXFHBtHSBt1wlMsae9QAocgW5LATKyG3Zv
aG9kmqqDF0Tjvcpqp3Ui49sP4L/e828XRL1jIwAd5vPm1kVFhe8xcF0kWkT6w6AQBfq3+zxbESQQ
16i9ykihvbkIyWAvG/r4JthwbJgAf+4en5fcGwSiBv24k6h5cyuhrBDlD3183r6mo9Gn7FfCF2sA
2FmNRD2cx23//Is58A+Wix9Hr7HrBY/bQ5e3yn52NnvtB4fjxsvv90eN80e0ADlT9X7YiR7trv3X
mezP3kK5PQg8+fJwMNheZ//f9w/48tK9ax2e6vDHM2+V2unSbbZfNPvbvLI3HN3+G9jf7I399CzE
0sPI++tO/vNH7z6fvP+/afiZViMkC6jqg9tF9yjqW6RRoGRUDm/Yt8Osj/iG5MvwG9ry2A6871H6
zLVid8wY3HYURKn92BPE2i1Sw1sOw9Uy95ZF76QMP5AZO7TxySqwKztdHVrq5oxpdueAwS3vT/fv
ou/vgDkVm299sxALxYThVzml173H/rTZHZ6H3v90FeFw0m+ZjYIAdGjLZ/S45x3a6XpcQpWU7Wxo
w+ePttsbgPtYcXC7QeCFkZcd7nB7y7uD2eCmw0fvmdEiZ7FOwHVwy1HVf3mqZRLmDW324uXahDrb
EebLBXdWLP3mcIvbTu5C0MMfuq3n97aAy6iAmfC8my0yP8Pbntte2Fs9cBA4xvYytxGPssPHwx12
3SEj33KEVzi3s8xeukW2yvPemEZHRD1Gl3hL13Psfm6XTNMRZvjcYy+gONIb2TLJqyNMmLmXZd0/
IFS9Tpe07mAwdN50rUfU8g4tbd+nBJPy8IffH97z181an6Tdfyd2+pXS9eCmS7u/b+2D+qEdfbWq
3p3Zmzhzvf62Tvsdye0Y7c9WabbqrVQysLkjNT5f1d6yt43ReJcOP8adf4lS/9DSdgju6g2Dm0bM
w303tlGU9PoxMWhn6Qi7w9X2AhPbfz738Vw7QkjympTrwEF+7QdEJP1TjUwS8giL7HW6Qga+9yp3
mfKhr/JmRZm+CUr72TEB755OJ3Vo83du9Lh6d5692NtQOTvCi7z/W2m1ga90d4GXA7FTbjvCeeQD
vb/KslUvpNinv4d2/as84oFd8jG33cPA6NaUfW5u6O1+WqUbdrZey2zFR1gIf+rdSEr8COPvwWbf
QfalPzX3OduhPfLwd8aTA1/kg5ctsZbwesvKvuow+N5fl7745V3/LNP0o1b9Mv90qMT/7L/1k2vd
L5bByk7//B8AAAD//w==</cx:binary>
              </cx:geoCache>
            </cx:geography>
          </cx:layoutPr>
        </cx:series>
      </cx:plotAreaRegion>
    </cx:plotArea>
    <cx:legend pos="r" align="ctr" overlay="0">
      <cx:spPr>
        <a:noFill/>
        <a:ln>
          <a:noFill/>
        </a:ln>
      </cx:sp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chemeClr val="accent3">
                <a:lumMod val="50000"/>
              </a:schemeClr>
            </a:solidFill>
            <a:latin typeface="Calibri" panose="020F0502020204030204"/>
          </a:endParaRPr>
        </a:p>
      </cx:txPr>
    </cx:title>
    <cx:plotArea>
      <cx:plotAreaRegion>
        <cx:plotSurface>
          <cx:spPr>
            <a:noFill/>
            <a:ln>
              <a:noFill/>
            </a:ln>
          </cx:spPr>
        </cx:plotSurface>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_xlchart.v5.19</cx:f>
        <cx:nf>_xlchart.v5.18</cx:nf>
      </cx:strDim>
      <cx:numDim type="colorVal">
        <cx:f>_xlchart.v5.20</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regionMap" uniqueId="{B8912C6B-1245-4672-B8E0-91C001B9BE3D}">
          <cx:dataLabels>
            <cx:visibility seriesName="0" categoryName="0" value="1"/>
          </cx:dataLabels>
          <cx:dataId val="0"/>
          <cx:layoutPr>
            <cx:geography cultureLanguage="en-US" cultureRegion="US" attribution="Powered by Bing">
              <cx:geoCache provider="{E9337A44-BEBE-4D9F-B70C-5C5E7DAFC167}">
                <cx:binary>1Htrb9w4tu1faeTzVZpPkRxMD3AlVZXfceI4neSL4NhuPSlSJCVR+vVnV16T+GQytweDC3QQwHCp
KJFc3Guvvbb89/v4t/v+8c79EnU/+L/dx9+e1SHYv/36q7+vH/Wdf66be2e8+SM8vzf6V/PHH839
468P7m5phupXgjD79b6+c+ExPvvH3+Fu1aO5MPd3oTHDy+nRra8e/dQH/5NrP7z0y92Dboai8cE1
9wH/9uzq3bNfHofQhPX1ah9/e/bd9We//Pr0Lv/rib/0MKkwPcBYRp4rqgijlKCP/+izX3ozVJ8v
J4I/T+EKTzFTH/+lX559dadh/NXj8ss747ovn/5oRh/nc/fw4B69h8V8/PntyO/m/2l592YawnHH
Kti8357dDk14fPjlJtyFR//sl8ab/NMXcnNcxO3Nx1X/+v2e/+PvTz6AfXjyyTewPN20f3fpf6Hy
4tXP9uBPokIBFZnKlKafdl19jwom6DnnEmOKvzz0Exwv3GNlhi+f/b+D8WXcEyiOa/oLQvH7//3Z
DvxJKMRzBvvMhRSfoBA/giJlEjH8MYCeIPL7na+BHsJ/gsq3Y58gc1ziXxCZ/cV/Dxkin3PFOU7x
5xh5EiSSPGdSUEYk/Uptn2jzU6zse+Oah7ufTejHzPV14BNMjov7C2Ly+upnW/DnooXy55IRpZCU
n/acfB8tMn1OGSUsZekPMXn9OAyQJR4ffzalH6PyzdAnuBwX+BfE5fS/GCsMPceE4VSyT9uOnuKi
nmMG6YZL/jXhfBsrp33fDKaB3PuvhcePYfnnyCeoHJf3F0Tl99Of7cGfixbGnqdUKU5T9HXXvxVf
Uj0XlADHqR8z2O+NvzeDb/6DhP/N0Ce4HBf4F8Tl9vV/DxeqnlNChUgJ/yGLYYyfp0ISQtIncvg2
3NU/m8ePY+TTqCc4HBf0F8Qh/y9qLyqeE87SVGH1CQfQVt/GB8bqeYoFEZh91gBf9v5Ths/v+uYP
44bmP0jy3459gsxxiX9BZE6LL7vzo7rgTzMXlQoJyCmfmEs+RQaoDWhLSMS/PPUTJqcPd7X58tGP
JvLjEPk87AkSxyX9BZHIX/xsA/4cElQ+V0pyjtjnAv5pjCD+nDMhaQqV/bcpPTegf+8e/gMs/jny
CRzHdf0F4bh682VnfnQe/yQckDp4yhinn1P6/wqMFAKDUyk+K2SA61tUrh7nu/+kJvky7gkix6X9
BRD5+RS/lZzfffNPel2Q1jmCSp5R8bX4+DadKPUc4WOgqM9eF/semycu1L+e1o8p7Mnw71by/8ni
+tf211ePsLgLd7uP5uI3DtjPr35cLpidT4b+pFT4fOn04bdnlKUERNRX0/J4k+8i4ltJ9c2Axzsf
fnuWYASgcSg3JUoxJ5QBZsvjp0uYPUcpAv2MEVPgz4BzMxgX6o+uJ8JYYCkgO3kzHT8DsXE8FRRx
LMDtwYR/dXGvTb+CrfZ1Fz7//ssw6WvTDMH/9kzCc+2nrx0nCTNiilJEGUrBgVBg5MH1+7tXYAXB
t/H/MaNparPK9VINW7J1uVzsuu51uqg3WjN62sXYbflcVfbcc+Yf8Lo2h9ik8XodB3fixsWcE2vi
dTtNaqcbHF/V68qvtcUe0cz0sSlll9EFTfN2onXKyuVVItY4jPmkZqnYbV1Gpe3JpEmbpdUyj3WG
+jJ5oTSb9ZlxrfMqJxgb+Qe1Ym2mkyXlKM6nlZhwU56WIibtmRJynG/sDJt8kwxGkJ1lNWG7ql3c
dg57yegL2ZUxR/DYOqssSrNKk2rMKrat4ZXTTOfT0jdXpdb1YRRko/kypOXrQZP69RYMPYFFmaLf
puTDUuvmtWyZG3Or6/ZlNPwqRDeebryp9rUppzuFUZM5r8s2azrX5Clqaa7MvPYiV3ETZDhrq7nh
osq2bolktyxoHs+J2PSA83aQ8aquujk5jYtZ1qLrkmq9SVY8bahAVddW+5JZTsSBNLGeDnOJTBhP
MKpK3PSZ7uaxi6/SHjXu0kZvBkBBc0L0DIUVHPPPMfjdmbo3dnVNVX9uDnz99R+vjYb/H8f888Nj
b+Gfv11+aUr89FuHR3PUX/7pl46z+Xqvfxrkxyj8OtUncf2pjfEvgv6nF79jhO/47wvRHmOHHGP4
J3zwfS/gEwt/HfeZFtL0uRKUphDIYKFjiMIvtADlwnOOCThUinIoLiQk6M+sIDDkbiYgAZCP4f+F
GTBILEo4KF0MpYaCeuPPMAMF3fUNMxyfCPa9SjElIgWXn8AEvmWGHrduwEvHHyUuA8Q2scwmfY7s
3GxvOJ9sd8cSx/1+GFe/siKQyOuYJ6ZEH6rBsSHJDYmdOFM1X6eiU8kwnixK9/6y59oma2a6yO0H
3oU2miJJ0x4CpBKC4UcRzTq96uso+jspuS3vqaZjelWlzWhppnHjYSpw/J1+UWMUlqGoeu46m5mF
a32BxTrClCut8XpONB3aPxI/GxjzDaQ/oE+g5u/2SCHoSSkQUupY/RF0ZNdv2FNg3Ux1WsvHcjFD
O54EzXp20rPZO3Gy+So0S741Fsq/HpUNKfc/fzwGO+z75wtBwXphVFJACibz/fO3lkqforR5aHFH
uyYHkuK0zpQiydjuXVwqFwpXh4rVWcKSzQ7XC6OrJzlmW7rQs5DWg+8yY0bq8JXicoRr/2aSIBW/
maQAwFSqmCRHc0ilYIR/P8kBhbpso1X3qCU8fc+om5MbknacJ5mjuiIn8yLnQedIM0dEJlzvRZf1
G8I+D3SI4raF9JHc/Jt5fYLnm+THEZECXGDoKVLBJDSyvp8ZQiMkiqb2B7cRVPsd4XFGpJigiJnM
H34bhExz4yu7eJXpcqtxmgVeBazP4SBDwq5y09kQ6QVhcWjRtS55VZmTdVxGbq7K2HQ4rnlJoifv
/Djqsdq5lrBh3Ol+2kjIkUGp14V0HDX9BY3Y0PRaraIS475L5ZzQF+Wg8Rgvu6qeFYTRNKcNVhlq
Ab6TcUtFo4s+aa0bir6fuXK5SGBYnXV6EfCj6o0kY5aunUjfE+Xq6bT7uJuQwkjLc5XENdG7ZSaJ
Tk4MkbK/GsgE240h4iZxRX3P4QZJS0aKMrttCHBDVuKtyTofNN6ywTs1NEVqRd9OmWkwhWmkY0jh
+ShGgFtBqktuIFQX2N9tlKMr92Kc6XgqUNKlkKylgUfqLrZ0PkMLKZsq76P2vjn0cezb/paaqVX0
Kl2DYva0TVFC5jPuZwcndm1oty2ZWlZPx6LuJq3mV0sbBR101tZBmjJPJlMtSGcjBUYh12pUViy7
akwZH1/zVc2beY3QqmEjS9whkl6Z4BeTvm5AKrCqgHMOXLCv3Yhxm2ssvftjFWT08oyncSHvMY9r
kFdML6V9OSjVdmTXDj5BfWYRSmPIQfTJkewGswK2BeT8za0ZSqI1cz7CcecyX9laLhed8sFvmevb
pTkbEiVdksemRv7AUB+WDynS3VoXJSvtMGRaDNq9HcZRJlMmcSpg9zftjqiNg1VVeiF1I4AQhrpP
yZSXfMKAvGasBIDWIUj48elo9A3koveD6LsUHZxqm8lms0OpxiBlKiNgGqTrSLZ0yaxeu+CMvLGD
Svq9bnjFs7qqlhu+Nrwt1mYpDw2b6UmD6HaqXZxPJleZV8KlJI+K11eiCT3KRza71yUc6hNWceMz
iL76Q+ts/7ZCjSmiwmWfyZ6GA1ZY5AsZ+Lm06L3pIByHxaYX6dLYQrC6BnRR4vatiGzXmmZ6sbV9
QDs4uWEnV0R7OLGpvq/tdEMws+eOJdW5nn3Ycc9iPnlWncxmUkWtFvlS2HrMu8Y2D40fy6KvbZWt
bBgKXqrxTG5E79dyKF02WM7g1nIdctYOYr/ALU9lstYfXDTTgax1+TCqrj90EfdbtqqW7+sWmRsL
VceW9RUafZZQU90ucZN3fTLwTNFJv14kaXaIBHTGkKqbzCQJvWCBb3sXPHSoWlG+RAlvQlYHqh6w
rticCWzxq5m0dbO365DssNfhlZ9ZOD1SQeHXOJ1R79Yu43qReSlUWcu3zUzUegq5brr3hLV4ZyYb
XF41ul6zGToyjzJwoYukTNyZVtzwguEAynemXc65NufcBzzmpazNHWq9vYiCoXOf4uMJLXljM1bN
y1l0U7xEoptPpTbJWdPRmhQS2O8BLwsdsm2TuM4CaI13ix2XxzFJYk4avN153xqSqdKCpNg2Dye3
7m2fJdi4qbDb0sWzdKrGKkPYNlcrFkDE2sZ8XmhPz6Az3tszF0e3J3Yi57zXMWspf8OX9R5NZXnF
MITP7KdQaDGCdq+inkXBV0N3TIThytbMvVttnPctIlOofDZ1Xey6XDQVt1kyUXY3T6PJKOmHg4kL
zQjS4WXEQ/fS12vo8i6E6nas1/Gti1aTbIxTzEvsbJu1MD+aYZmWHQRerLecRblcK+LrPh+2ub1r
td2ypEL6DbTAxsxCrfNSGSZPLXEynxwqz1gzsDsv03jRbtjNmTVsgoeWISunZMzXaqouUpmYJutx
p+5cAg5EIUc7thlv/XidLmm3B6JP01w1mzgJ2NTX1uhxR5fa3RIz2MM8RXxo7ZzeOVreLu3W3m6j
3uRhtGzN2lFXjytsyKEOYpp2hqP1JjjFy8yxcT3HXRUyVM/zaao6C2UWlMVZJby6VUNQH2i09HXr
SvNh3ubtcYIDXszCkEtWtvSAIFMUYxzDjaYmyfgyzBeJ8937DZnhQHtcrvkwbeyqXhGDXBaBkVDb
yASydpeeCMTK3PqhPXR8crd+JRTmP5MzjAa6b1Pq3/W2HK/VULsTvPbqRmuoHSvfjrsogHKzdtDN
1cBQOHMTW64HX7rXTkp2T7sZyIGM63zFVg3BM9LlBaZhOo9OLKfNEqnJzCSHQ5lqVtRjCqprAc47
3RJXXpRl7V5uRNa3Enj73bjJ8BoSfnUCwSYuN5yEa0j1zb5XJb9olh7TPGjVF3JbBwrn3Q37rUrM
ddfJ+rqKxo65sj3au6Ud39kwsSor+bZdOMWm86ZcuqxKtHld0U1p4Gwdd1R08gSbWOWz3dgLOVf0
UE8ueUhKIh26WDnbGpWvOmIiCzFZLeVFx+kswg7Bi1d9yHply4slsdW1mnB/lbB1eNMHdwdjqsyH
Br/xGhRMO4n2KqrWpxm3uDlTxpL3U1JOS97XC7pcZzHdNmSex0NNespyVWNxzkrj5F4hPagzXUtb
mOjZls26XgqpNi2ydgtqzjQthyuTeITP12QUsNcpWoK7GNW89HscHV5OBzbqFzSy5KUYVGPzNLra
7Gpl3au2ama9c71Z63PddKYpEjfw9bCWJU4OYvZ+e7XKwU314Sg9UKHGCAZ2B7tmlqo767hMXZ9j
Acol53oq58uun1qf0wlXrxexmTU3qE8vhrCUuFgwSMTzkPI0vOFNvUkHPOJs4CkIp2pIqvJkDqk4
4ySioX290bUkc7bGEanpjADZoVPJ6nk9jP06uKKePZ9uVALuQLaQqlcuc0lZ9V2eMBVvGpqoNCM1
61+aFSfbYUnp2uZIjARdLKqNQ07ciMSl6IFOC7OOW2GGrTlrSQD/AovuLCRr9O2Lfk1StVHY/gFF
XWBEwG/ostUSrl+EwFoZijVt055kw+QNxIPcPBg+eCV6x/DU1xddbds004ONW76FOA4Z1et2k4qp
7U6GhnGzqxa+XHYNlM5FG5t4QiuGZZFKVIvMp63Dp13lbJfZiYs1I0tcX6eBhKuEqyhy3ZbMZ4J1
1OXrWqVvsE3cw6xAmlBnV3IwpsR0V801mUgOEq5OTB58Mvl0yUSdvloTZgQIs0muTZ8Dkwb4gkFJ
E5t7IKFRprva9jbj1Yij2nVaYFHvLAEviF/iZE6n21YOujxpR8nuqnl+v211dVvV9n2lLG8zKBP0
zbKIdlfK0h0QJA8EJJG6m1SK7bxfSX/laDPt59qp3I52s5lIKbKZ1lzfuKFPC+fSNZtkw4Bf56Dv
Q1Vue2H6PhurWF7aDvJKjqNfxmKDZMOula/pjeDOuaKZZQnCr4YDk8WqWR6wsd1LOw5e7rwQ1QW4
RuZmGn2odlOs5vI0HXQlskRHdapNOxZkGPt9N5b8ZugQ3qlQm/Ou5Mkl6SIDXzCdc1N5lHcKyqKC
kHK+GyYxHbZISJ8hAUm4QGoe/c7i1Fz5Ti7h1LqlzJRfUMzHrmpzlvrZZgrrEhwFnQzTqU9hcbvV
JPhmK+HlqZL4fjy0ST0XDoJyyba1c1eQ5SH5N2nXF00L+gKmUL6CrNPsJ6HSfBps/aZtKvz+6Cbu
Y4fVwSCl98KK9jppkctnndZv0aBv+xZBJQWF216Qsn1nFhJMxqkx7ygq3dlEaBmz0sVW5k0/sbPS
Elh0hco9a+Kcw7tI9EULZcnZvODmvqupeN+VFX7bYbpczHigBbejOaVrtb4xoifdkdOizWiLxsu0
LCnoViDH4yFk96zTUIitgz5m7Uj8BzPLpNn1adNAhtJQspwOfGhM7l0TQxH6zUAhIJYW57QHHsnS
pGn5ZW89+VDXdegy0sMcsrYXtcw7uG8+pCmciXq1/FSnExEFlPBz70BrddWZtib8bqFqq/POgrn8
HhLv4jKVyGU+SUKXFsG2yUkzcnKbtqze423upqxZE/uC89h+mGZpIT1A5bk3U0mGzJScXngu3bld
N9xnrgJJcxH9ZD90JMQm98yBsG3mPt6HsEKsQFBCnTZZTtnDvCi4qNp53g3tTM+WcaxKSK5xAzEv
+PzIqJrLvRZ1OGcr1G9ZAnIkFH05JnyXjLqtcrTN/E3wff9O2Dnmnae+6FEyoqtpEfgmQJWn9mUA
DZelYan7wwKi6gzYb1h2cazrFqScAunpNp+YK1ovOMmnko5jtmrE7c7Zeaiy0Vs4RDmrwTJm3byv
5tSOSnd524FIc7tjGTvn5To2BDQ1Hcrt7eCnoXtBDF58AVVF2QGlqdRsNnd4qvr1kCDSDuxFOtFS
Zh0eG3rXIyGSIZ8TGdtyDy8edBFddrVJjcqh2o7MZtNWaz/lAhIuX4saQ97qsylAll+LYV5L3Z2v
sgRLJ/cTFGD2up/BxqRZ9NWkpr2b7Ni8raqOmapYIFTEDPRN6eCyOY4mDfsKtNpwOtVTov/wo48z
39Vd1+hhx8cVdzclIomYDzZpmzAUbmUJaqGHYDvAgSXGN1ObTdOwxDmLDpb/qBMlEOyjb4e1ULaO
/C2HEre+GSOc1veJTcE/CL0CmyEhuIz2HN4IQFAJc+BxqIQhDjfxULESxfQgdLJBvI3Yq+bdZJc6
qbNBLuuWQGVbtksKKQLoOLyZajAU5EUAQRmvUKvQyvKp8tPYHbYGEUALUl5r2g9UTsOsC96HaR3O
6QTL2zJ4aZwQn6fcU13e0MBtk+5SM9YNPUPTNK6mLGgTQONA7VCNe2tlC3ycBFN0vK8uSQ1VQ1Za
BYy5qgZElGSHJgi9rnZfs5nQsckHUCP9Ao2OIbKm39llYUaBdzAYebGB9JO7MunTcs7CXCo7ZZiN
iu3EulF2cMTpN1ZO/W2yGR8yYsCQztgEsbPDaa0f0NCBypo4ql23M6lXdTE7MoiYbWQML8FEnNZd
G7w9U001X3PE5xM6Ts2FQSXNO5JOly20jPTOUh1Ow6zQgYKLfNOquIjTESScyOhgV5bFYemGgwuI
5CFKuwzZjObuwW6o7IBamS6zFPLoVAS6ra98kywRBELS70CBQoVYtpbzg0tZ0EWpZfyQbGVcbYar
ZcSvZNd0vIC/jxjuHVLCZb6doTSAltcM1Yhrcb0DOeH8yVTzbn6oknh0XEBRkyHfurrag3c7l8le
T1iq24mMashLxIzZsRX5E+yNeNfPPQPDUpSkMjkYig2HClWs/krLFE0FQXwKb/22uArAsaWu8wGr
cQaBhMk5Y2BuXVVQeeuMjaDDL6OdWMwW2omd6NL+LKm8yfw28dxZOV9ZvY45WSdfyIGrMRNJqA8b
WgEYEasko1GOJ6PtxzafwDD7sLWzg7NRqpdTggysc7P7FFto4wHYBVOlVLt2Mstj0h5FQdfa6iIB
Gvbvobhc6pei1e6ouihpTkDBpGeOCd58AIqk64HOrH1lFlpeRp1UD5XDsPNy2eJJKMsJnJFta2Jm
G7Tcysin68X1NSwBrO0xW4Q2wKZC11nsuHqFwT4UhWrNcorBtGiKhVbN7wtl0FvgnWcnA2vbfFwc
vxnLyuwDGdDb1HmcKRG3onb9dsOo39aMSb5eQZ+FNAWZ/BygQhmsz1QzK+gdps4AzQ9b9FlVLhGm
q/o6WxxUw7kdxEr25PjiUIYoNBuKaqYzUG+iS3BhghXllNHKQ6eyGlZ/SSc7XVQEz7JAvLJi34be
vl6iCHi/hgFWqbtUvGeullUG3UT2YkyOitdLJocMNPXaZGlXqiUburGpC0jo7QK20LxcbxocgGxL
rU133by1a0GRbnbbGGFMxbk/rSLStpip/WPx9bAjpY/5Evj6TgBbzOcxDM4W/TjLV567MMHjOB+h
IGjABdLEXNK+JOey7jvxQSXlqjOHS3WeJDX5sPZNdxYT66+p9m2OG0nuxiFMw27wQq15w30LfvPC
mrWYlrX1We9kKHdT3cge+NfR/rzFZOX7kC78TVLWNl6Bc9VRMAOMXrPeavyuUUO1ZtBbdVemVB7t
xMJXKAoUcZAyS8T1TuO2ft3x6JYc8iaoOtDnRU3dKI/7lr5Y6AI2NCWmvJK9pm/H1eEqm6f+HfXa
vHXBmAz+/AG8xwBhI1U1w5Hv3bsqWVAF2iomeQLK49JNm849+C7vh2pKTl0LQV24phMvwhTMWeCj
zqEi7y7AFxAnSYnkG3CMGwHHoEo/WGgZ7yJD/tXsVnLaeRNI3s5yOao1pE+5GsDiEd7LE0/rIS02
lYBw0o2Kh4GTuX8FHbSmcGBuFQ6OOstHyqcdyBd8Pqym3ut2wW/rco1vVRlwZv2Eimrj3U7LvvwD
WmKoYJyFWwly/4BZiT+Yau7eIhjCsyTCxhGavIVOt7yMY9Ic7Bwg6uR0Z7QJ13ZCa5nJYBCGONiu
VZV0oGgw0wfIB26AMsPTAt5VOAcXLblYRuJ+b8HsKGSEQgVeJBi2LNbYvElkz27amkJDnYGrf2rt
gLnJ2qXvKL1fJ3D/3a6z4Ae5D5CgOj0XStJyFW+hojXavnLMG8ZfhLYegeW9lGqENtYIPdE6A1Zv
9Qi9htZS84Ktq1frYSExQmOBGhRDfYqmWrfbqSzbNdyWTVz4PR+Y6U5aI3VgeckcCkkhZ84WB+TV
qfS90DoJp63CTYqKOYx4A9ko0drkrksdiqfTGsHFzFLocu4ZGxb5Ph2GAKQy2q6PPfAYrxEvQOcN
GlzSNa2q3TiyysynsQMZ3+7jCv1RCBp4E4PxbJ1rax7RmKzCFynY+qLaebusXV1nW1N10Liz0MqH
5gacwRHaIFVbbWh8OVMZoIRpaEyde2PkUs5tsWxcQt1HUtrE9qptjZ9M4Rf4yy28Q5ZOfvwwdduM
1wzuYps1XwwDSZZttgZmOCmhx9mqHBzr40pYWiHVH+oqzmL8fUqqjfDs+BYHXIP3lEQaz5PgoWA+
b1df9mkekZJi/je9ze9bq9A1FNDQhNYhNObgZSd0bLZ/21oFq0wGVFfDozb22NCANyUslD2UD84z
KE9rNrk8zCgmJK+bFlp0/2YC8IrN921LeAErhT+YgvfeoUsITaHvJ9DwlQheNeKh+zQBDecEzp/u
VA8nLjHQF8t+3pE8NkL/2Y5kAlH6P9ydyXLdyLWunwgnkEhkAphit+wpkqKaCUIqldH3fT79+UDK
domypah7BzfielAMUVsbQCKbtf7OEndDIDcX40bg/3jFJUktJ+mk9U1b3cZDxuaFByx8d+DJq26g
zs2VHQ2vCo5Xm+H96xX+KgL6cahfrusGLgehQoXky7fXbca19mpL+t/iFXZeU3g1Rf8xcWnN4nCG
A0rvqggPKixDUiM2/81jBz899vaOIYgDVyFW997ww7GaUsteEvnN8gqvlTs121p9QXLAgqxN6hW3
KRi/uJF5u46PeW/bJglxsxUMyq9fwI+vnIFQDi8cxyKAG6Mh37yAQad2tuZV9EcUmEp1p7ptymg9
WFG5bTKr322bzK8v+fPDI7HEZqR8O7BR9Nk/vvPES6IiW+3um6tn9BDHVWgj8qPqZsioQ+pH0HHd
yKi3FF+smc+1vU5dcJjS2m7m30wE8UbzwQAE9uZ7guaRCE/8N3cTByZTQTNYX5O0o0c6s5tu0oFy
qRO8ruOcucbdpSXIeRMugSO5K5XayfhYNjoDe7dAoh+DMilpzmHAO+ehnNKq//rrMdtW3l/XCT5H
9gPb3RRwgtXydmuYIxDp1ixfFwhIJoE95jaDZcO4QE0vnaQHbJx8o6uBWevtR9rE498dLAGT6gK3
6cB3pYsI5MdXB5PbD2uv669VoSzULhk6D0joabXpo69kpFDI0C53+ZcyUxXak64pO6HOvpVZgKVt
gi5l08isCf+qSk0xXblLDtvyOwHG2zmG/0Bqz9msILxh/VbmsMgZFrgy8msfORquf+vXihFGYUib
aje3a8vNWV458XeAvmW97v3crNbj3DTRRR9AQ8e70tBdXJUJ9V8UVoGto2FHX2gVD7oMYsomRwYL
p5VjZauoLm0TFHxrDtkACPLr9y9+VJSwU2naLB1oG8Mr8n31ZsdgZlbtVE3NZw8aEia7sWH025Be
g5pzJ4y36R+oJzYVRQEex9+hTmQ7aUS0cd3LPEjdHsdZ/n5Bu293cQ5ZZFsqEIJDg43kzbSAEUTz
l9TN56ZjFcGcgWq6N45I5Hol+3FlOALANPNcUg2sXjgm3dwmOzb8WT/ErYmsMxVaZp67DYq+9VO9
SakWtJBFcMpHtb2eugfSAm/f4K2Hpsty82wKncPr2EWxyXtSRp8XVFdBwi8lqj7z7JfLwruTirIo
opW048HfN2AT/RHUfXt3OSgwUqz25fKBH1vrHPr1kvEVNdoN7jxFWslrHRpV5l+WXldtcwymTkz0
XLUZrrsuhw8virJzqJTjqFzOsYsM6VPlV5H7TEsvmGSeH6PImlDfIOb69dx4u4Uz+h7wFiWD62kl
34qNqCKrWMB9fTai7OkfFsf2aPrmOquLCzm2MxvFr6/4djdyPPYiB2IW/R5n99sr9p3dJ3Mp50+S
5pzJOI/utv05aJiYfnpq0TxBXoKXwMmMQx/feK8SjV/fBrrfH3dF6WlNRYIZzLEdF1Lkx+3ISOgD
+J3yuXSrcpDhUI/K+hOwqWU3Smh1xaGLvDq9n3o/ZsdpElXHh9gfnKkOfc+bCyAi9LBXReTrx0V2
hb+G/Sz09DD4lp3uWmWW+opJBBaeQaVujH6kxbbYqXynh3pKqC4uoiwftpU/YT64w5vmNWso804u
0+nXTyze7Gu+5ICi3OCpeVqJevLHJ851lFRz23vvp7FC1XuA1HCQ+01mm7cuRZZ7TsQMUwOyEGxY
bDy8aAAtmodtVYwZOqPHaNHblHbaFM3MOW1okdgiWwOFeGyLqaH0NmrNWXXRXG7qQ7H6JavTEy3L
6NeP5LzZ2XwqIIRyyOAUb1AI+03R2aJXMnVWOe/9IZGsraGJtxsYLDluS/dlHWOwWbm3KFm2Jc5e
uW0pXdNy0FiJQPAoFrX9qm7zPv9SBJnnnuGMt3FoV9iB26hd+FSayO0R17jU/TG3vE4eG7+bZL9b
OS943N882psqk0cLBBpzwVKxlUu99+PbGiBYvGKs1/eSnpThH7qWqWUKk9Z/DLafwwOsQ92aZ5TR
2/lYWrXghSy6LOL1YEothvgYSGuc31OldgwHzJlk9snJsJtUqRUwxdy5aLbdbWTbPKcObQF4IhUJ
F0yHyOZPqFEFQ4FUhqEYBg+4dafgaFkSSeBk/Ol1fLatMP/y60F4s0Z9ygWqK89RPgJd+6dSV8zG
1aturaep9Gp2h9fy1kn8Zcp3aHDpd35z+G8mhb8WS9slXUlhb3MsoVN7K1G1s5oSslm8p34UzBAo
jIEJxdnP+LhZ49bqEM0WbHqoC4n67VxMUUXJwqbHKM3dUgz3nu5ppuE/XJ/NgAU5PUCR8yngPhb+
sFQcVN9fW9zOFUO5FH7FWmEVba8jzpftRQD2bw1tsGbI82xAB+5EwQqY51zDvP5OnYuV4aeH3w4B
NgmB9fLnjopysEcwAy8MkK6LKBzGXDa7aLaj7BbllduthzbpdOOHgeMEWRJ2XZu2l3YxykWFKPtb
66qLS8u9Aa/1JLAjCok/ECvZ5zkaXb3PvaouvrlZYbqHstYlITwQWPOdOwkbNNLPqkA1KNyk24/H
eVYgt12L4aEOdWmX4lranQj2QPgBkv9lGLsorEFuTRYm1dQhSYuXfGIxTKab1yJcLJW52TFwxOg+
6mJYXairRYzzeGqCORER9VsUA7QnyCqLnWeK2RgEwEzFBhhiBbaEg8r0cQq8GNKxtBbzNOvaSZ9H
t4hhI9zBEbuV/rReMWMMfbAPUmfOdzF8xJk2edi3tT2bqyiobPskZpE4x9jq/cQ+NHlduu9XNcW5
9T4AilmeFrSxw43VD5X1wInhjd9Up3X33nhTXNXIk2qR9O9wQxT5KUrRgR8NgqayDoO8lk6y8+DT
Wv+rKCHSvyX4TKZlz1RZ2z+DccAvscuLuRcZMHPVKn9PH6AKfYpKyMlbtIJWnp+g2GCHkz8Tv5ID
o7wI6XfujZH1xJRGJdU3yTuc74O2D1XlNo13MQZRmhTXlVpyBLvZFA/zdD2rKE5TPBflPKqHqIJ7
udjYzdg/Mle0RIYwmY1vKno/nQMENq4GtUqiDtD2Yo57K0lPc1py2kCHw9Gs+6lJR/WxtkYIogsm
x2xFuxmkFSX22FB1BeGwSn/Rd4XjefwYXn9ppWnB39mBdLkcvI3bfjVjGzjTZaY7GMazWCzL83Zr
pvLRO6FMFmURKnfazkXUuymPE0vFofJliVZM/7tMJYGK79a5mRvvPosssLqjl0vLaS7ycQ386U6j
lUuDsA2Crar2ukEl+bMXR5FlYC+KnpGy1pYt+4Zdu03UlSWjziuuRdqmorjPshli4YAmd+7jwz8l
wtLZbmmdQC6dgx0na9rubTQLnb+vBoSN1Ucnhm1qQT6LAOIl9tt219EHM7KOP6acIDt4qu1LuH9K
lrBtg62md5Oep981Cdy6PmbJvI2YLIacH3WfDNZjVXrblu9OQ+xjyJmHmglg4Ov0aQi6ks81r4+a
ILdk+Npsw6w4S/qIqxWJoMmsQMR5L2JzGqkPoli2ca7cIAO8s0ar41VYFZIs90/UIgEdR5emVFq7
2Rer1+5SP1GjxRt0x3Z8HrJqTCvGy0pMjfbKuGK58TNvu+WUN90gjmFmcQXJX7VfI2vZJpjurO3N
w3LyuyJAujjsp4mIDcQAg9/O3MNENgPP+P15uk7K9ivWhITfKbTH+jFXbhTInTsHAEBh46Fztw/f
Z09k+g199TJrezgo8JfBGJk13e57jRsos+nOHdmr/EZiOLIevw+19frxfw7y6+dACpz8xnOQkHk7
UaHa+Jqnukm7U1rJlYduHUP2GXoLmB/7kQY8roNQvb6o2gDOgpQOK1riCxi0FVBW5GigNIaxsWaU
Jqcs+IjTgLF1gP0ymoIwt9et6I2xQPFLwFa7he54GcG6YQWxr70+U+Kk9Gi7pq70LM6A1Vt3br++
2tfpgUKzYHw0DAo/lFdsD7/oNWGexgJ6j0LCTTS/XGvUVMl7Y6WIh9BxJ3Ib3teJZMZ15C55yO1b
RNpBDdKbeZLZ1Q/JduuvA2qZ2fCHupC16x0sW1V5dgEk6y3NKd4QLfswpzB30/WryL7pZ95vOiFN
/yp0XDF9kFaU28N3E8XuXY9LY/tCZ9p+uFPs86Oo7G05lEZt91+NOk7m92MRF3F6rGKMCI9JK0Us
z3m/emK4kq9zJc36YPBO34ccDUbH7SyvanxOgJqLZ02ac85PAgWj/Z7KLfOnfdNaQ5Xu7D6OuLjK
ElQKKFUasM0CwADI5lWP7tXQWzgyOF/5Xb6OOvOPOcXisl7KoC+W+jy4tV2WuyJwi3IKoz6mz0co
PvL5BN0GPygaVXFbtiP/XXFF6M/KngVQUYvrqbid0F4ACsxdxtVFAmL/rKtooQuIVrPNffQlesPv
JYwHSvQuKUb/UJQcseVhsSo4K6gdjqrlEyr/jP0Gz0Wd5+fvxhvIwKTLjmNS0O/+sbo9KXfnJksY
jpN8WTNt7ReMeo8wMzLPMvHreXiPgjSZ9Rn5zvboSxD3DJFELpfzRHk89+qgjb0J+QfINP5OLM02
a8Crtin+ip/6fT7zr8XobM87pKnDj44JzufbFCjUCtPCgCsHrpNXQQhkseryRkLG8QmNUoNJPamx
B1F7BVmMUAXmjbHCwuFcxFFr+A7zCr1FtOWghq1yc/BSXBS0vmVJ71TthgJgQl3Bg27raXDnFLtS
nPsDW6XUEXzdbQ+VwzDT622DN6Zygwqc0c9xLWUFHCHE01rwlJ9myrPIupyjvuvS20BmG0iJPYTt
x8sjqREmAGOt0WGJMlT4Rz03quj3QBdCu+jjaXA/u7EUtOQchhuqbyzX8FTo27Zjo1TRNuaoIwST
73UkswFh1q1M7RSDCnxLGXnvcjPO1mNHMQ2qYJDy6M/st8wva24MI5C59vYMmDQsNn/ayw2lKtCN
bFhAUNZz81kHa9KKr+5S6OJW67ZZ0Yw5aDGsfyAPzpYIEimQhQr7Avzb2vmF8LpnEMk5H57suM3i
GD/HKpPlYfaobdpvwZROLXajCIMKHg4MQ2WwsxzT58/GHR23DkdOB3Q1A5ZaakrPU+h1R2Z5mQXO
buKXKHNCb8bDt+y/P8nru2wb1N4Ktb/cLEPRi6fnu+koQGHJrKP63xZv2pfbJ9COMmZR9uIcUsK2
+AQSt+2DkQSdKA907hu3kRZRw1KOqRajWzOsojkgZNvoPu5q+5vvU/a7mUh521+94uHbdmrFu25Z
O9h64XS2fz8mXjzX4WxXoOfuaqLAuZjbalvlsWU2OLDHUccPl7JsuMB6w/x2bfiHW3DL7c7zFx9M
8Hoh1QUcaRCmvOzXjq1KM+NtcnBEGu/y1w0Lne/2za0vNjDaKtoNhOw73bnuvozLto5CZN+IlMZX
JmuY8TtOl6kTb2Vc4i5cw5uK7bbGlwVn1TnnCMLtF7dO42yGzD2KqG1OepFx8jRUSQ/beEiyYjNU
vQ4IOPC26eW+3lxYbi+s7CpxZOH5vwG+3jT0YDnsD8xgdBBwdT/ByskAhwBe7Twmda25ay+OF1bD
XLPNtpa7raDilTOb0na791/30huO+hcWYLs89BzazNdwvbc4KzaS2pp7D6jqdWvMwIC38YfdKUha
+5dz9z8QZG+AJlaTjRGCawFZ8V+9tfV/sXnOft4iihHVP+eInS91vWubyHXvvADOih1ZJxs9OaYZ
b7hGrsg6+b45/vpefoQQlG0zf3wBJ6k9SfaTdH68l2iSDvBtFj9uzKn+nCqx1eNoCjx5MDWl8+/G
+ecLYpEEONB+4AAuBm9wxTzpbFGUdvTwKrSLc078C+/FTvh9Zf/6AcUG2/37xW5PCHZrKw8jgYNb
/y2QuRSZG1dDoR++7xgzuniW0opYXanj4vY+DpwmMt27cUa/vi/HatvPX2ylVm9czqPf3NGPM507
opXyAw4v3Chw829psTWwrdlbZftQvC6qmbqONb6MaE/aY+pPKa8AQnplZQaSw4HSwkq2G0Gk0I7k
J7R09keFa0VxlGOxW7FHNi0fB5iMxG26SvrJ3fzKZzWv2+yvH+Lta+TFuTapETAm5IL5b1lWzt12
cBZruk36fNuZzEsh1PSqGt+tlj+65OD9as38p+spwizs7X9a6zfgrLdQjTi+Pd5+P/aWOEGvbNfs
rDVewjT+W9CasoH8BekaLAx8xkQIvqFdJHYKUU1pxnGzWU0pkre34eUF66Lq2+3A+PUD/rj/gM8G
0E8uKxDnvgui+QbPRCy6pB3im7NXWV2udihIPPlZdyyY3y3Bny/Fq0OEQC4inb739tnKyCnXMdbx
+bUUmRToCPPIaTch+MtT/a00h/8WwvDXDIb/q8iH/3dpDj/kDv01zUGCEjKF/zXDf8p3+Utu57+z
HL7/q+9pDj5xe1QEQNtE9/Bl3wNeAvt/JBs2MX2+8LYgBUD/71EOkpQl9vPtvW65vGJjMrGNv+S8
uP/DEUeuskdsli85g/5OmgNSqB931U1eQUQAM1UAZhHF9Wa6epRHVjKr6gJsvRfY+Lwozia0wfPs
hEPJmRNCSznz9eCs667s23Uv+kWegHi8M4xgSiES9RTkbNy3fevqpyW38wOSCbIXYt1DfHXyUMZ6
+QhF1Lb7VSr5JYgrceE0dkHYi5p3LXKCgxd53zBfDBdwDfFJEUWDpydvdyLKk50xw3haJ9tG5i6p
VQ2k8lEl6O4KEkyKMFvrj27T+l+QAZUXuFLM0U71cew9b28jB9pNWDruRBf55wrbzpOTyCnF1ekO
cSgdXX9MxNienMkyl/1UIGeOIZi+Rj5e33Ap0cuGZRfHN3WHdCzPBv96yYz9MM6ds68K7900iuCG
IJd275dx/LlIetIWEO2fjTdO+zxtozBCDn/qvKg6z6m7g/ha39VN7V10lVMdtZWvoRkncVd5wWVc
5XtVL/m95UdWiHI4h1ya6S03re+Yt+qxs2V1mFvXxqHgunT4S38x9sbCGGjEpZsn1mXRV80hd1qz
S6zM7Ht8xTetRlhywA9uYQSbxyeRNu6BFtC7hpJVJ7cR5ZGiXPGtvXnXTE5/46VWFOaj86SXcvlj
zUd96GcQ8cjL+3cGUXw4A6Ef9VjTFDTL+uCmmfd1JFCnqdbPaFL7k2hkdh6n2DnBkEfPk5/WxyyL
9Dc47Hy9GVcnu4khjsPCb5ZkBxtdHvyymPZAUUgi0bMdW41aF3bLOVB7OiHsJG6QtQu+YveY/xHP
a3A0drX4uzbarARUErR6c19cr1nzPqFQRmBcr18stGUyrIyyb6iipyv4SyesS5uXnAZJc2hiH77D
ifx9YnL/MrJ1dSfFVN8Us3gPr9YM2LHd9uyPdU62T2tdgh5Pd07ZBVduS/pR2BQu0teU9s47j9aY
rkd8qAYbCnrGfGfGZb7UqTlC5QE+GTQp1AeNv3NEGydhWzvlBi1lGHvBLUPHHe1qVzhjuad6mJx9
1sbeviddhE3elPeWpc6BavMwoe2+6bTzpS5aL7pu8fMkV40oPmj0OhAQ6hRZvrAusE+g3joVg8xy
L5yCuQr+MPTE6SEG07gz09Lf96Pjl38ElYzMtVuN+B+G8b1qFnnf+WgSxgOK4Cc36rND0I3iEBc4
L2dylUrkC32x7ptENw8NMEk279J1is+N6+XdewcvQr7slZ1XQ7KvNDzXZQUA1Vv7UmWOfcdGybiX
2EyPkc4q3R3qOLI/GbSe5GE0Vnzbrl7pfbARi7XdoYeue1ctwRh9y6IWU2VqgpAdLkyEayH6GetH
Zq7KQx/4Dxi4c0W+W6YCdtoeguyrh6bZOvvVZNcXqi5mK6z9ccz3E8IcXLFEJ7k3c1wSd4Xb6Qsc
pWCm2KuIgYIGG3k+EtT7avDcb6srh/zkRMvUnMmX8ar9ZKUBKKuIouBQKZICQlPEHa7GxRZPMjZI
efBtxZQ9c5MiqHS54pBHxBk4QV8mtIVphokSAXR95/mrU+sdoGAihyt4DWXv63qyMEcvSENt9MJ3
y6SXI6JV/mgXUxZ2ijHeaWzPTwVRAVedtvouzGtMnARABDMAhNQ3VeC2F3kasO4XFe1VXrjQxqP0
TjgPklPlTf6pxt9xXznFtYnhTcIOve71kqjkKoIQOQJH0YgWW4x5SI3VtPsR10I4ZNq59L3upKwq
29Zqxv4V6/RAyoO0jrYHeouVNDtopzeYz2YKYm1V1a2XjPWDP3nwr7qdPqkscvBvyuAKukOG9LJi
ny9ufAIcMojfzVjYYYmk/w+kSl85o7pbSE99nD0cgemUYllx7NZ+jI2Ijoud+e8Vjf0717UiDoeq
uCgwmN/VqBiOhbXal1NlR38YR6v7FQ8uLWR8wdYZndGq2R9zT6R7jMr+JxBLeLohcppzptrlyjOe
uXGV44dxu+R7tLrZZxprcanaGtt3vBwHq8LIMtgmI7cmEU2YTZIgijUy9zrIMhxQwanHhAD/VQ8X
q57GE4I5c1JTqdowIwBhh39s2s1FndyhjcWq2i2Of5VikTkgt0Ne3BGRMHN9ul5ExI5IN19ihEl/
jefdZJL84GZBfEKT5R+bPp+KUMxuwtZo3I/g/h1nIQq/L5PvDDfCM+LPaXTqoxpQruciEmfdt/KD
tXA9J8Db1Yg+PmZpg4ONluw2t+f2eWQd3oy0Kvek3gfXUN2YZJIqw9K7wCxLrB15rcxOOYU+F2b6
jG0nvV6J5/gQ1aN9i5U64Et6TSVQGmxnfm1j7JT2bb8k5bBLWfn3igyPEw1p98X3ql3b63wvFzO8
63q1YJEpfX1RBn3wbsMTr0SW11/hlQhFWEr7kK+1fZHY8YeoqzQMQ2lTPHj4Vq1VHrDWdX4ILvdx
qSL74OI1vFFpal9Jq99y07q43S+WbPauSNwsXMTw3kK2A7nYx30fut5yQLWPFWdadIAmxvZwKuAQ
DquYPJ+2RIOnQ8xvIubb7Nk3klCXEW/uvo5S9cVZ8M0vbpKZ0LMzdgIUU3jwq2njDx4l4HjMkReX
pLA99Xpt0nd/v77//zit7b/W96xDTd393+v7t/8PMS9Rba//6Ht5T+6ar+hZPd8VeCwxOvyrxPdI
QNeorpAi6Q0U0yBI/8xwVKR1kldPE+xBLVNC/6vEJ+2eBE+56WLAzjET/a0oxzcNN7plNj1PScQe
KgAae9Nwi4mt1Lbj+gI3MNh6XsXqTnZzc4sIwN//ZWj+AyD2o6iEXvdFHwwQ5RHQCJrwppmYehv/
pC+qCw/jza2ZVnGbjTJ4XhmB67Y1weHX19u+7y+Q0HY9lCtoxXAEOMFPuuTOIqSu8W2uV+JABthF
lx1mixGELhJSiSRVywOWN4GYIXWefn3xN+jPdnFWMRlvJIR5/k/Cpday+6WGfLkw3TB8K4sSiXyB
1+t6FWZ5WCITPEeO/btH/g9DrBgtzjGi3SCFmTZ/xRyHfsi62ffKi64Uy31eJMO3ifQRg3+tW+5j
e/3bFySYdAM5uSJKdPVWVJvZ5FA5BHmdEyuqrzy/8fdrMgR4i6T1GQ5Vf/r1sIqfxtUj5lb7QIpA
U4FDg/vDE669sE1MNXWmpaC2HXXUO3fGtBRd/oyGkW0zFfi5KneDG8VDO6nquaIemXeJzk21xcZ4
D8PqOGPYwVERd9Mk/bVYguXj6vi/mQU08m8noafQ9LL2adYDFvub+604UuOsHMYzJG3sPlmlo6Kr
Pi5saN+6paRtYzFfkpizFjEUrhJPrMH1wcJodiZeTuvLtEcf+VJnxhJmIEz0ZrdAlY2sktijWyK+
yuQSJXABd9JN4rZ0SB8gBUEZsR+dnkrS6lLSt1bHcLyrRdziRrO6w+jZ9RWRisuDGIhmjdKAk8V0
U62++pNsVlQCZpkOdNlOdtVJtdxrdgm9B7rMg3NmT9aHrEgCMN7NEXzRRRlKRJxqqxXXoUPunfiT
WbqkcSjSNFtuBjeY3HdLtc7XlZ0UhIOoDOV74LpO+LIRdGvJOl2mfrm35mG5D/KWjKIlaptPY+Y0
nwyN7YWGeW2p1afmk1/K6d7ueyrmoDVsX5RxGFJFp76g9V8e6q6gLi+nqPkkk2F5sFpLPKlh9Pep
4VRFI+5UF9UaLJ80prtxp11BklgfqeVhdDuetMld2O2i54JE1UXPDpb7bj/6s/pSjIyjT090j81Y
PI0BL834bfA8w21+0ZZeHtK4Dw4Qskoe1zodfAJcraShBoiWh9e5mmSxHHeJTOfxJs2X/luR1VYa
Ui42n5wVFempnxF94x7E4UVYbZSWF/B5bTnQhwb+eBhIPfuQkGXw7Dfsp/sB6c5yKFeXeTJV2v1S
937zKYmx7MZtGVwHdMXPTUF4QehWKTMDKsbaUYXWV5298vrllso7jmsz7ycNWbRjdTefliWDLI/r
3MDrvrRAxOtIjPoUeSFZajzrjDUy9OO6O7+Mv7sMivga36V8BWQJfCvpdy0OgNuXz+DwrXblamfs
GyY5Wzzru8Qbpv0cB8FxbCGodsm2PDTim+ZMiFcUXYkej9Fu6mcCDdvFDx4k+G6HZhlwF4dq4dvZ
7UBGUqNCv4Tsf2x0ZaPmjuolmo6kcaxhJC3+QVWkwr6YxeBNC1WTVSWXPVFD1mm1UffuWyTs0QP+
Q1WECbEsTVglCGmvHVi+T/Dk87eJlCAK7qw36f28Ws78oWf4k1NfVdOpdxAYh8bO69BCAkH4C5wb
ikfFOPdPjYwStA4rGEkVrEhTC/CtdrlAfuEipc3krSLUcDdN8zkK1uVqiOvlSaNR2SVNhOEX7dOt
Sy7VDjOb+NjbTktPvZIwuS7iztLJ8DAnbU/HGE3q8wCl7jK/EHfs4iBdriZiHs+uX8dlONpOTa1Z
m1u/G+NvmAXFrcaVelmlib5t7CqICHxw12tRzWUcMneBlwxRR6eqMcO3IKX13hN8E6d7Jndw6UYo
OveEapB6KTwvepYVCr69sNz3+IFoubr2SyVIccoKcPFzi8Jg4oNyq2bx7BOSl6v+WyL4A93GuDxw
zDGXnahK0rO2Ik5p06WntR+aT0oMW+udEPfgxX6p0PlMy4NZkuh5IUXjtnFF82ntN+8hquEvS+3H
z5nSbJi1kz9lpEZ8yDpExIhKFdpzG6VJCmR/4TcBMvUgiAiXmP36SeMiNmlWgapYbnwUsvTVpSJj
NPhg+kZ8LjvLMhcGEse/kLh75bwTTb8cZYdq9lI7Un418aQ0fVB++e+kq67PkgsENE9ekrT/J2lX
yDa9R4D/3COOZ75QcrQmQKBW/BB7BXR4txBnMx5hrzGO/Jh/5a5OS3dTuOp7/lXlWe5XQsL4fMOJ
1b1H3udEXwN/TjsUck1UH41f0584cT6CUcIIXZdFOjJ0ZQSIQcbpx9Xz63PqVv6dl0h7n7GqTiQL
dvluxWL+CZUqtUgzKP9azqm1y8XEa0Ud2B3SAuvygZSpuLvt/H69WGXm3xIzGjx3pAZhji10/80u
suBaRehBw1wbJk07MlP62Pb30MjbVBrjCng2qcUtcCJ7Kdgge3oW8D0TgVQnPSTBdT/zanYFKnec
9WPGPQGkzCF4J79I8oopuMg4uNZFQ1Bq7OTs92QEnddkYh+cFD3dCYORf41nBAsXQaFgzBwm5Y7/
05DlHo8xa0nNbXHyVs5xctvTE4iZ+8WsGRv+yxYInEF4CyqEberPdpHcE0iMsZ9gEfd6Hkf7hEYM
bLAbrP5bJUm+CoXsOPkd06ovXsH52KMJmAHI0qLbo6Iskn1B2iIVw0qLcnq9LYElsTi1SUYlEVkW
x5dHvORVW3TdeVrH5X6YqH1LggwOwhTVeunMjq5IKVxLd7lBCubInd0F9afZaZvkzlETd52WDc86
T4ZLVl26eg8uqRE9p4VGWFUidIxbYPfZtyeEi/Hi6ssxJxBvR7zP+hhZtfqkE8HGunZWdj033UIq
7H9MPHPphHv2RU88FrVlXzZjYv1j6NrglIxzsITcM1VOannBs7PMTAu/6DjJ22AAS0OW3aBfW6r8
2BHpZbiTdBtRXOfkZ6qVY31sfMWB2bFVPUbbG80yAhnNWDLjCjLIbhFI0jUMjrHJbVN9s2Um+Sqy
n4W1YptnnCgtH7FQW+MjQFuhm106J3HiPxQ56k2OqobMM4It4nZNj2ueWrEg4YtqOT7hKFMIiyg3
ChtF/f+yd2bbcRvZtv0i1EAT6F4TyJZ9kpIovWCIkoi+DSDQfP2ZkO0qK6USr8/rPX7QcJVFIhNN
YMfea82VInbOg6go0xCZB04FB94YBBtqENdM9FMOCuLWKnsVoPbEYAoRMpwwUJyKbGluuPztufZY
WXKV0KfQ/PSkAfZijJHw6sF+cmBqYcCBc+loDaPN92idkK4W1DiXDjW2bDoR1kPssaRbXTzswMIb
gAUM6A4MZ441YkrcMIVxroDA1hvKkI5mFd0hI6ci6Z0yf0W0aO88VUcHn0Ym1ItWgfCqJd1eUb1W
XfuqFfOdP4nxyH1NYQC97M7vG/3OLmcVKr0MHDmXh2mwwR2DZHqcgMXsMl6i9LcTuEmoJ4Tei5vJ
HKoHrjbv5WoqTrz5yr0ocyYimtUHXulsY7+4GXJwbsyw5jt9buJ3jeYMH7vatG5rVWZ1YMU6BeTU
7gu/QLmm7q3SOFP5QcQA8vBqO5F9sgCVpCkEDj8Dg1UBrmBMxNDkm906XBCB1x3rrY3wDlGBXqAg
mjXVBBpvYLmZB7WuIInOCsH7itWwz+qroTW1I8qEtrmR+dp0LhNWm9TpuCMXFXHto4kp0f2cY6QO
FGV3+Ptt1Lrr+GFr7NGIcJnquyaqXNSeP+6imBZkPm+85tDY34t+hV5y062F7++P89Puh+yK1Xhr
oLpAD3OpyoAR2w9Z3TeHooIfthmYgz61stPgBUCtvnJWqNXp+3L4++P+tPXnuIgIbCQEcBHYKf74
/diSF1ZWT81hygrnc6/hUCnlVEx0f9HWb+uyms+Ok7AWt2qtcn9/9B+VPzQ6+MdnNov4xeFDXJr7
ZpnRPQFNd0D+zwYEQKP5hA28vspcyWrfxw1/6k3HtmStvPHlsbh//wj/aCL//2XHDkv1bzt2f4UB
/2ccb/7xI39lrhjOv+hlMK8w/T/SEv7dr2Mb/6+1hQXp+3vkyt/7dc6/THZc6+Ad0RcaUPpsf47k
hUGGFaAEhviOwPqt+/9kJM90+cdHl9p4fWxtE3eWhajIvHh0czkQ/DH46X2GCgj+hmXoE06+OEfK
HjWC0abTdnJfF3rV7ZgxGb69GQEaBnmk6nG6bS0IThs3p3lCdZb31jnxMF1PH7AZabkeOHlX4kqp
8kO8VPp43xet/pUh6Agh0ZVV6gWdkXhIrQejZipZJ2buqX3ti3iL8yk7lVllvFpUYfhxVhuOtj5f
k+PFJzcXLaEB8RJMvVucbSgke8ZdS2j5hX6HowugOcaLAbsR/YScsVjTQRuxhPYO1fQLpglWWJvh
dGX57q2TqPSYLkt2PeUiPbrsGT6N2WBuhd4ALKWJn5w718uTUNbTfK8GBJ1hY45lt7UavvHGG5Ye
ZGVbNCFVf3LVRjlsPQjyfTw6L9hd+ndSOUl2a6OACmXauHdpp/MynlOgG0HhzIioqeDZyfkTEFmp
9+n86No9ux6uxPwczXW10XRfDbx0o/gRdEiErB6zFeUwH/+Y4kW9WsZpeuYFY9h7R0z6MWZmvPUd
rLcBOu3S2LnELcQbN7WaD3M3oZZFvysDzyXmRpOVzi7T9pohIGnAI6tmdIFMFYJbIltSsnHcKZFL
mNlSdqFTuPPHHh23c883ATYJiq6cQhBWU5jqg7WVOhVUqWXJq9sVVONxmh8kNoTdGINTtdt0CIc6
cR/aRUDnrZI8DtEV1sxTyu401yLa6GVrPIBSHbeA7ag4hTsjHe9s5+uIsyIkUmbA82fAJE3mukxA
CuMTwjJbac21iAFp3OjVgPn6ZNJ68ZrAt+GKeltOhGiCUiVVcy/yNqmPS5UaYqNb6RxXmwStQLcZ
SknlHOUYbDDC0X/GXWUICyHtwtl7YBSzUnIM5QKeqNIxdLXJb95T2LsAKWqp07n0HYioekJDyZqm
FbFjIqo44Ybs2Aw0cfK1bN25CYBeMiHH6lxq14rsHgnAfIJEqnnptWK6euVE1fjZLBl2w4kah+1M
vTwfp3imFJPw4YBi4gZJDnNWmPUBvEbBYNSYeyMYQTL3B70rXRwUaXqfTjSMg6RV0CLrDqbIvkZ3
gqu3mVPwRlk9jEETNUpdg0sbgKtqwgrqhKsJVahURqAjNFs2mVb58T39kFQGXTmU7s2Elu+2kPaq
9naHMImteOaOE0wSM5c2bqG56a1W14XaKYbPyYZXvNOFZeGNzyYh9hiepjY+reCqZeqz5cEftC/a
4lc8U5pTT4EHMoB8I5A3y66HWwHeEWbM8xTVuth480A80uKZ9Z44gg7yub7uvYh76fsDK9H8CHBw
qo+YnqmJ0qLAYVXoiTke3SyyjlbddK8jrQV7oGa3Ulvi4MlNZuxjDkyKXuQ8hV6jGcATpH6zoDl9
AL/E8wi1KMOpHbOa2egncIe0GWRZyztlmjeDUB21abqeDBKqXAvSW8iR8r3nRXJbGPE6OuZa1bu4
WbIQL6j1oDWzrnYWRo2Qca15VTuVv7W8TPO3WooZFFfZZDw1C1A63SpMrnMu4uyla13g7HqvvcOA
pj5KfQK119VC8KxBWQopMBFGGQ5Kc6RFIigwnsutk8i4u+IvCJCMWkMdhZWHKe7G8RYqKSE1G4TC
zMSn0VE9kSkTTgPIVZPAl3hjO128zuIbddDazqq3UV+OkNVrmNPiBkz74G0gLhRPxhxb79W4fBDc
wj3C/ImCBe+meXC80X1w7NQI4z6aw95MCOPwKyCb1dKb20LD8BhAsZ/OVSTFbVGadNiBAJbGzdjV
9c3SL06299oa3Fo/PcfThNIFhA6bOFK5Co/Gl96z+1TZNNyUgN5ul9mQZ2p1hDM176/4wZjYgtIx
FsW8zIfScnvXhvcLsjo6wYYcvVvh5cbu/+qp70F4v0yF/E9xhCR2FS7/9wnoFX93+JLPf5dF/vlD
/xE4Ikf8Q/BvowX/dz1FAjSyP8pzE7k7Q9J1ePSXxHGN7DYJO9PZMzimQdH0Vz2F+pHqy7d8G3e2
8139+Fdc158zyN9F2Rk/7YRM3UBjySB1DUMyL8spEBFJ5y1RfFIEViWBZRnuw2ggEIR/0+/TFsGd
0l8ywKHHphW8/cHB+WfFXvjAXa32Vmu0e978uv7GJgIL4Y+VHuJLTomtU+M5DJD0yyytCRGTnZto
FqhtmvrO93P9zlsc9ErZd+2SsaqYvuuZUhzgfWz5G61RMgC0je7JqyrjQTJkRg7VfNdGLatMCuMQ
iimcrsbHEowzQipoFctuUY7Gmv9da1X+IbwSTq95rKfREoo/dFl41FeVFo5CJFvJqt6q/1By+XbR
nlkiEXgJfCTlRsMWdqKvDMPdnLPt1PlP7R/6MH/0rPvFcAbM3uRwjF2L/84vTKZfkKLalxL08ZmI
mTrbKEHERUDSII17L2duxYvITIpTb9VFvkvVDK+cuZF4qFoZ5mM87qqOBnAUa3vINd2pjTNjPwyW
/AJtqsPoaU+hk8krI65PGFjlk1ul073hT/PeJcDjijwFBbhSaWHqLi1AGj9zbluSr66rONmBvyYp
DLVgfYZC/VG3MsievAfrcGHO+mxGRIwAlbLHG8Zf2sMy5P4EKnmWGC3VdB27y6MOe/muY0C5mXhP
AkYdEXzsvJy+K7rUbAOgWCL0JzQBtC8C1TOAi+YMC8uiuvPKexsYcaICuss4ZqtCWu+yuEOBamjp
OgIFKxuZu9YvxqdZ1yfqM6s6Tk5j70HrVLvG7ZM8MDpnCCT2WGzLrnGYrKjZuiAl8QfrBFboTX0U
S08fu42dB856e+WxIyAcp9BPsWH5Jx8f2Ckx9CIOo0ovnpvekE+g4LLXdgS9FeSD1jwyTVhurcqc
ri2lA1CGvLljQLC2dPj2nan6oIBItjXTunc2nHexW5DMIcXJm+Rzzm2P7rabqK/zbkMk2njWXTXe
kqumruxRIjMUqb8XbVJse42hrjmmGFlwhZ1pA3W7QV+QgXYoRMOCSirajciX52BphfNs80sCbWID
AL122FKqGp/NOEtA/8/zN5OW001bJgI+5dQdRCPUGPRZ5nyU5rzgQGPqcsQDm3Uh6NoZ6XHvVvNe
wVqj1qbKRlXWli7RAH5LK0i3/Dlc/bDLxpGR9mRPUnc3Qiv6oz91xpXfwKLaTpzHo3KXThJSR8oB
e7nqikEGZ08MEZkuKttmUiU74P4kAFTw3b6UoxgdLHBj97SMTXUNXxCgb7O0+Y2NNG5n1X4UmF66
Pl2J1woivUSk9gpeRxGavT8SY6Gn9t7NIb/ndPthPi0vrlomyB5SHH0nqzepM/slci7o5KyE40eV
gLPbNJ4zI61je4jiLkWJFMRjNZLMR37dpypyieuwW7D2mxoRiKJj2YjjZCzInxiGu9nGUH1SXoMP
7AnmmQl1qWOHYCDJIlIGWeQVdzbeMKDgaWzeyUKMDw5jbSR9VcK8bq5kcccbvoHf6VEUj7WqNXS0
RoNBuFucW/BSEuSYX9Bvopn6Puqr9pwOVl9vp8K0biLchtda29cydC26j6mX1U9ubWpFaAypCPWa
/+5wj/rbzpiZrC92dzNC1b5fmRbvqEmqJ8+mVI9npLdlM+ZblmcWX1vm+ZcsRs+H9T6tctTAnUOT
fi605wZh5xigcPfPpjV66ZZkmJiL0mD12wm99L8xPWpPgFHHjzFc3YBprmIur9rDVDfhokF33MRs
vg6Q25VOXzURV4mvsp07qu6RVAHoHxFUgwcDQ9sHupvpmbzU0jhIIrjuhYBRAWSuz2EWuYn8VM86
IWfCqFgdOnYh28gZ8s9J67cGhf6kbnqvhPCENmEFUluriD6f++ROm3oN+bmSHK6Ie/XK+u6ffUwC
u9Z15CdHI7GKWaOOPJi1eZcxxjl2DGO37UhHl7VhOmbYbZ9Vrgz+4KZjnechB/IKmoxEHqR9S6IF
hLaA0UZC6V4bse2zAZ5Ntou6NNoTGHASXLH0D1c9mqbvl+2geYSv6B1M9oGZqqkMdysT50tm6WM4
euwemRlb71OjJwaucd17DLwGRy2/mK30uRHt3LpDw32NTpElxy6uY1j2X9iwHn13KDeODS88NkoI
sDo6x4ZR0e1s1+5e1FrDDxBOcVfxoAsyBLzx1h7W7bU5mGGZzOZmAO27ST1d+wRDqn3oTGu6EnYr
igCQSPWRJr76oqxCXuWY+UMGXtN+rUteCi2vv3CX2nAWZhdksMhc5W2JBkvI2VBE0vI67a4srwXF
Q4gjtBlDLq7YDjPjiZBmh4/4oNPWRLRl0N87Gd2Jbeu0+Yvo3Tjfzn5lMQMXyEGZ1oEzZo7ek3Hl
Je74ma13seybPGWKPSi9+5hK8B2UcFyu5LMmMnWn6SI/zzo0iCmy91mGZ3Vric5dgorIkBuZjuwf
ENmZd+zLxZESq/4EwL7f9YNWhjW4DtonbPvpYlhZ9cmClczvTNVXk/yrLbxAaDZu0pU3XiuNa8ly
xlMkAT3H9LBxI6c6UMkCfDQ3iGvmn8H5fJQYtkME4BDyx8xvTiBENIDxo6eJjUUnJgmGIhqrrVa3
JdNyvb+ts2ymb2akj1OhdCt0pGEBMS5MDY+IPMeMWzcURfYN9LMkJKrFNK9Thil2iNGEzB5Y1ihf
7JIeGM0UFcIQdr9ALWlfgBA3TJwWzT+5Qo5rgWmb3Zb9jL9lY9+LTQc1+ehlSN43fj0417hqFgH2
vBjMzaQt9CbcLFPXsIWZl42sI1nQ4VC2YRdk3Qczo8HygGC4FPuBl/4DTy1WeZ17INr6deGcVNbx
JqDBRJAqoSu4s6cxSiJerYL6C0CE9zhNhgjr1tVQqmazc+V1OQtt4lvN3qsJWL3pkjmfApb28naN
GH7fmX57NqzR/dRGXravnbjrN9DytS/CwGLvQamq9vT5pxXnV2KqSIyFV0bLzHPP7NC4N1Gqliev
Sf27eHCbV/aWgpaaHutHNBDE+1WriF1aUC7YwH4Xtzt/SN3/b1v3/7Stw8mCNvC/b+t2RU0Ezucf
dnV//Mxfuzr9X/wKhhs6bW3sW6s/7U/rmuf+C2yYg0LPWHdulsuW7699nUEOOX4yn6403jnXYjv2
Z598ba6bWNewYzq43hz/H+laLwdAvmPRKBcGczf+FevPjwOgeJz0xWvq4cAaHFNsIpeGK24y+xcD
CBBKta66zh3YOaGfvDle4wv+fbxGa57Nm0cIMlpXtryXO7e2jReSQad+Pw6mIjWDYaSRmkXIEl4e
/nZZ/tzQ/h3D/MtDYfbTEbmyVb/EtHZWpgyjtPu9MFDH0F+CByMxK1me0Yb//FCcyhULa3DRL4d5
i4FYbBaiJ1sVyf5kLW2ItjUnecN9C5N7sfX9fgKRJOuMDLkpwBv+ePkmBXOtsDmBfkrLXM3mA3kl
zitWljCuoixwsYpA+aeR3uiifmPnfdES+PPgyKLXu5jxyDqB+Ztxv0dGFFlN34PrFs4GnEayrQzR
/jOrM0cBuWlAoQS2B/P10lotY8+Sqo2GfQcoBuSCiVxqY0+tq7ZZUyKv+P3Fu5jEfj/canVG0o6B
2rnUodrMOSl4sEnGM2/kJO++uZb5yui13GDUp2Gd/TmC/K+A8J9PI69B0zeZh9Kp0S9nzFGSZxQn
9bDPdNvm5eEXXCy/3v7+e12Mw75/L5NWETsH3Ye0sD4ff7tY7I8oFNp82Fs0BJj0a9eA5e5mOj2o
QVGG/f5ovzqLfz/axa2B3jxugdoNe0+NBsJC0jQU0odmbQ3Uvt9vujx/+f0hL+ie9vdviGQeJCG0
WG7Ii6VsTnKariOPnZE4aB9qUbyPiR49kufkoYKO83Boz66asTcWQn51et07NbZ1GOKuJnfTV8Sw
mSN1htt8mSZLw0Ik/I3JbvxxTRImvysOjLxd3liYLjtr6+eGuO3SXrNXF/rlHefJGOkV/Pc96laR
s+kdmZlMk6225NGutBdyXxugRSF2Q4xDxSQ+UbagPjUI+nLxFgVxE/t3ABbiN54F+xe3JuYJA9Pg
Sk0FrvnjTZP5YI8p8fs9qHIUhokdph1JMa3n9AwEY/kOGBURh6NDWmZdLNUJGl53LSNo/mE59QgU
18mBkAR4kdGxsYwmohnCULQy4/kqHszu1nQW7cikFjAyITIhQQ8QHXvUtwPCt/c9IXqBb6Vw6YTm
7uB/YrGyOm+Lqv3U5zQCCCkagj6yfaCYkHhF/m4YPXmbi9liP7agaLIGYm60/q723eXQ0rIiZpik
kAn5yLVO9NQHrWvVPqtybWX9vOazde5JgSDxJs4PzBT7O35ztfv93frzA4KThcKApx7ZxU8GBJK+
bFpg60WXya2WDwm8Ov1opNMT89dmOwxkQv8vjmizWONgIY3gMs3e7yZF7F3e77soOhoANhjTYFAV
15jeUCn6zvPvj/fzC9ezcde70MBWC8Jlw1jGvgLLPvR7xivNxlQomWJaQVvP7N6i3/58m2Lip/mr
oyvQIUZc3KbxYKtsVDVvQU/ZV7XWGsd6HNw3TuAvj4JWhTLFYvdx6RkB0qKVPWCoveZ0OkpP19cO
QOa8+9+fN4OC8KIo4tugBsK74aKusC/WMZRvtH0bX+7ZbtRhbchsh2scG78E6ollGOakxY2v45M4
dd6Hzoz3tcjTt5Yl6xcfgxKGxjd4BeMn/nPb1mTSKpdQ9Klwccn7xS4as34nxh5tg0VWwdHAObzt
9PpbUY/uOe+zcR/burqBZm+dwGi8CXD+5WdaFSLAG3xq1ovXSiw0jZgjS+4JEKqOemdvfZ02Pw3N
9jaSDPcTd2g+FjaPMoSo+W5Y01iAKACO8ao6dKviW0HT5jb3pnBZxk9DRr5Jm/bN4wweEsFtah9s
2HynaiZiV+/fKi7MX34B4PXAhQg1QADz44IaGZ1fzt7ISU3mc9y5zW4YRfwuYRULGiadYYRvJyhd
p+eN1ZUn0gs+e6n7hJ/FPw5NFAVkp6ltotf+Q43P9ckTy7fFjuA0e4m/G5t4Dsc803hX9AVATOK2
3rg7V9nM3xRxvK2YAf3tG1zcnWPPbCOuZ7mftSw+Yc+qTr2NoB2xeNijltiwFyWoOtOZPc+Ktg2Z
a7//CNavT6K3ytYY/eAd+/EkejNryWwPcs0k7UlbRGf6Qll1T+OgYhihf2UWP31APZF8kSuqT8VB
VptJSBg6uXex3Jm6rMMOFRI9KGMsUY0OTYBWR99PNvFnDNiNb3NlGCyV7qNr0bcE9BzSsvvAprs7
GMrWrzXbKA5LXX92lf7ozByI/NwhaEYfWMfvv/DPpZuHPI4BIBUCg7xLKBWeaBqBGQtCmxUfqmjv
qqwItQUFfr3Y1ht14i+WbYSONjtPSNrUihc7ClnQU+9YdPZNXL36RKTw1sYML5jEvHGk9Tdd3Ekc
CQEgxiUHOdjFw0y+3EDUm82d1MVPZLXGuKQW5J+4cgivnnOmVjrDthMU/LfoQr94+zo4HlfIFy8m
Cu8f76A+TluSZnW5HxD6RL13P7ntGVXxa+H2L2x5nfD3V/B77fnTd2Vy6RlEKDCsvHhqyM2UU5py
y7INr86DRd0zR1Y406kPIKx/06PyCcvAFMZzQ3EjPNSsKBhCnWrl9x/llzcThk/eLJYrfpLFpUOv
7ETx/OLb6EO9cZ2NoEvKiK6OAzvJXn9/uF+8NJ0Vjr4CvvB5Xq7YKD3yuBwmLvLcTfuYiBDwHV7y
xh7xl+fXoJPBncTpBRH04wXNJLNKQzRyzx4ZKq2aSNKsEP0Bw9COoySkOlakW8JQLrZjFDM+UUax
nZR2tSwo0X//nX/elHsOhhyTTblgXn/5vI7zYC9wwPgwqtcRh7nxTnYL0etzHMQl2bWNLKs9Ni5Y
GPmgv/FYGb96gqmGONnU7R4euB/PRU+UtGlh6NrPhkheGrfTEDZ2cX+Hc8kuNwDJHSegg8qATZtX
64dy2sIO9axhmohui+HnCPP5RiUWqniz7wcjsGM8R78/S7/4mMh+ARvy6FPnXIp/EzRgs1057d6Z
IiaRYlFbIVt/Sy2fvnFKfnEon/XT9fG56fiMLx73NDNk03Zuu++XqHxlUO0+MCMrEZc5+v/ia60G
X4h+a0vtp1WtWU1fjSfavW2m3QPiDGdXz250BbWaLuK/G42/6Gj9YhHjSLRFKBFdmloX97yJGANV
G0dKLZ0Zc181j2XcmlvebsuG4HixEbhl31g+fnkq2V/T5CfiA+zdjzdXHOtV7yd2u59NQwUoBXAD
ZaUZIpOUbxyKKDh+2cWqSaUBT2vVvSAoubiTPQKQB7Aj3CKiwwfszHMPFSgR4wJcP6qKwOmkGTrU
5JgDLTVqO3aOw7RdJtcqH/Cg8XClDBT9YyTn4r3ZKHw4WMy8IWwKEr0x/7XJ5xpyyk0OjlPu4mTl
yRDmAvij4itZgevUnhf6yh6NHU48UoZsLfH36czoZguJksFqjJLuyRlMpFnoSW1zlxlw6LcWKgXz
mal5Wn5zMpol8aZhB5MwsO6saM297JJ3sqiN+VhA2rb3SWqUoE31xjiVyzRpeznkSt7aZTV4NwI5
avTAvKWodvxvbdyVI0ykaTMIPwdcmisR3wDzYCo2MOQEiGy3xaMisiY6dZVWHzDaVdFmjjuTMPEk
fY/P3gKnMog6O8JzjZvAG+Aqr86bGYVyM1fddabYTmI/9pux2Es5+nk4KRvFYE2ItX5VajLS6TuU
jRk2pb0WVykBLJ9dGdEvcfE5BosHPPmxsTEe7eteZvP9GLnqsUpF128xh/rumaQKL2YOp8gQo4id
dq03+elOkPlJBE4TL0uArdXfV+t0bltEa/tP10zQQC2jpnekWBbBVJS1FUiRKAMoZGMfSm94oM+7
G1AEfSAvvnguNE8/92DHN1GZTThpmeVarX83FPOOQfhuStzqzEx+o0QSbzHAp3tT5CMIybxEkKlO
lprHwGzk5ywHc8zcMgqHbLJ2BHN/FZY2bhVhtXyGzt07ctS3vkidvcDds6FiRliKrvRKimZ6cXsM
oeAsESi46vPSOvZBQV/ZqGkm7614D+tiiy+6vbd9NNiGXqX3OeCqYNBT4wqiV3JjjVwPdgtkVmO2
nhbL3tua8ZCm2CMSBnfHyBdgmrJ8oKiQbkDGIbIB6S4PhGke214gVVwILU2X/C6nuzSNojvl02SG
uHERt/SAuDMy6YPczcur0UpwT6befeSJc6kl09YYvWS3LN0SzFo/hPCFTFJ8HP0cxUXzqfKkfl0l
LoQDXMbhpPfdq6O1FU4f1YQeDeu9W9f2sSt8/ISwwI9oeMwj5HNvS5PiZBrTDsOescvt+bnUh/YZ
S/nBtcUj7Phne4pgtuk+jbohei4dLWben5feUQ1utVNaG4UQQp9y34tOMrLSEL69t9UzoXEd2oXB
nU+OMfuGc9pp6r6NO6J7B6g3oyWv+zlCrjwt6WbWqm+yxVLtWX16gLhcHqrSU69CEvI7p3DE8jBX
ab/MwVC3xL+xNTf1LiYjJPX7p7yGbL8xuXk+QBmwptBt2UfwMmWRyOJh/Nhw7m8Jc0lpj0QVsi3j
iOoJs1rd10RHL94V/4IQgwdiG2FymOU1zst4lB/npHNlu8EnCqU6XKTZfdQMa6dn+NE2msln3rua
WX+Z3CVvDlYO+CwsvQ7o9FwbrnetaU6fbXLXw/GNtsjWTrRndUmTtk0PXceZQnlbFeGCsOEpoat/
bxaZ+QQRLk+PY4YQzvbT9tZAVbKrcdUSS9vSjEtSqb84ekQ9SX931UrpxVXDS/ZLTyKWsy1mgruz
0U6t62mSzqNQefTq09wfAqoAHHBNpPRwmb3pHXOm8rVD8UFmUSmNT9XkdiFbNPvOrzD8A/TCUJ3I
ed9TsTx5s8g+Kkag3IzFtAVQ0J6WNXMqnRikm6RVf6ALxxgkkwkCazVwJySW3z4TLtJ+aRuR7/JJ
a5/dlvDtrIt6ksymHt3crMsPdt2S2ezW4xhicSv7cFgkDwcDbwRcjPTD2GHCDGELk39r5yFJbyaG
w97vdjn7pvJQNsAVGL/H6n0bjfGy9dAEE4gTj1EaoOVu/aBkNHhsqqRY70FtPMVE5TzqZcLQ2e0G
cwcRuNHewxnjK7pN7idXsbnwUZ1cYdWdhvGGnJAYeQ4YAGIrlxtYXN61SEC3NBZkNIFC7lH1pr1s
qETak9MkyV02yuYTrTtzS+PMvmMu3Trbqi5ROA5TviOJR5R7aKnxXVE0ingLO7HveIhaHiquLk34
9pSXPoTmJGleOhV3xNV3xpNMOd8oAOf9MqP38gh8OGidmIm8NtuHxu6aF0z5VRdUzoIQKW8zrMZU
fAfAU/xaDaOt0Yn21BgYmBclm5d+brpnlXBeF9dtv9RG3LVAHoki37RVGZ1iuhH7we/lVx9q/51Y
Wg1YRu3Hd1Nqr9gFB0j+1wW7qgdY0BwtAb1hhOp2bfBabsIRc3OgIf0iwaxK8LADsIskFEEdNbox
23cgdaN3Dd4SrMpD/cmJoWX1RLwnG1NbImOjPIpIe7DMbUwkyGnu9CiMtUFddSVfngze6Z2nZayL
cZQerIafbnQtvhv81llwZJAYs6kwBd4Jqy2QAEWrjdaniROm+Rid8APwFwjZAIwWj0UfZktTDxtU
gA1trEp+mGea1rhc5Fc3FnYQRXNxNLp+vcuHpBmYuZj2Y1om6r2o+4F4lJoPWUAQPHt913y2ssR5
1PylJTujGpM7AgoqYyNF1T0X7TLde44c3uvNlJ/T9XKbsD+v7cwAZiIUB8o12AyuiyuSIiO5E5Kz
hrd2vteBQ7zqS53utUnY1YamfXQ2y0wcW2h714418hvrJT9Tsk/vcHbIr8uohHZaOlriWw050KtL
rmgVREOCiZZ+C/Q93JFjFTha7Vas5EuJzUBzorNI2HJtmgGu6rFUmJH47txJC+p9ll5HcKexZiV3
RZ7VRlAaS32PjIYmLtpYrrVOwpLCZ1p7VeDL/rUG7WkzuygzjL4jVtw6M96LeGV9EIj0zVHZAHnC
nNoHVosFaVfWdIFjVnMedJk9fCM8Z7G5Zi73ftNwWhze5HKvj7nRbUg6NJ4Ws9DOfq+zmrmO+jY1
XvtAzBKN/9Zsbns1wxJBYPVg9F58BwabkDp/xbGsiBvWMTgAs7eimbS4/9AiWdEfOs2TrPF1XtrH
eq45eWAhbtgTR7sGAz2LGHgt+qa9hW0ssrxPi/T626hs4r0iZeAgnJJLw2vz2upEPmxsN07vHSGb
XVMJ+a5rFI6fJXmFs8H/JZumCSPVWC9IzojsbmBENGLGwmxNVWAry9kbnK8NE00RoprkOeytcj6T
XrTiltg1VCKDE4MOLCi0+rH3xQ3M3JVMo6fsZbouHAc/g3TvnfQBuXFWNh2Hxbynj5gdErdk3bAW
xut6qt1MjtbcVbMdPTrgfpCMpgP20bRcNkbFsLGFzXS00/6k5rnABD+oGz0eO+TKbnWKk2reUOpT
AoIsQTkUf/ZB4h4JH5vOea2sr6oQpzbVDZY0jz8s2W4rvIG488QVxBfxgXqbEHoCWV5IOmLOVPe7
hM7ysY1ql2lZQkGqsnr+4JHVedYrNIDEyxwcMKOhP2pwf9K2Pnjj8pn+X/kxL2Eh8s7hJGFSilno
2eEE7gzjL4CrI4+5hlJIRRpeQNxeOzkMDL6MoQmpUMd7JJ8kn2SZfCSx0mGp8+PzABGc3IPIvR90
HwEW+5gNm1Lx2U99570j++KQpu77KdPLPe3ShDqQUm5TpujNamz6N6lH46Y2zGNkLcYLLu1xB+JI
3/8Pe2fWHCeybu1fRAdDQsJtUXOpJGu0rBtCsizmMZl//fcg9z7blvuzzz7X+6YjOqwqKEiSzPdd
61nkmZHDhmh0PfQ8jIj02tWQUioMJ/RRLC7E50TYO8K+yi2PExNwCQxmFTqACRYl7lsPFPfzCIfk
0su9GdVCLu6qaEygGXlii8yeVBP08g/QdeX1BNN4i6ZyJCKLdSHIh4aMn3Gsvs20mky/Infpsk4Y
BnApQ2AykBaZ1iogMiLHCzhWmGNoIKw8PDh+Jx0W9HiMnpNpTI9oc/dtWmfJyhbaRTkl4/Wsm5/B
3eRbHsVtbM0JCzUbDAJRa5e5sIP7LC1ZZoh+mzIFJgh+2/jG1Zt5neaWe1JTzOylR5vIzlIklI19
laNjhlAzeAZNi2w+TFPZnx28mgVrNC3lgXOKYxWOyRXxFThDaxzSPHdNwbY0I+APTEM59GcvaJPH
HGLeDkZkwSsHhNqqnklAJiNBAwgVWPXFRDGbXZ3syarqSLE9ekOs39hSHBvwj/sAbXlPgs054y6f
VLFI90SJ+54Gz6oYVHtB3ZeYOpXsSTzzHj16puxznpuywEQZgaCsKwLCEllE7qrvW+NxBKd0KE35
YszOt6Ap6ydWrNlTpvKSSUvhTiXKeWv1XbhpkYpek9WI7pxwGpreXrtQJ4II86I+7kk86qEyWOUg
1r3UldzL1MAhjp6vvNKGBQVSTLK8onxT4rB1E0BaHRk4M2PUTp5yvLXXZu3m105MHXkVw+bdEVPW
vmbK1F8KsDKvdaDPFXnKfGGNCuBoYxG8nYSJa69hxcN9I0Bsi60r4y2hOdYhqyCWAMyuvvC2pHY2
w8zqKPrzT7AnQYMUKTvTFEn8kUBG9ZqnZfuqOkURQSGAfksBSRFZMrfBk64S4wWSPW/6UkzwSeox
eIKcySac4FfN86s5UK+aXWk5FBPSBDdzahe3WT0yMahoHMqtRFNcboU3UNHoxojhERHmM67QBZe3
ERplmzVmGTzhJuIzXjWCPpGJl9prgZwdUpOFxnndK85yk9jIpdYFKi10s3h481UChEKd4tlu2Tfq
RW9E/lANcbhl8co3zxouzoMg6wnEsyDSZadNyxKgpUMKDGkEoJVEugAU0eQsWrPA4S5pxNU4fjZ2
wVPf9DhMwy4GTBLArH4zO1Suq662QHMNwvKevl9Mu9dCXLq0J2PQrUsOlTRIyYUR4pQ7jE+hb9WO
SjF9LEUBMmyLWxv9WLHL4oRyD8qCmA0mmdH7CqeSd2XWizmGxDn7NDVteWsPKCq4hfRb/SGo+X0p
mdfosCs9TU4KFUO/yyeEH2evR8LdO9RGV51pV9HZ0YzoLp16c1d0RfE5R097nUqvDvwKlOLdEFVq
2o+U4YMr0fGj92avc46syjnruMBiTjlrLNDNLokuPveEZ5fafwRNDpEqNBINSCGThKleY3YvpNGg
0b2YVK++EQuWZDuva2oaGF4eJzvIWeaILJTnZzVwO+d9Qf3vOMRKI6umbFnR2ZGokgPOVIooDb0V
XAt1bCNHLQQbbl7CvL98uBxBim+iQ1ZlzgRHXkW9pfv1soTMZGG2YIrN6N5ICBTEtqEf6Uk3+yHv
rOs8dMcLtEzxwzxHw/2AA+V7Wf2/qIY/WAslKoofKsO/ZCeQM158+9rGX7v2Rxnq94/9m64KTBSJ
EV2fpRuzNFD+VqFK6y9EBkBAQC7RFYLN8D8qVGH+tTTHsM4Jwlko3XEef6tQoatiLkSxBMtyyZLx
jP+E1vC9WP1DqXeBW1ugQNCD4n3Sf2lL2Sa5VQ7lhH1JwvjajOJsE82F59tt+zg56QuEJN6vhKBv
im70/DRxcICNU3p0DR5hvXXv3N5NjxiG0vPYZRe9C89Gas6liYF3lel4TWTSe1AvBaL9rpi3wsp1
EHYVomu39rYVnRAfDpHnS8+8fi9G6BGVmYT11MaoJeJ/g2MSeMs7DzuIr+s14K5UPRJ0cNfZMc9T
VZoLq/GF1ai+zkh+XqXG3PtlL5tD1TePBvwSf2Z1DHPA1jaEnD1Az7lJLOOlp7rJZ6vHrIzfSlbp
q7GUMeVn8xqKhFqZLMJXJA23G72pHx12x0Q8swkaNH5eEZL7O+aFDjOdKITGBY7QtptAcWl6L2Bf
mhMWnKRvZqqNK4f9y6p0G7XWa74UWyMv9jS85ydwGXT3QNqAWgcNf4UnjUZkJbRNFFDf7yJM+Ilo
qm2JV2vt1BSH+1RcD27XbpZPJiB/yAAANzebVG+QUCpY/la7sVtjvg7L7Nqbsn6TKQ6J18s+2aLm
9Af2zh0wjvX77hhu6T0xSLwaJFseryzepoL1cW01uMUCrOdDOlFM97Lwa5Bp+MQxTXq63m6w+lW+
0ungR3nCDaYMAmy+N9mUeeoucIP0ghA5Zmgtm7fVzCw5uFw9a8FfD7Y8wPa/ex8kcT1RvBS4JStJ
UcqYmN7IW/Ab3bsbXPoeJkA2Fir2dR9zUmGSigPARG9rJJ1aAw0cj9JrzQ0Gcn2tt/ytDogDIV9K
vq8yNxJIAa1Jgg5mk4HVZTnLHtu+ZDy/jV5qrZAguZQr4xcajNz7mf9LgA6tekMr1kPrKl/2JZ/J
uUoYuty1Kan76Bh0/EY1j+/3mwmZgnzGsAKSNdPaYMhIr+HW1zXeH8fNjroRvvGQM6od/talksNy
kaFSLs9CWLfTfRbxv46bvNCd4f6PVCF6fC6XHZdLCnk3zdz5oeY5IeI+OA4kYZ4ppMOjkOpRwmLz
HckddvGpr0CiXr5fDFpkQCE1/rRK8xeC+sxNoFOYykxSF0F7VcjQVXCcCs+4yRVrWLMa8K81yEms
tqqI+jNN3mGlvs7Zqq5rveccwkidiEGgx4xN+sKq2UvW7WxuUhxrZK5bF/HA8r3ocLNZxbLRHIr0
7BKesrZ0JgK3xyKZTmFGqTh9g/8fX/eRffn+eFnJPO91A2TKKDJQ5eWyzgLXBMSD2y0ij81DpBds
RZGK9MbyGKZu6b/fWy3n52sBBQ9opkwhDIGiougHBQun1TLKZ5nOW+AJwOuJMNiQEettMVtnaBYZ
zu8DYBnhPOLXsZiLnTUxjbEeaTdi9ub9+21uuwG8Z8MwGlOz3fTUZ56r2Nb2dsRPnaGp+kQKkGvi
WcxedvwC+Y5bYKRvYcr5eRZPj67xNOdW6/lmYQRHvemKCzIGxkt7tHfukLxoYTytNJILL4LUTDdE
3sV+N+vaHikjlcfZNi4miQhJOgyyIreKC015HJ1+AHNvjkuKycHAhMqOaedFGXUXNmgXgTH0vlCW
48sWS1HT2GxlTNUcBnLRkWxhOhjjXN9DfrMI/guZFEODyW3g1mkS5n/QmdcUdN3dbFBxrFomE9yo
vW+z8fYpnMX+0OGK5BEp6Qsxg+VAr77PTaZHWfH9oQX80+PB0e747uiT3TAkGltcY8qeqE9q7spu
y+W1MzCY6pFNtxNz/4AHraNaLy5Y6Y2XnUzfkF5zaSaegPdrjXuDPkHOV3YG91UUDhECY6vWGroB
FlM2rqVMCz6xjc7XTgkI0Q3qt3oxM8Fb3PDQs+Mj1vqIFTbeGk3zFW+cvSk0A3pELR/yUpSbVIvg
AMOLKSnsY98Kj5B32BFomcqMNVg4fWMisEV1O4J1W0MCfErtJc7VYUXgbBCtKEJG5yZ5MWGBrY0q
8WxyAsw7O0yztXKHKjlPoeqOMdHu7sqiNgB4LTREt0l0YsciuKafyN9wMJc5BnEQ20aNfeJPKfIH
wJSN2swiqgxS2ch6qYLuWaO38arw8olYp5gZWmP65taWNsMl1OaZNhrWxX2LEGnr5Sn0mVWj1ZbP
9p1nPhE4z0NeRWvTcIOzN5QzoD6LLetlakauPFAqV/mecORWe5xC1qFRF/YZi1PPQngO69jx6ymt
40sbdO9ESHARaDc0VdNjJJ27H5Zi/9CkX6QFH9Y17ACJmnIkmyjvoxYk88gGpQXa7WU8TbulgBan
vFyswr3rmtJiWPHUCep6698f94PMZ1lPCXYXCxPB1aWlf6BfeexkJ/oG3d5YGg0jkuiVFaevxaCl
q7FK/6Dy+aAK+H40iSTAFIanewsJ40dzwTyEmojnottnEwNkWQl4aaBtcBjo33/XfzcBf9gEMIAW
UdP/6EN+2QV8jtXXslBx8eMe4O9P/cuK5vyFo8Vky2/iNGA7wKD5exPgmX8hOYbMRhfJXTTi/NPf
VjQh/yIzclmY8y8ITX6worE/QCeInwTJFRau/zBF7echS+Ifga84IejI8W2G89E2hUUuSjs7ck4U
Lpp9s4D5bYPt5TxNIEnbRtl/END80wExXGCHof6LZIvr++OoTfnVFTnp9glvlbs2+iHezR5tAwfg
5z6clPGHoNOfn5LvP1AuUkc4d+h2zA9PCZSMGQe1FCdZRs4za1LYu0lCz8zu490P9/6P0877objV
3Gs00oD2PmqDmgi0apca4pTmMNhjiWqVFBrqPoC6iHWYSVWQaWJc/i9Qlv/wKxlJNqPBxQP3i65r
qNN+0mn5nZRJs6dwK+p2ml1A8O/DP7q1Pojl338oI9DAPeXgtUMM9fM9HEuqi3KMxWkocQStZLVg
sYdEh5rftxJSVmElVXTM6TmTFNNEvXoEXk/RbMzgKutm4f1Bivjrz3d0BpODbUY6hBl80JolRhQQ
7B6Ik/uesuDllB51IkN2/8djGeyXLZyiOOTEhwEV4tnPIvoCwLuAedPYpgeIKf2mW0IAfj+gluv4
7/fYcp1RHqOrZLdPQJD+UVSIRB7aK2qzUx9Eb8oE2N+ZFPx/f5B/unZMQotfRDeYpT7cTLb4AlFk
Jk5zqoCAsiaHB+wA3jfmlArY7w9mLFfn40+yTIoXFNS4hB+9k25Ag35GOnFKzDglG67nmLiyl/yR
RhGaQDDEs3AmHlLqlDekdVgHpJXW4Q+n8bPd4/uVFUx7tMIWTfLHAROYBkgcJ6WV5Lbm0YLKtzg2
6cNVmmKE1hhyN2lqNs6KzRb10feH165AsTODNPvfn80/3QFBgVWwTqWj8nHZkGbkUORpxcO7hC/o
OvS3gT3TSbA/2fznh4I6C88KTzT2sg/iPlqeTYkm0zrFNpfX80IeWQQcTPW0nMvT7w/281TP9C2E
jhgTpTmGgV+HL20pmm11hdaFLIWZrKqm+lJYGVEZA1X9Rbnl/mEsGx9Wfhxy6bAuWC5G88Ii/Xlm
qtIZATr1tqMeYDgWLh2qlWJhfONAzruJMclBgLDpsEcu8pr3DAwsc9D0tIJGM6DGej/XvP7eZxAC
CiogybMJkDsgCgKUt1H+6SLZ76/Yfz8SizmM3E/JQHy3UfFq/PmcQRYkYswtcVSZnm/1GcFMGTva
NjQULeFSz6cxBAefNCXdwKSasGvzZdcNoOJ8g6KOc0S+wI0M7LB9nWFwv470NZAERfNCZK81Zl69
SYx+ZRsDXRwj9MRzHbmQvaGx7hExta8NenIyafjcWiUIawYzqb+0vSxPbigsmldcQEIQ0BISAkY8
C/VO76GFhULdxwtqY28om68m96EB+u6RZuNnTRyw5eti+tJZUXMMlyvtKHQKdY3vYyV66tr0zirS
V6OSEfI9GQH0zrzTMLk4xwFY/Um1YQ5CvjFIwngPDUrJhv8iK2RJx9yI6W+7rFo0s9X61Qy8OH4y
Jo9bJmfLSdPVAMn1gbo5Y69NnWeK9ox2QXH9eTI89UolZ3lD9739nE+p+ZUukLnv2QzeNA7QbnuQ
tS9jNjQr5t8eUTfQz9w3JvQEmlXzkI6L7ifA/GSNgisaIA5kHxDvAstSr40iZk0rTeOOssiCKUSJ
eaNUOD+YPeLuyhPcp9whIsUYG/Wa5qFprhzqAZtZBYblu0skSldN/BWhj9aB8Ae+BRgUaoaW6yY6
XdXf36gkhi/5eCCUEHBFTbIHxEju2iQlI1tEjphWgKVnyX6LhYlGN/J76oqemEvLfXLGDRVbcmXs
IjMu67hm1KSWDs3fSbmaU5JU9C5Ldyr8flGcsadkvtTgkxIEI3p20eZocjKY+NJ88x4M4JQRz1+p
h4u4dXZREGj5kgaApsv1AyQxYE5psCNTeE+QNAqLsdwDp3xQOsGYO7elxkFy3fipMlzeRS3ErXEL
OJJFR1vgzfcXctF5ltmMSzjO7ee+JH7AiTqYOTRJMMhCWmluQ2s291jPSCA1Q0c8FX0PJWmOp3NW
99m6JgwLCauWGe7WiPXmGGdlfwgzfNorBU7AH4q57Na6Cpw72p0xCgtKdymYhmS6dEHknXIRlXDS
U8/zoX1a/kgP3p+KeUISqdv4ZqOqOqb6EqnHmITzqqviuq0UBcAk6PJvJT2hN1xl5HmatLlpASDB
mRCjjH6XMjP5c8bERUYYOPtWm6pHJ0sbtYXB53ylPUniY1sUF1Bim3C7xG4PhLZW8dpIygL6V1de
eklvDESzqugptJDZULWozmB+nV1dTITXTC1CfVcNDhpJWKiUUmY0V0N5pC0WTiu0qvNTkdWYsmwT
abDRcxvdwEasmg7FU1Ilsl0XfQTpTkeKuyxGKT+NNULxpsm1Tc0acNWzeNlSC2qXiSlYFaUe3HSp
0g5Y5MEeNZHaYjCbvgV02zeRFmvXk1fmjzEqa3hsBUb2gqZ6Ar0NQHTzLFtYsiR2aEhhc6g5fWNs
Ef7xRa52KcZIZ/q3grJcpQ1sgfUCXS9bOEuAte1VQxUmxP2sxmq4YKXr7k0L2dm6QFuJ3TPgQCLz
AhTDYXRwy0r5WatQaJSTtjHzsruvUgebX1+obWenk19E+tdMqpKGfQxLyUNNqzS8Rl3GeSAcoClO
NCXUaKb3C0fUw6oKde6oDM3kooRR+klvu+oTYU4Mas1hRfY8BS0BD6icCH1aUp82ZdUSdYVxgwU2
ih/Is8y27WvYAMvyy9kzAOvNDFm97b2HBlFkuHG70SY8Mo7GYtWW1GxX8OZo2Ju2Vn4JDDF+ysZa
Q+ZCDkirPN7HLoKVGKmlKE/fA6p0Y8Thk8YtU9B7dMh7CJM2so9CIc4Szuln4452BY9+h0dhL0aB
1NumQ/SlIsyJU6NsTlMmK7IvZlmHrOci7KOGVS4RP0akqvzJTsh/eZuqXqxUL9uAOmerNkUihm+5
O9R4pFLN/kwbwTs0kaf2WTlB9y7GMO5WmZFEL6pvnxMUBRtbxGHoBxPTx2M2a512GyPds/YuRarL
viGwwMnidBMNQ71PNGfeTu4SXuqFOQ17KYb7njLkjRNWb2Y2P46UXq7S1mz3zKsScJdHiLDoKvM1
bKPwdY7j4TbssL9+4olPNjVJQd5KhHLhhkXUnFZ1puQRIi3Wx3HIqtxXhAVNYAihBu5hFOsnUZfT
uVbAAZ15jMFR52lnAPQKYjyR1BMetKIfiw2hndl5bBpxNcd0iGvqgDc56lN/sQ1+pTiXIcKdrZfS
c/pT61QgBu3AjIlicy2SEyNIjEM3Dx5eI8qTygvsdZK74jgN/UtQacPt0IbptdF1+rmJQ/spHZw0
9BsS1HhXLszqerLCS09M8bkZUW5o3gDHPMLY+WzGQ3XKpUVgcGx3J8PRtWAlWpU3O4Mpb4t4kCDx
EehFAHoukOM2ygrrzkmrat8X1nxbxRFQgKmbr1s8tiuvD4cvXdbW3UZXSsTHMQbM4LslxfKVGwxu
eumMOoprL+rUnl2udpHIubzXaQt5Prb+HOSiJvV03zF4Lgfe8G9GX6tzV1X9jqLxdCoSlWfryosC
tSoNthcRk9suFQGah4qVhYZzTfbXodlT4i/eC8JEqzdf0pEeYTNl9sUYm0yjlk69D0lOjzjazNHG
k8pamudWTkgRJ3B17sbNpGBCNIZvpel0wdbTavpCVSgOQuAbsjJn3qtOxjcqN+r7zpjUg5tNYtOP
M6HbyZI9g5ZyJYDAG5A5E0m/bqBBaARz9KrnLe+hVqdJE2h9nK0Fl+pTP7NPQegkGx8VbXyFxGS8
15tBIxW2BR0WW7W1deH/yVVBjti2VpIg+9KMcbt2jN03gNojrlur/UpGhHyFkubEW71yOmrEmYFy
Iikz2YCotMo3mMl1vG6ieaLc2lZvdjSGn1SSW7zlYtUerWFEUlWWRb0mS7eeiJttGpowRXOlZUOC
ccoJ2rUXLtnx8zSOKwDnEp53RyfxhFGP7oeQ/WPkTASPyXBOrnQZSH0VVEV2VXhZhpgC+cx1pFnc
tYwCkkD/PaD+IG0LiY/4voP9by30D7VQqj0uVrH/fy30ouxiFT8X1AN/IDR//9S/aqHuXz/XO/8t
iPDEX+BY2CTCkmFj+q6V+BeWy/oLxzIBlY6LWhbnMp68vwURJl/oAZbyFrYGYor/TBCxFFV/KE7Y
BogAYS5cLgm+Wf5SCsFfNnRlbDQHG5qcu04SzbjRo3o+uySEb8s6cYEgVVJ/UZoMyEfzmsOUF8FR
Y6dzVI3Z+zKTxkWpOwWTCf1WE8NrvoL1r925VQ7SE1VqvClJcfeNKBmvjELrviUNvVPUZNmDMGta
+jktPgB0wRmnAtkHhSn7dUMj3jdCHuJdm2vzHjigc0ti+fiHaumHLTtXADMvmSNcBq7pL/vnBIIq
9OiqOowNeyriSz2QTMgzzLZdfhfn/cMQ+YeS6c+lj+WKQ2LBwUelAE8qPtGf976mhg49TNPq8N7z
HcPsBRIpEVIB1+D3R/pg3FyOJK2lDoElGofFx0L33OHvAbmZHdCcqbUJUxG8q63tWCPGtz31r90U
JcHN7w/6Dz9P4jVYKEPU8mEn/PzzUGypIQcJewBzP4FcRRFKEocp7TULM+x6//nRbHgFKIpoIcLu
+vlo4RKGV+QJBgF9sNNz0WAsGZ3GGPDbeXe/P9aHQt77nfNIaXLpeS21/I9ufpj7yBRSPT7U0ZhZ
vsWrlJ1UnZdrtzGwWEzReNXB2L4YiGzfzyzoqk2skD38/jx+vcIIl8gSFtSZ+O9HnkFmKAB2HRjX
ukMFuoa+SS4G1pw7z6lovv7+YL+OIfu9RAqNg6I33ZefL3ADjsViHZwcKmOer9/VPK3GE1xFVRod
JhWTbi8LL3X/cNx/+pE0+nAGUdcilftDiTYNE2SgDkrCYqh7SLnczcHqBvT8Maqf3//GD8cStJV0
IryB23N7jV+aGCLWBqOPPNJrgGyv63GSBJXoDeAo9Bz3vz/Wh/n2/Vg2OjbYgLRLfomiIscRcDBA
1cM8zYNBmrzMj1ls9cb698f5wAb4fhxymXG+vw9X8+f71pFJ3DjlGBOmCbSIlTiQ35WYChO7iGXf
RjF73tWIODUmYbhKgg344+j8+3P4MHaWc2AbyUS3yAFBcHwYOxCTU/IFW84BxsS6YkEKBHzWwnNg
TfmxDF1Ev441/WE+fzf0/1hc5LD0KPjhtMN5h35s1fShA3I1kPEhovT+mTJefqQyP11WSRHtGqsq
FAWFku3hQJVR+sGAJxgRSDG+Gk5WN1+r3suPaVAE+1DX8iPVLf4zJ9r176/OP52nrfNux3VOHRxw
zM+3KLWtYJilpu1RTDovE4rBxqemRB0nyJzB2ReYuSRFKE1K7JpDekZiNuEpK+BqdWkpTl7rBYcx
dq1LT3OU3Do9JcV1GXmy3/3+XH8dtS41lAXRBgoHlsKHU8XLAZ0bndgh93TMRyka3BSgsGo3vz/O
r0+iS2timdxgIv4KhYk1DJR0RmKwWuV8TUWTCliRlvaJMFL79vfH+jidMzxRLEjIPngp0Jh+FBNM
rrKVGBOm87LBYOkG/VrPYDtlPCrbwKxCvxqH6WR0o/yi5QXxkCVYzz+dxHv/4efhCuaL3ilYgkUa
+7EvkzWVZvJk4DzukJ4dZEZ+F8a80aoOgGvma81y9Jd3fRVgl3fxNinVfoyt3105aANPim7R0eu6
6RNVEFLUVb3YxOqs7WIEhKjfSC7E3weK5mbOrOCtR7f64E4ZVcSswfzj1Y1zK2usKSYog1NPZ5NQ
7Hwwb+wudW6dqNL3LQXni6gQEzXBKtbukGfN11MYYPLKYMtc5Y3ePmc0PV5mpPlnpVUTGfdjEbxh
N7GrY5HXmKRIugn2M9sVRX4BrsGVJQnSXmllKhAN1aZ4prBufC263LofLKuqgee9233Y07xlfSuo
s7ejFW0U1r8zEVj5UdhMLUbTxy9dxORdwrt7C0vNNf0iZ9kI5lJ3Q3+IPeIzSW8Xu0EgX1wXEueE
K5HaFUkt6cEN2LNLI2G88fSTH5mWHoev6EZeu6Zi7tTZsX6ZBUWEMfXCs1w+q6BPn8PJtsSmjgc1
EAqWaXdeaU1n3jPZQ11Pw9X75Q2cod2YlMyuK6uO0mNJATc6BEboWEcTD+6ZKkrebeo5SrA0v89W
7ItPTTszQ1Hr156KMmVElvoItyvLjHlPE4FrN9nukiCl69GdoD39uWv0TPNN8BmfrNSU8LIE3zNE
MVaCtgrXqpbxC/rSgeSlppnCnTd7GW51QJ63hJ9b927RNzTSTa5tDgXxJQtzE0FYKZ5hvy+tJVvh
VCH4fL62aTC1PnTE8ZPe1+NVPIk+WkthxE+Z0zI1zQaGqokwrY21jMN8KIOjS6J36E8RFqb1PBos
YIy8nLdFT6ASYrR2PocDZslVwNZrWrWqn6/JmCPNZc5Z53TUziYfeRbI4DwZ5sBXDDCKJlH1HA2h
TgCKy+i1U+p8TRCN5b6L2DE4dqndOVHKBdNDMZ1DLUuOqZttvBl6/tiI8Qond71tE2nsw2EuNzX1
R4zeZXNN2Ss+6G5TnLDFCz8mYpkYMkKsDKuYj12tO3taXcFd2EpAHUD7awfFJ4VmomMDW14RdkYt
EQ9QDYJgp8eJ9cXFoEfnJ9/p5dSSzYKtDYkiNUr2fL6Ba3lL1BZ45KbIUp+raj54cX8Vh6QBJ4a3
JaTa2g5dVB4J0YHEoHWkmuUUuuqcn0XMbeNHKYq6CWovLRxS4FpbfMHNb53DPL5qxnYxUgELgFFK
ndkzrS1RcvcIhWmuqco8ZdQ7dKw9ftUWww5Us+6nM3CsaNadtVdBmYi96Iau1otXmc9Vp6lNouVg
phxBHQoQ/EHT3ceahA2UwVaVUdd3eatRRHxamn4zLORVb8aXkUPqWyqcu74PTmUhw8e2MmdCpyd8
/lnOBCyWNVJuTpdObFnndlZYVeNMHbUevSNIpYtUoqGG35ET5elhKakJiPtW6xAJJqNMuhUOmACI
QWglRwMNI4xYLZQXnZ1xQmVGvxxrrjnf27OwtpQrg27T9qZ3ag2jvmKhJKL14CxpNlLP8KZO4X1n
6sPtVIKiI1+jAoVQ9fN0Tum8bYLckVuRtu5rksfNgezh8RDRV+egrKLPTajfuPYw3MhhmjbW3HWb
5f1jo8CvericVZ1/Ui2kfsmTlh0EqTYmaAdaoM3EWgSWIO/CwlE+SpyYqYhQ+1AEvBFk6Mk9EeHz
tmP8rXOWeVusYwDoMTpXflOZ+ZXS2wd6RvXaIP3mUtSzm1A6Ip543aIJSBYHZH7SML5uiyS1P+mg
tLaO7MLPbRIOJ6sbge4FwzEZOr3FCDd4T1YyqmBlYxxapPsNPQ2viY5Wzbp9ZaID3M99zsBMWDuw
Rci0axx4cpNPzWNRujYuzbb/0pFM/taKkbKxUxjmnZnb8vM4oDfe6bBccFEMyPPLjvVYMdb7Cj3R
JQwFOsEZ8TFWiTZda2tJMubg7T3qrXRMjK75VqFr3yDmno51a51lLnSsjM2Q+cIzLqANFSxhCknl
L/Ous6DGqRlYgcXmP4kEZQr4AvRiqD60mXfkpnq3o93BAoqCpfSm9YIOlK6uZatRNagLtXbL2ly7
DkPASQpStDGb7QapZVvHbfsN8SLiPp1U+SlslbXKAyM5BEltnrmCJDvnPaG3gbHrbZuB7RVnh/KB
H+SeSbcyAxQJ0uPCC0O1aqrZvg3s2sDEOZTk783VNpuV+9y1/CQmmtrvFck7Pl1n2mZpYLu7qC/M
DOsDyuRQBeFDoY/WZae75ZU+Byz7Pauky6Fwhm6mFMA2mKU+22VpIb8AUKCIQ//iNBJpWa6DQGSH
SfOmby3b8YvWGrpr/P8jUt3KI+eKkCne6XgFoS6UvX3Jjr3a4TKWbACM8pjRcuPpogs3JHn2qXLs
9spV47i3apzmfkxHKh9n9NhIGHAgBKBJKGaek65wdyLs85e0qKWzIb+7/ixCG06Tg4Tes/MYqwWi
64PWFdSSkqx5kEAnyBceN0SLk+nh2fjgfRXM/bNOTghoHiQvh7DqWMu6hk45OyowLCYzpfxgin29
JCLL7uJNmptfB82r1jFMzHRFaBktmjCczmTqlC/SKPrjPELBdD3egaQizDsgCbTQ3LT9ZOi9ekma
lDm7znhrMAk0Kej7XkgUP/et3hVSfUWi6BKbKYoxeovAxvltrMh2DEVbsE1qtbfaiYrzaFfmZTzY
3b0WBv2LaGL3S9h5DUaDwiMnZ4Hro+C2EfXLHNtfXuzpqJEdbyYefWin/0yUZXypp3mNIrwn3DKp
lzghQAE+q6jwcjInuSZZlqqGWQcHu8xGi7Nqx70oEv0sBgrtWTrwziBfZsr9rOuAuzE5ReQeJvW4
N4KhPRo4A7p1K8yS6Wyaw1vXSszJh1XVHRDf8BoxqA4xLonK8EM1a3cxGM2th3NwU/FS2Fl61R4r
cjO/VuyNlsiSbF1oOVehceOnwFyGMhUlHe9HZeIFMZtx7+gW8gM648+aWWlvdByGi8Cdwju7mBPf
KPlaVArevUGjc2V2dvNEKm/MclL3fBqr9yyMA2Bwjg6Evb5xrIeQICUkMEyvkJsZVPmDbgOV1l3t
RvYj7VhZzL4u3a0gBWjVFO3ki1TPYVzRDJZwSoABwLxx2WPT+4aGDybgBTxOBJmIfTLuprbkVRnu
qeGb284ZvtHF8nbs5YVf08/ZpoYr/ZS0VlPlNk1+YFO53W3d0KMr6JraWgYMZz0ZjRO6gl03G89z
xRdHZefuzIkgYUgk2U608Xj7/9g7z926kS5dXxEbJIsRODjA2VHayrIkhz+ELNvMqVgshqufp2T3
GVv+YGP+D9Dohlr23mSxuGqFN/SBi9vkGKVXRaO/wRcT8LeZFoH+cE9Y6Nr7gW7WKWfCg+0p7QF3
NrLtnRyPgJnsz6Vy4g01PqcOidDJG1tvD9uiRxZMDZe2movL0pmPZcBwUpBwbSmqg52a5psJ7N0m
8+bgzJd9trVhNlGadLsKWUYOiDa5nZ0B46Sq6A6RGr4qabX7zmrXoxNAcqv7+JNc4MTLpQsuVEfv
YMWNBD2ZuxF2eB54hzbJcEgd4+umHk611X+c6vVmLJOTaoPHTiZXhFwaRlWuLgK5fiv69AlI4H0I
cbcjm942RfUc2/l0XEualKGKP4PfHbarTMddbDn+Y1vlcm+37uc5dkisrJQgn7nnVSAZ37j2oRg7
VNaAHoxp8FJr6ANuTVd741tUBOk0ju9Xsb7M+CIHGCEf+rDKp+0SL+l7uwMQA0cgKk/Q3JBMWpZN
3ubi6Kx73ecfZj0PZ6PKLv3+0Y70iFsfkoXZkCMTm2ZnIRJpW9TExw+Wi0j5POF+qKlhLsdRWmdY
fZnXfLFPvsjDDwEiK8e87iFRD9kkz/M+oD06FaacCONsPraTQwqdy9LbwFBeLxV6CvKQAfDEzDT+
gj3IYp2srqKhsymZmNtHV6Nvc6Gimnn4ps80Q3VXms9z+7J4Xmg648oMOUidp7ViR4dT2ckNXU2v
QFStqJyDg/kvOAXyobNQjKF1rUYV5rsBCZR+g5ocJESwppdZCa1GooH2MUrRcQKOwgvItzJi8DEm
k6QiFFI7N2opi1K2/bhrCS/0mcxMg/lZ8nFMKRASM4JkTulfFPmK5zZn3FPUJ8uV5flUyXlo7dXS
B/Z1Yfm53qt4oewYQ8LSNBRi2zimOkE1XX8tVne6KYLFubQdCFWoBEHnQEDnY1pbNLlTL3TuAYYp
pIsklQi2SPZnfFID/0pl2pS8sWqXbQaw8n3faFKHygrsY+cIeU5uz0dbQQMNEtCRQfLge4mmJfUV
A8lPAe6tCOOT/sHv7iAPrVv4gc150+FBtHLkn7swvbb5IJKTyHyaAgNFfjSG9AjMpOb1+15Zlgt2
budJIJjZlJU+YmVSf3j9I3FUu/d2QNnfwuI/AuFbgYmU3fNQK2qwWbp0CSIx3UwraY9FscmsZ22C
d/AwlqtcZj7DTNUfXhvFXQWD1p1bqGxAdyCq5pjgIh4XH62YS6yzqTwFq2qOQe0P7yH3cAMQ6muQ
h/N6N9B4uUWnzvkAW5yn3oCzOU+mWZ5Lv0HcZTYaUlZmn63luF7NHaKNqLpwX7Dak4fOp+zrAfa2
W38pUOTEnBf/uZEhLqy5ZCoRpaMrQvOSYDACIUlsGe9aT/sosiRIALD/7dW6jNu0e6b5B666LOgo
RutFLFGDxKQjVvmWs0OBysA1/aDKafIuq17Z12AOkYcvViZkq0/zKlnL0+u+s3IIwaCPLdJ/VT1V
slrvMjVAYdWzZa4v65JvFvBImiKUWXfI2rMm1ciUzeFHntV8DbaEZaNJufUcyJiQ6DBrNq24Abbx
Vbgk081aTRDl2nw9BB47QHk2nx1r84FVEbxL3djav7rsdBU0RRVC7JyxDP5Q2/wVbMHk+SsdrmsV
q+UEMxvWEeFypfmgPa6Lsb/rJ8v+kDm+VyC7UyJUObDvM4v02gnps+5eG0+O5SbfVuQ9L3TBbhIr
HLtittpnWomN2HGc60flzs5lDHvopJFfek4ye75dMKDsNlbGK+yJkdnkpJJT0jntcxkO6jzuZwvE
H/AEGyuvKnHuKQ64w8YNaH8laVqSAWModoyb3L2kbpHvVWyWt7ar8jS2LBMYbPcePU9UNc0L6w4l
VuJr3T33Uc5Xz+OgTxUqfeeKliuKEZE1PK9GVhfdszvV8/dihDUvCL6fR3+A+eXklB6qe2mgr2wx
yYmOg5awGxVPR6mEl33mDUzGJaZj0cRHJSGTpm2wXAla4FddrZOPcsJgdrsGq3NRpa5zA3AuOfmV
EWUwYGygWoTDoy18mh+MRaOdb3bB1NGa8zuflgK6xcDTIkVNOMUjuwRxvM+YuHfPjCKtFuO2jne6
lX6ya6lOseUkPsYeK5UGUBJXCoJvYQKCaRMrswelQVmEfpec8tRFKyISy3pmGbZ0GIWUfVGQ6a9R
QJ28pcCYPwxtPn/C/oEp1EBCLmmldiki8sBWN25X9JfOoJtr9FHGh9yeoi+An5JveTtj6etn1bJJ
J04mL5/6w+KHC9DRhh2g4z75WAQ+2l6DFDLZhRhs6F3V5e3yvf38v0CHvwEdPFhCPzWufyN9nTdf
foM5fP87/8IcvH9C+umvSt8CEQca+/+aj0XQuiAiBVgRGCqYy6/+ZXw5/4Q+o2K68IAPvqtp/0A5
iPAfwwowf43WPLIR0f9M9uHtKArkv2O4JTTZISr+Rn4Y3SHL12y2jK7UvEMAr3rGlBUe6fhqWJi9
mhcuxsdwGC0sDUvev8sgw+dwfbU8dIz7IVI9+ks4OvXNmszNp/jVJjGNgV9v+Fs1PoT4KNbN2nyq
fQBWNkShG/lquFhoKa7ohkac2K+WjAOON8c8iN6FaKTcy3nUN7Z+ro2TY2Y8HZVxd2xfjR5XXTXr
sbS7+Xl4tYJEbIXmuiWMReT8ahcpXq0jO+MimVklcCcha3i5CyJ6e+q1/LycjR8lZddIu3pOBG9+
sno7X1J87ukCYVMpRVxQFkaFOPaAVXExNp6WogixtxSvVpdWUwViWxoHzG7ouo+YRa7X47DYWww+
h4s0HqYXtDxxz8TeAsPUCOsdKsz+bumK9NnNgHnnhWsy+/GgRzjkaBmTUhh3zhXdrltfLG28gSeB
3+dSTyG2Znl5HYl6vsNHByWFRe3I6M/DcEJ1DYspsKgjOnfecpzI4G4dZAmwocdBdAaytRFzHd0G
vtOdI2Kl3ollGnYITgx7TB3EWbJ2Dm0RWhYnXwGSLiC9XNCWxceUAUWPyWyVmWaxHwMeowNzGdnG
/1RaS/WEge74Dgslidu1A+4R+WTnQ25MVMkysCWfMFY1dfnltLoFqG0gie26YH45J+vlmjrj+6pc
un5rdHcvp0T2F+QV+lssY0xc08UYuuKym91or6n2kPibYtdMcd9s4Gjpq8oCqLJBQYROsxEXTpEp
84+Qt3EOcymPPhUFClVGZ6inLdyL9LaJCKRnzKTye6b24r1LF/guXn2+jcGUfOd0LjrOxsDWefWy
zYytrSUUHael7XauwvR2Mva3QHTQwkZe7aPVpPKEoEH8dZJTKA/Bq3uuI4yT7mRMdQ0JcdrCY2it
D8wVgtvs1YEXmyUUUuJhLV+8V49epD7KfWrDSo/R7kAGETNfnmP5SMMquw3nYrgajOlvSAIb7x1j
BYxairezgiWtd2xXrEkEpsEIi5LKWMZK2GlT76rXlKqk0XWHQ2aIOvFmqnnLP8yNU3jGKpeZLMsz
M4fsTrHGLr47tY2TKqbisV6K4H5owapWl41tzwCx3cFSiCBMwHgTjWrdPShSsZwynAzO+im4daIC
vU2P7q0QNEBRKKNpyCRR7wfGbR+TJF5IGROg9+HoxcO27NyWEdXgvxtHnzbpkjuMUjwaQFmT29de
V8+Xyg8yPLXpEA9MX8GdwymIE13uEbNlK/K+3CfDTDWQa109zskk6stgVHZxG+bDWsU7r1tH+523
gshBxTQMGv/adXrrbBrlk1dl051VRkZrW4rpXEh9gjgZXLUMvY61Kt1dNRu32bFe7vo2cs9HOCjo
ufjpebQM1d3EYXwPnHGm+1Hkh0TE1R51EAhuAZDbBMi602fXCKRsRnQJgGjnl7o4oe7FJwmrp/ma
9Ps4dz8G+H1t/MI6FQXGvOihbhg2op6BBOcWPL33lGEsibK6bLcOy3JAQWi4yW3vI4D/dDfRO9mj
VWddFatDmzzBoHYZ7feNg2ULAgI85AVOCgjhlTVMlE0F6NKyceLSPjA3emSeiJtL0T5F4RKe11H3
4vPE9qBd7+2FmgDpzadUyJtgKopb1TcfmAHOG3e5gGlvH2q7fadzUW/qOVTbyUbFF/lNTW5baTS8
YJ+d4VBebpfAGClrxm+bNQuu+twZTlIMF6pI0sOCn9TRFdrbOQOCAYijhfYujMvsJNPQAz03devH
bB6GK+QKvEMwOahMwJEMeNqXdsq8zqb3eW8jkHw04OCjhybBVi3ter3IpEjYPzChotzv7voFe2ix
yjLbpbmq7hDqmZANlV/gCtunMk+di7WO+701oLGCGu+M14xuelTTIrbfQwjdYgfxGx4BXb09cNca
aeJ0uUbMGtV37cjHtUzHreV7w7Ub53c+ggq8EmW2lRqR+VqW9VbWVf1OV0ly5yMuvfEMRMxv7WWH
AeNFnOAPXeKN+FzNyXM22P2d24XTrTvH80UuB3EfIMz8DjmzeqtEcBrCutnOMFFhs9jv/SHrab/w
L7CGOLox+KMUwft31sN9ZMXhdh3n5UAeG6OIFlbfzIzqep0ontbxcoJfUaH3PXjXxBgw1ioPXfob
dX/vV7Qie0TeLgRel+gDuYCx5yF78SqqOJyCcR0Oy/GeTVhdx61d3SIP6TPVCMJ9Dh97h/+AMQ7y
djAa5Hm9CnFbYT61s8alu/En55OvZbDvHat8V8cYZPgqdN+r1usPw4QMEDsjQ2GQvCDYAvtrDkvu
SmsD9e7oQJG5sHQQn/xhWs6aKJ/PA8URCccxOIfiE/wAF/1vnvy3PBn/0z+lyf+veh7KX8HAr3/j
R5LsuPE/QExxtTCQLA8W+b9ZMpYT/4AHxYICfiqQoJ+00ULnHxSj+eOhFzGEB4Dz/6HAPr8CQcRv
ya2x2AHc+3//zy92oMObn382rn31BPtvIIq5HMelYGc7AMJBiuENkRQBz6Wm1eJ9zZgrFd+qek2E
vZsm1+rVTik6+U8FsjjqMCyigtYxLL7/grth13DkImDuHjrLKAqWPbUm/RreZAZrUVVm86O0a6tY
ttLrArRX8mROsTDXQiPuvBXVuKxilxfj4N44cPfA2VNnW9NjplAU3lfFiOD1zoPh6BpFbpuplhiw
VmJymhd+TJk5zVaUgCEohi7f0n5MoDP89CD/A2r3DVrIg6kag6U1RmABRsa/gWnbIXBaRTvnazdM
OkazNg0z1FalR3C7Qps45itnh9ELExuZLw+4XsVcmpuNkvtpnCmdH/98Sa/4uZ8fGOhPzOlCD6Nz
sG4gJX8FkIWwGOt2kOkXp7IBvzLVSMvT6o09XIgMlSWaXHWYI62PO3wXjZuyQJEl3BQ23e/ndh4W
pMjDERbPiUbKgH4sTi+r0e2ZeRR7BdV1fcokqkTzPljLPrhe1xLxjD363AOCQnYKJCb+CxbzV6SZ
B4/Z7EHcY23fidEJeYNbRNgRRhDEqa/2ZC3BO7/Jrfa+rpJ2vf3z6v0KkDRfJIyPEycAhqX/Af1V
MWBYYZZ9oZx1HbHvqsSgkFybN3wWYeHdTANKUNlmCfzKUluUPUN9X+Z+8zfrKgrgnyD4r1fC1AYj
Z1M/Q+I2S/KTY64j0sWO5yL4oodIBtd+txRkoXAIRShO6RCsfvA/XWSOBfjwPoIWaPbgIfTrNyLq
ZIXQWcRLNfayXXb90llkKzpak2X6y3f9Cq83d0fgQq0HATEaw4S/X7/LRSG5RCLM/TI76ZB7X+mn
MSI7T0CNFKcU7ipLXC3BOP6N9//bTjLyEYH5B+wyQfcNNFwAEZC4gg0vs42kOcYoYRXp+8S1clb3
z3vpjRWWuckYBgdyHGDeCd5v5QyKtnXKCTHhL9Rtfh2e5ZCWHytXEaO21OZJ2t3M8Upb+bLNZRPY
e19n5fpU0CXrAARUBMSEuQgz/7uiwE3O276O7S9L/A6i5WycPK/+mwTDbw/GGG7GEFB4OqD134Z7
8t8I9rLdvDS4HXEV0orL4pt2Fsv/0LZ10Iod/rqt+pu55qvczU9hK7R9CMCB0YtyXGQS3oatxBAg
Oulbn9GmdKDWAsrGsW4bRl0mmRAL5PmYRQZeGT4v+CTN5JpSyhgZQose6gPIs4nBN1z+VX1OKefi
g2gC8nEfQ7+/61tFb19PLjDEUY7XJAacCUj81w3sp1MnazS0PmdRjjoMLZJFrbdDMEs21brA9NbH
eICFfm3Bq+BtGhqGCiAPsZEiWMally4vbMC6INk0XpMcf1654h3h4In07XsA9pKO6ELhkQYfcLSF
PrvVdViyUzUsXJ5OI1XAMdygJcITgSpjQrQ1ZBlf6C5zFd2hyavmj9jtkEJsUHBOWAs4H4Igb6+o
PBQH1+t93u8+m3Lo5YFXYBg1jU5Or4QO9XrL6x/7mOA0bE25Mr+AsopGW8PkC1W/D2ilAKHejwFl
4dOqRKgftOwDfT8U/J9pkzUFEWSTZeDOybqRj+arIcVBCt0WorN40ZOIz0D3Ee3MjLInayhJN8NU
uPzJwEE7IdvkQTjU6I1jrafu1BTWHGZLD8hCbQeJY+ayL4A7aQA6U8wfXwUWIu3Ows8wuBYxgPOP
tPB9fZbAz8+vKgBGtIecYW4uMpxax9M4oy6JfmGEcPhi/IaAR0aawSjdnkSZM7OPYFfLM6wSFHKn
rdd0ZXn24wb8QmXcKsOSOCh2Nla9LKhPg3u5GObUBLGqDkGN78EPBvwnD7sFd4ehKwv572f0XY+a
hMhxI8m2bLkWjJPIVp81GEW+8NVzh8jEaREt95R+X1UP1jkr50fU4yghTwoQaVPJEf8ZJ4vNNwor
JGtbOsZ62abDgIXbI9Cb7dLGilNLlCiqg9QDo1TfN8pvw/BQCGG2Swf8i3dKNzHj3V3qShpUWzHb
fCDUeicJDypV6FidLECmy0tfzwy7ty3ie3y/T2B0kndRhVBUsVsZD1QTw8VGl5C6VpwgGPo4s+B3
S0C2yE0UcRfMV71IdJPuW0ua5x66miiwl6vQ3EyLVg1XIkXv8VNKi0doxpna41NwnfB4FcZCRPyE
MwUDsY3E2pxLWrh7/uc0YmZQ7Lw4Q70OadCQV3BBaIedItYg8M50EAkuD5weYCM8ADTK1tcDIjr+
h3z0+AEz8CXksgovNmvc65oVHOdpZDnXCNOElnkmxflZoWYIvofUDswWNam1fuiihn9Dha14gcOC
Ad81qeNKlgGQhvd8kctqgkdWkogVvZDmlfZi86HS9hyeBHXsyH/QuxD6IcxLl1WAJNoh9q1nZN3r
K8wi4PbtezkgirJdycXMrhZ5DjYB857V8c/mqPJnuSvsB5z08ljv4FCFJjJlVYZuLaTlgw+WuRPM
LpfUw1c3o+u5SzVDrlt/WWa2fzRgAent43pCj4BEAfkr0LS+pvmZ2QCGbPRlC5HftE6WwywmVzdP
GKjNYjsHjFEHbZ3j2IT2P2yTnh4dHmpI9E8XJQbTXCNILJ5NjxFp66PcCTsQkfKkwMTpHYI0iddc
t6YRFwF6zL2p2hOICTd7OL0FvbK0G9s43ozk7bPeJG6gsrNEFKOfgr8pCbPByzohTJGZYLtwz3FB
UYw8Pu7yWZZeGvySE16rOR7M5skLE1JCNS19dyiXxOxLg4RkD+Hw1ZfpRbu2K7/rXT1Kh7a1IFQO
PcqjyI7hHCCazWxbzthfoyvhEnKLph95So0D6yHbt7S1+ay4t00UREUhZueikp8ofbBVN/EnKWF6
fqdkYuJSaWu637EqTEaYocxAeOqA1LB+KrOIDppV5F0A+DiwoTQa1Et7ztPvF/8CDBQ7PapotqYX
zD5GvtpzUD/oDoRLjiO9dPQydnXi42izj7zKHLJKjT3bcYbB3yKTEMmF+LBEmeXdzPTDOtrhS+17
Z12vGm4palFX2qCUa1Is20Iy+aWOcKi6+lGHEPXN4kxtL9r4WEqiKqYdWYEDFQ3FFe4RXFEB64p5
bbL3GEj275J+5ubzlsN/2eM1EnLFYTFZrFJbI51Z7Ar0YNk8GIKYFfyxrescowCCjNcKNu6azyZx
DlrLhPvBiji0HMTnWWMRylhierJUKWDWEL1Z3lwPbY/Q2UyZE3bXLljrYkcbGk0XRHWcJfhkNVMl
39n1XD3Erot1FugdFGNOQdPp8hC0euxeupoz5kKCBPGuEq5UIKne5f2nnJjLYD1s2uqLh/mwvK/b
oJbPE80ipvUg+GwEtiukgjrhTx0Sybj4+SDGaXwO42Ga/EhfA6JK8CSA8lE7l6LiWN0noEvpmfOM
JEF+jno6+hn4fVqg6Vxqk9KvEjQ9BPSlcuMNKN1FfYxdZ/TeBYy3PQyrew9XMkSu8QluN13M/TMz
AsCqzlXGSVZtQ9AE64qvUbXaEl7MOrUXAHaTcROo8mrCULo7YB2Rip1PgrY+pIWbtRx8gQpPA6wm
0KGecp3t4hDhwPmmaqDrhX1HAYgOBN829av0DGauQrTantaLJKbnfnQmJ3MPSTc7dN8V0OV8myXC
t267sq29x3HoMdI42l3IJGVPw22eH2Y1C3VlIQxj3YOeHtYn1bCrN74MAvqSIe1tTBJVEMruGM1+
usK812EHpB0HgvKY5KqYD2vrRTWKDGUrQM6Fch366LNTF1HzJXO7Vs+7MgAq9DUufIE708icO0Sb
BMQPLjVJ0/sG7WL7jPeS2iqD69gJrbI86qAjrc2+ZlGD1JGzbSMMadqd4yMfiw2jUMJKr6XLzRS3
P7JvGxpE4NxPad0iJjIhWs+x1NVMn/xHfMm7ztuBkpQJZky2DaP4bNGhTzZGA5UXRs6LyTUbSxZk
UFLM2hwrMYGEl7uPTPooOcB5HTIvMBGuxp2DUJJbS+Ikh2Kp8FQxN9ZN0cXapxYpKXZFmqPHR/ac
UwY5IgzijksY8pmH0W9N9odNhqkcwgIpPVoxnkZm+jj2dR588JsBXVHala9qyinzFOxRx94nTPrD
QGYPZ5xVOnquTxY82eRu1jZepo5YVsByIegl1pRMnOHMTWyjgB2s4iz23IqUqHGp+K3zeqxtbpS8
JKLf5Pu1NAGxrlzO6AkcI6nJhIAFC9Q1OBZXW6g/M1cqUwMpZSiB2f36TnuG67Jtk3jmwzBlZ+qy
ge0juf4hLkycLD0w7cijGNBWu2uSbnDkMyM8k68ypCHauGqUwWdUVxo8OFxQo5dpW2iORdV1Jpdq
utCkLFmszBqptgmU8220mADEu6ly9AjZBn0oUJRhl8ysbWxLn+UnhoOL3Lev7Z5gqM0p9eMEQ3KS
dUSx3HQsghiwFENDGHUsJPIbRdweF+aE9PZGUNwTYaYwVzAOFnyRs39XYu15hTZjJ1YyUlx3+MQW
2mqNwZbTLBFjDIvZBtgnmzzg3q/nxP9QSYfe0/fHyIHpOE+Uf6N6AGM3c8cCPRWeEaia0JHXTVrq
Kbtdkc9M4o8aL5SiPMu6IK2nc5QKAv2wgpPlrpy1M80nKUedZ+ed3ZikwlZAqZALZK7NoRgFPZul
pl+HuUg+IcWkdl7pkqUwHjfZvEbyXPpndpcOOrpdFXrO+WWQhDbXs6yeeQ+EwPW332iGpfqhGjzz
ivR1bxpesMP4A4n2TKLmVJTGee+YDSbgJ/XusXdDhHl26ffTNdOaeSdGnfAuAqYeHVlgIKTJN1Vg
9mNSFVgWbm1WoPiWrIwTli3/3/xpshK53k4VwBo0YjOuy91mWWhSwzIY8R7cOaIzV/v99SiVz3Op
GIPwUFH7E6q+FLPQ6ScdTWmODKsToqKyrXv2Ah6VCzlBcfAkc0lk7xsXmkE9OalWu7QaImc88QG1
IKmdWpx5t4Ag0JzfN6vkFuxO56ZZ4ZjUOtYtJR/aJbl81hKlu3ozlCNEIdDnkycuvcnB1nODlyj7
rLZdUwQiU0TFZjuzeSCDF5NeUnjynNXir8uFmFzqJ2gWy4xYjSv68llnzsyiMLk3mc+Q2ppcYwBV
yN3mWBeQGPyoiEEfxiQGM47RVF9N2gt+SqlZsK6zLGt+wQeqX29tS4NfFBmg5minM5kO1hmSn2J8
CCBFjtYWDjjrbyGyb3L2IDJZmJwdU+TjZmAS+ZSBtX5IIFHw1FRNQxeFI2TEQVxK7TfkKLHfrk+s
uom4q9NT8573SOtMg6kf2E6Bz9fT2oOIwMd2xOTgrAv9WWV7CIls/TMmnxmlSsmw7eX7qwcxzqRW
lVXHTb1ZeoRo+51ilmY2RjOZ/hGqW4vZkqEdTc2N7c1z07Mgq6m4/dhSLOTkYClUnlEtp91VAOOH
5HWZivSYZM083gWYuA7nSGc51Vk0uNQUHGyWR36A6JYmdCK+1vIxsadw0z0WfWMyUfB7RPHt9L1q
RB4B1a1zoLUOQYqEfwwA00xE532calMFfi8sQEOai25XyLXplrdsQYxQRSsVr6eZ5y87iiSb3T9l
TcMjzZ3RXPrYzJyE+zkbEywJEPT3yquwoznCH1wXdhRCjiZgKR6jleFPMGBXuAksJuFMBjLRlM+i
nU2FDtfBRA6mdybRrSGpcy9/bgj+h54RhGnUlxnoGGzTm54RrlUoMMbV9HlOlKkzNaKAmb+zmO9X
MWAhyf3+5SvftjtpU0WUp6CyPOQFSJx+bVMtXdNEtgrUZz9AR/9b9X1rVDhMcnT9+e5+/6rQAUOF
tjQDI8MK//Wr3CztVk134jPSViY+tYEnNEkhwZrY9efveu0G/twtRAKCNrVABNATiB2/bVPi8wnx
vCrF51nUI4XMmBk/uq2vvIzXEISWw1m4YmlQPo8NbGCaKLrqo2qLdBx1N10IM9nABsJ0eOADmFj7
Y/YBS8OUCE3oA1y8DIN+4qc/X/5vSyVoC5PYOui9OI5rm9//1NufZVKrdAr9Z5U7M9fBAWXKQg5X
Sqg/f9Vve07QGI4ZBTEJQnnlbb+bNApHMhKo5zgDH7KcJUtUTE/OGppXBMuE6a9b7u0IBcyvEwau
i/QqHfbfQHWyH0SU0r9/7vBF5dPVzMt2O+ZE9nswxubMSmLyfZKJhZ+/VsAa5A3RDuvQP9/722Vm
aurDqDZTVV633zR1pkbNGv9J8YmeBKXjkmV0qaIGEdrsLw/07Sq7sPS5W3BRfBvNsTczt5LEMBJO
4XwamzYsr1RXmQMqL6jUznRmhGf/Mnj8FbnI0MRnDBYhNgOsl1f87Q5SRbQSTBb5CW9G00+WIjFh
jqC48FwBj1UzNJs8XTIcpUo/42T8y9r+trhAN12Een3EEkJu/W1k8dKscrqw+dRn9pI2e2ZZawlt
qMni4vg9bdEyM6lx4Hkmfv9oilsowVNe1AEIuOx8+r44dQE+hX6Vby3mRUQpiWphrVAkFOQReAbD
iID2Fk0bHAAV0TqcfHNY6mVsdbvLEpsXfyOITuQiCoLq8uJMqBjA2y9p0e2BLQPvOc8ZLUcrXBDI
mhxDGtnGZWtJN6SKGdB55ZkFXU5uAynaHPFgnjouK/zeoB9I7YmaqGGbpAkJrNeMz3VMspwU8M7p
2qBmyPpHaSHpTLp6RgfxImtK2rJ/Xv7fNlzouShFgYCFh/371h6pLDLLXpePLaxvcta0U6YEildl
MoAfLes/f6WJ3z+HXBNq49cZDcJkUfhWUZpB2aJ67Fg+xikKPWI/5nFQXmH1gK3XtT3A0UPsECwp
RdSMkiAPAllmczV/voy3dy5EgJi2YxujYt65t/IxTdA3gMVU9rFsaX+eMC5U9SMGM668dAf1F9WY
t5sc3zk/FHSKAtwnkJ9/s8kDx07zrBuGT7rvivXJL0KzLRAANpnVn+/LffNK8+lRCNoZ3hSTNyHs
N9lBOoErrBrtPuImaUe7hPalSg+o7OdUujkUa94FBt41/wlp2LAvZ1/ET6TCPpofHW1dWjCUPGZ+
302iIg91VqD/D3aeUqFkIUHgBSmYzLS1Zsu0ASKF6V12rqPAtInLmunIg7Ycwc1Zpc9ZlKZIOxNW
dG3iNQUBkOFzyyKOVvCmEE34izbQm/VmDWJKOJv3FI2y3yemPrrdcR2M8+NYY5hacr+MKmC9TC2V
85/XW7zZz+aZErzQIDJyesTRNzF7ajt6qo6XPERe+/pdo0/rtNS9SfVHQj0h6PvsvQKkwyo0M4QS
qNXff5Iap3o04ycckT74Xmj6mdSCHZHOrYeEjoJVFqO1Xg68qliC511dTsdFjBRM+xK1HorGlaCm
Dz8Gf0yLzBAJDQqXd2eN7JXf6bY2D3wFCOl/sF6n4+H31gRCmqbHa/mZeZKFQ9aC0ghKQTx3JXPT
WP4xQuONZO8WzDw495KELgc0GaeeaIH8eUmjXx9fGKKvFOKiCGDJ5yxEj+zXvKbnDnRkd8lLpUX4
oZAoUx9cxqNnQRl1Hj3+TB0Q444vliivEoCxSXNWu2X1pNMc0o5x/mRommIJZqHDswngjD0m1K8D
6rwDYghZpN2zPC7uakZtL3DWBgTLpQXfk1lOcKP9pL3I7Hy44kTKVqr1TJc7C6re+5U5sj5B9gc2
28Eu9nZ0Dcsna0UoALLpnIFKjuWtx6lUHrzKQh5gkXqnuqXfMxOvnjJm+KeqcpkSFJ2indeWEyM8
5VSfQE3g6DqnEHLGtbcddEll+OByPj93GY7ASKoEGS2MdBiObtE0D1MoxieUK+AE46eFUa1F3+5j
OSLCXlmdfBd4w0BalIxnBRDGA2OCBVoq86IZK6UYadzRqyEiNe1eTTEyzVFWFO9HFJromidIPahJ
tg9rMdIS8xwLIppleVuUpu48tdif3UUNn9Bg9h4zMMbbbA7qCwhU+d7Ll/wvxge/Bms2BGNlgplP
qmDMe96KKbW0f8LeT5svPC98oV1E2/dBZYzCAmkHj3/Zfr8cUN+/LAQoZ455cri3GQnUBVI7GTdf
oELWYIRm+wGnTBdJmLqEpCZG6r+0re8YEYblX/Kx33b+622C1WFkQxB/W4/A9oqRK5L1l75pKFzx
dkCfvRYOwLc/3+TrJ/33Mfx6l57rAjxAms5YZbx5x2a3Ll0NVuaLg6eaJucx5sMtBU++m7MqvG+g
ZBl/B6vb2JWPSIHQXV4dde4HuM4oYF+A9YIbGcj41Fh9+Mh5CyqbvqJ6qmuSF1c1NcQs5Xh3WKI0
3xAVjC4b2rN3CI257+OCOnXjwKzFu7hMbwQeBxnGfHVA96ZkFudMMY01GS9fCpxEGSWMEj6sbz/b
sxLblef3l1zoDQiPJTFpAGkQ6yI4o9+mBI4VDrMXLesXbzSLn+UiO4q2qM7mdX5unLj6KKx43o1u
ytCjx0kG+YLFb3Z/fjK+Wfn/Yu9MmuNG0mz7X94eaRgcgy/eBoiRDAZHUaI2MEqUMM8zfn0fD2V1
aciWrHtdVlYyZaaoQAAOH77v3nN/eDKuEmsqPQh8O5bxnxYUIwsL2gex+xYNNA4op7WEnXm2Kzcd
XZJ+M4piPsAymgc/0eqCbk9VHPDGyZuxdkbCjd1Iu12NSBysdaFw1oYkUSfU04M2026SpXRPi7Xs
S6uwnqiB5sCJeGi+Q2NsCdZ+pu2SVl0YuLV0H9g2EvI8gTRYnDQ5W26d4Bai5JlEVX1b2H3egxns
hk9LHg/vdNvM7nGYskA4szHtLLOfiL4GgP005ZK40LjR+QLxjO1/7CNaAG7apDRCWBMfha15pyRe
xHuDqnbo03RACv/7m6vu3c/3lihg9qAOp1n352wejEm01+AdvzWJsM9aY6XPdWItyyZrSv1sTCrc
/PefaPyYjMOocjlmobpFjwTkDrnaj4uZoZt5W7B0fgHqD50IqjIW5GHRrilUpjsaET0zvR21bzU5
SM9JNPenJJH6vTZKa/f7a7mQ9H78+mw1mT6h/7oocX8WA7YTVmgvIog5mmkwcG4nW70izm/cNMVi
+41u4g8YiipEC25TK9yksWMfYuSweIYmKQManjC12spxP6DvH1XplxJ6qXUwxpykOzSWBQ9riIHS
224kfBAA5uR3i0EuSVTrxeC3BqGiBKza9Z5U0XqXZr12Ix0QmRg0Xe10iTNZMCIAF7OBBEcTq3dQ
GUl2KmjzsqO0iODy8yYvkZQA4dmOND2f7ZGjKXuR7hHLb3nESmS1fusil2Ek0i4KHKp+d5ZMSlqu
KOrIPp3pK/VOnkdBh/bhZqplB7w8qR10tQRsGkeV+9DudScy3/dtlXwYyqn/KhJylvxuTCG2/P7p
/Dr/MFIkojmkazAmf6nrWSad0GyeMkyv1AeINpHpJ1QeC11DHhlnKvdt7YbwiIX/0zKmQNYWZ6yL
P13GPwxYMuPYNlsoV38F0aKU6opudfMvEKcgHlweiLMOcX5KAK+RpzPKp6Ythx0UsnBby3B+iaEc
14yT1Xj6wz35hxfWw/FJ5gc0CP0Xxe5aDNNYzVn6JXJ157FxjO7BzDUgJRR2r1kXh/OAKf6qFmVx
hCpj3PRwbyix5/18l7jkaPppOY2nRBusryjnG9v3miT7E+zxxzOAescd9K6wbE000xwqf3rHxyJc
sLWI4QtV7yZ6x87C7gIqiYs/dPp4Np0xo6fUrUAyvNauvoI6c8muwOYx7XF8dM82OdAnHZDFO7MV
kBUHVoFdm7Y5tztK3UA0tHu/Pej/+CyelvrL//9/r29FUuK55JDyuf8Boc4LxgP6n8HrxzxPSkx7
//BD/zIku3+pIwolaspmhM3/22sBg+Avm5PSRfWN3wI89r8dySb/idMoNXQO5xTbOLr/y5Hs/CUR
inm4N6jHKSPz/8ZsQSXjh3WOOj0j0ZKcnDgAI8RWhPfvK8OJkzApYuq5mhvDTfyprpQJbnGu68bV
MF7OhiCKJZWPddY0TPaoBcNAHz173kQdwSaHli1nSERE7lytqysIEAF7O/lgOmYIOaIQeyMF3HKf
0a8GNSIcOxjJDiIuF7wsRGWzG0/5hFjHz0N7wHkH70Io2JpzwrzpVugy2/W4GmsvyIOoiGdCMd7S
dU/nmFhpUI5ktNSjLzyt+STTxf3s5SxTvQdxKlp11oFYtWeChdqxjRKRTtBJUs5BVlM4NxN0a78Y
h4cuN7Wdy1EZ0yRMJlQkTG+PNbDyewJt+nMLeeChSGn4bN25orOTenNk+6WtR/BP0/oht4m44K/n
+LZWC/RGjFCmskSRZ7/HxYdLiuDgameXNsSqby6qi6NqtsNmJ3rXfJ8rw1WCYvzRMGeCimPxMRqV
Lata5KZUVq1BmbbGahGb2DDvYgdDl62sXdqCuXemdHhngXs7Ew78YOv0++yLK6ye3fizo6xighpD
0NLvvTYKYjgSZ24e8ITjLhuo3d50A5Yz+l24z3plRNOnbWNW1TlEevw1xdq1GzOxEH6UeEHUusyw
jvxshyGFH8QagaMMb6wCuN7s9b0UhNWzsJZBndtXozLKucoyl7ad9WApG52lDHWo8pp7IN6fUmW2
sytn2qzRfI2VZNnYypLnKHNe69TaPfN78Zgr616Z5d0ZIEwcKBsb2dMZKL60P2szdmwARt27TBkB
RWfO50WZA+sZm6DBcX2D0TDa6GMYPaGfZIeVe405BGlZSf7aNAW0VNfGtcX+82rRB87HGBOjQeT3
7liiSsS2DropwcLomSSTrRdfYx2t61lgVQ7SetTY9s7VngQcrJAmI9pV9kgzE+Ia9ZNft5bYGQz7
m2q21pexRXa+1XoFtUoJS6pFhr3VsjBhNmht94MyZmrNcM02tbsCHXtDz1W5N5WREz9sSuN+1g7W
xefZMQY3yOMghYRKebH2zxr0P5bbB0+5REP3WoxksFM0/7AgTr2LMZRqGEsN5TCVuXgw6NNvCTH9
3NXw8grsqMvFl2p2HwuXRUZVtZegSMxrGxlkUKontbxBg6v9SjldsUW9F4Ocg3GR4aFWftgJIMIW
6GaEAlS8YIHpbk3ln9WUkzbPIvu4KHetuPhsU7dDCNjqbN5IY8OM6ypXbpiYL6Py6Q4u0Ta525jH
tLtasfL2ytNL8L2/lMm5VG5fLFQ+cazFpphTYp6mOtllf7uDuwdI3Pl9rbzDo3IRL2tmHaV05nv0
dOuelDpzUyvfMbsr50ZgRV6UJ7ldSJnboN6e7ifRPw94Ew4a0sbzJIy4xHZZdWLSH8tUoxy9aYzW
TGHHKBv0VNl4Tb1PVVPZW8dZ5VNqLfVOmGTHoOMP7xbLS27tuHstRS2ONnIPsluMV7g6NkrLVu8/
di1fGTRvvWnr3LyO8pKkQtNmSOsRdIMCqm2OP+FuYdr145n5LkcLCWSlXD6ug+SgHTI/jwNjMFnm
5SPqBozhRaI3j007P5aorfzIK4tbNI2Cw5bMh/ouskN2tfUUd/vaFG7t5/YITGVNq2OdjSj0krLP
N1VdygdYtV/h/U9BZM7Gboq9fEAebiTgsxwAr7VTckog8rsgFSuoBjsd/FplLBoqbdEz+wL9/SUs
hrA1FR0DgAUyMyKysr8qkHYOrC1a8znTaOmgPU0HMtbjyXRuAU+TpU6Cu3fIBi9dT7NonfuZBfsR
PAuvCCAkj9QqMGIfOiNpr2KF7gVhY9mfekY/QT5DE8WBoYWu8Cendh+aHGLzJkRZc1WhJr9qllDb
9TIto0PY9MclsaLbOB/yR0+jpOO3o+buY5K/p0CuU/xSe6LbjqYoDkYSxa8eicFY0L02hTK49OKE
fZs4J1fUruOvE/vzsfZ4P6xxpKwyr9p9zdT+tcT/NSFWNKebfuy6u2U2G2zYzjIjcKW+FPmpPViz
L+Z1eK+HVvPatHrywpocwZIvhpvOWovbcLTlVx2ZwrqJ89B6oKo9vsfRtp4L3T1y5su/ILRx3mwU
nomfxFYzoAQe4ThIkQBeHI8Fs22AJsdcNoSUecB4yGiCNUFg2PMwLvYpd7r8TUvxC10Vg0nZy6mT
6T5shPPMOiK39bxGu2FZTA3AG9qxwMgMznttMs+fM06ugskoCp9lVo53s9vojMol1u6S1KHKatJk
ekmXMDtT2kJGPYa9cEkBK9YjHZ/sTfRN9lBP5WPOedMMSGMPj5lBKJqRxbysMKOa27WxGsjMU+ct
PnjYEKwwp++bmh78iz0t05fQi5uPZCSMOyD3svU10IYSWSKcudZIx7vSZr7xLaTtn4W+dLc0YaLQ
tzQPKB6Cz/bgalP9UUZzSdjyGg6kU0Aj3aRJStqSdIv0PSYQIXyvsvqHVJCU7Guz1Zwd+rVH3rkk
3Q+mDkl6ETNNjyyWW0TB+kso+1CQ6aVn88YYNXs/5CJ5CGWt7xv8AEE5DCXAOzB21Pfj1CNddCwC
Bdo+LVPfXBlx72ycGin9Mg4Qz0wGnJvXK3aTFka4bjeBk5r91o5LKXyjq4kf6/pNZ9vyRMtxKHw3
rPrN7Kb1sXPhP+MNK9sX8IQ9lIeIjkKAuq76kC1mXW57IRc6QGmzfnHYQN0g/KQIaDqf6NjKd25c
Fq9V1FU7K6YOsJlTN0RANGYo1MAHMiPaSESPCQfZG7kK9+Not/mBXA9UOWZkKwamtVifOGDH131o
WM+yp63ue4U1C2prY0ecoVkdiALgt9k6ZB4Gl3h5QHffjMFsxsbrKEczIG6r/giouL+3CSwog3Q2
9Rdy2aoQ7sc0MJZAq/s064032SCOUBjlSLvyqjT8kGBceQfLwOnweMXz9dANyx7TiUYuYUv6XuFa
2TGNsjt9HZIPTemecWORgABSd4T6N3lUgrG3SerhUj8Prog2cNbhDFIuNW+dnL2hh69z3zhsLKjD
jeKTdFfT8UVVg8oVi7v4KZp9zTc0ywAa0SVkG+ZRdO56QNWTuYZHM4Wgtwq736y1lUPW0YcTtfit
M7TFlzg1hzZAEeF+oThHIt3YAUdDQdy+o/wSfnJEFdL60S0izYRcu6DmcHkTm3N2jNhmwewJbb32
kzZKBeU2kb7VuhxLv1W/1FqcM7VY000VNvH7PESbnth6DGTchgJphMOprWeZMsAdgsXaQsIvY4+I
dO0KP5rW7cq2GVDRy4bWgRllHzrMPhg7wolaT5zYpBLWgEW3Tbiu15lm1FeTIwAf6kN+MkWSfA5X
7OBULvtDUTfI7qRVHpscKTharPc1NaIhQELUvkZW497RX9S+GHAmvzWj/nNK/sMp2bI5pv7ulPz+
FaoV/qqq/P6c/PeP/YtJYHCuRV7lOLYnLTq9nEP/JnehIvqL3qyF+sSk3fMvaJf8S9dNQWAJPyTI
BeAS/j4iC/svW9iGJS3OtqS+cHU/8Qd+xyP4saME7IBDO5UatA90/00EMD8ekJXRBjH04NwXIyiC
oEzQKeLp7TlvTU338bsbc/etwPo9/ODH8tDlw+iySIUcE2C5fm7/R/YssCX3gky9hdRkUZlPS0+m
6LcQUIe14iWCkvkqR3x8/4ePRgSgU1pwnV+607jdDeK46cGscuajJT7crTK9zFt3cIwny5uhU3bo
xixFsKb1+PuP/7F8p745NXYauez/0Suirv7xNpvQikqZ5tZ9Tv0KpB+GQdKVOYXWV0mlPg6Mlnf6
/WeaPxYw//5QhoowVJHb/bmBRwRjOES1NAHAlOZTSVX+aBbO2uyo08tn1XU9iURxDwdo7t0eDkT/
5qgoemCp3IcGMcO+diNCVzutjcLtuq7ild4RSwIJvbpxTdAIEfbJSqqD39WGiskigNP6Qy/wZyGH
uncOsDvczKor+HOHzsNQQDhMbLKKa4wVNgtA/1FO7MCaG09IYJVThszr39+9n2R3lycGyI5qFL0n
JQ/78Yk5mu6ms90a98SbG0+ltib7Bq3wV4DQsNaMFWyvICebdhSd8SUekv3vP//XF1MJZSitO0qd
Q/Xmx88fpSS9OJuNe0dzCJhXL8wiYbVGY2P8QZXzU2vmMlAsg7I5tTg+kAiyHz8rXFxcZvpg3ItE
zg9ajcJqh2WX7scla3zmcP8KEke9nTBbA+oavCyXoO80i//EAPmnL47CkNnSUCW7n0etKbQK616o
3w8QQBuiasO8OnGQojmLZ1r+H14SWgzqveR/tLvFj98d67WeaNZo3rcd4umSsyYh7ojOrwdXR//T
puJowTG9bpqEUU6Ki3GGQc1hb0kNDet2ulbXmjPOD1FjE4yc0XM69ZmiqPXOfBfHI1nkJfFSCcdG
xNVXMmZd3/1+rFz0kP/uZ10eIEIRV7VL0Sj9ogsAGBMO3iKN+zBM9Wa3um17uIybuS/qlxbKRZB7
E/MerpcTqQaYAwn7TYKOKNkD3mmi35NMkLS+TqQVUe7Sye1p9fnh99f5D7OgC+vXEzp1R/GLngWw
wDACejTubRK5qGWo22ygCXwx9NB4arC3/GFkqxX0uz4n+lwdcguKbcX9wB/9s4IGWbCZ6oRC3GPr
rq7tniR33EbqF4uw60EnAb61nM6hBhPiZaBBD6Zswrv0mAyZEh6wr32z8KPdpdj79wQF1y+JJZg4
1Zi43KKOVcOBWh3LE8ab6nox6O/DwRVH01XuVSSVf1CBfOuVfv+8WawRvrsog5Et0q7/adCuXibd
Jlmi+4qfCiQxUBiQXS29bSxUhQcC06Frpu6Y9hvT1nInSGjNxDsZRwlUPv5unbCYGmx0ao5k0vXu
blwxGRxipxsMONzRovwOdrhudGuFzajHk/au1lCtbdBxYUWdUMLaAb0BYPy6iYHRT7tp2LIEUPTO
0ryiYF2X90RFxNdeV6Qns/CqM81CtyHGo9WpktC++mAQAnhrVEv+Wc86YwNDns27uazk+OBSid8W
asPOVQ/CYJP0rN9XKKUK2PpWWt815PkWwRwT3s1BotM3thtTZh9dV6ufhzJPp40Vuu6jZN+t+w3n
F2IEzLEhqpwuMz4vRy5t4PSm9wk9cespTmCPeQPgBTSyYYDPbDZLAswUkcrJjKBG+zUZYLoj5SNc
QpBtLif89l6bkFJQtVDKgqYzqdoWaPfrOzcq8jaYpYjDDSJx+RzFA8tuxhhxF0T2uGYXuUVUNUVb
tgaIcI1+5eoq237tpGCbUHrMNmwBmYiRNMwPXbLwY4uLxRG9FXYzD2Gc8GcjzUFnZpDRWJmN2PDq
YC0H3a2vLLjEy41jVc0Jh65n7KKFQhj25mT2jgIx5nnMZI+IGz+hH5mxrqKT2o20SKtoTdHuWkps
lPfqFyyo6wej8xJkuN68QQJoflp6KnF20nR72tvhzlyt6mMhO8gmFhnWjVPHbwyU+Us0hBDp1zgq
NzqOF9x4ITzyNqrtTWG4Y8DAKnRaE2E5E3OCoWihptC/iQYM22wnUf2kEcCVXY9YwDNxVZa5LJ5c
CnWESyDSWSp3U7gkVHG8W1AOOmQw2hKfOqZlczKx+GakT5KsRJN+cYqNlxmy/qDFo2NxuVlatpul
WQpvp+lq87Pa80OVZdxpQmiqazogbIaYwcVr4yE121KRqRfIVCE0SK3jiS1hz6KwoEUMRlcyr8iK
uYJEKQylsQfTdidITLICWmj1i2w7niyZsTzUJKVKoOstzm0swTWE845Hn41M2YmI7gfXAzC4Lo54
DW1CORH1sV/tc4/ZqJjsV0Cn8hlXV/fWrbE4OoPDxCOYhwDNy23Rxk3nN7yhXkAtjL9+aWwujhMH
DmhwOc84CLxNthTVdVZm5hOFE/WHqlye+n5kfmY6C0M/F0S1bQyj599g5uU7kVlsnE1d4c5XF7jC
zsP8/6pk3zRWcos/0cZGeh7KhilG0iM8RU0hTxKewwNsFxb1RGNGvcyR7OG8U2iziKKAaQ8h0vS3
RqpbKVthPHXdwG8vV1sMA7RdUBXzXcW2k56OnSx3zWUvkuWOaG/LIkO5HY3GeVh5IqNgZ7iYk/E0
GqvcktKyPAwJxw0LSehTGposz/1cT5tF7R4Xk3tvFAtfileST8risXuDlzA/pOp3IwkZhPuk7D71
bLRfkQfLLdKB7q3OWW0bGTUvaVaw+8WfsTxcNgrgvAgTm9PceTVn9vdpl/NoGy4GImr6BgaRLKEE
B8SxajT9rMe80k4V6ucONEgFFX/l2ZnqasuqYeHpqvZAYtr8oKc6m/CqwuVvG1n9QumN1XwBYNFu
Q8TAr063IpXDRIgotelarnzkZ/AwVySHnCCjlAXeMzY4UHXlNlvT/u3b4cdSa/KSyrTY5PZCqo/Q
sobYjtoZxA3kdO+Er4QEQZqU+Z5lhwuszRn8qId1P93WhRF+yjXIOSQJqFfICG3s3iNUCrZBrDz9
pp3uPTEhzZQdz6gOPTZ3/KOMlJkQbxFzW6WOKllcYGNeDDYGumMdHZ70uews98jXqa6tUXMecL+R
6EF9hqsdB+yY08SK26vhaZe5cdYjHMp+JhTfLh3d+U5gAx1u6inS4kMRh5wBDadk1A4x0uEtFW0u
JrQZwL3IuGe94clngkXcpzTzmnzbN3qyx8XBGAFUab9S4+GezrXCr14mgSy35oclKbkreZbIk7PY
1pFsMl44R308cS5ekKq3HrVT/ZIaVXWNg6c9sN1vDk1o8VQTE+UzGUHqPkw8IVkm4TOa3PluBjXx
2pI6dZ2RCFFsTZI7nU1k88a3LfoKlLiMRIHMp7ueEqYAm970vDXanMlHRE3U3ck5NKejR+0uJJxI
MDWZVLUORWvI56RfZ+n3HEc7rF7IY33TI/7QN3EEPi56ar9aaWo8mZrHGUCmHEPE7BkEBmPwRjcJ
upi+XAq0b0lk/eJgoWiCxpjQqapvyErEHrlzmIFgWST7y4F3nbT6BfsKr2jEETVh6obRwJH2aWj4
l6imeCy92qWtWP0gLKjReVk2l1VnRNUoi5EnxXx3hFTyVJqeBi7aLDbtMHCSUXetrcdZbtLJyNdN
qy4ndvgWGSpxMvV63tcyjqgLE332gAHEgnxvraC7gVtTeO4ipqMk4+UyhcfsGHetbdFyNxEdllk4
P8BjIZBsGt3msMDjLra2HHL7YW6nknyuCQQVhhjdfhWzmln40/IZIS3H1nwQx6ypSOMB0zflV8Xo
8NM5pObmEa3cxBAJM270qhYXqI1q7pvNVNtXkaFQK/UYqSO56DmvxAVj4nIDvs1F6uA+pibzgppY
oduy4lzGbgiwAmJpT21/Bqz7iUDt8P4yPoU5hHtA28MeDq0yfQ4eQwR3OQPKzsYrzA64Ir4NiAI9
w9caHtAYFO3YHkg1g8i01PZr5FBLuYwKEmR4KTIzNM6OKHmRm9I4A3PgJmSdllSBUxKpgbquZCai
UQkEpTEpQuC9Twg+VF9Im4gyoSgL5bwVE/9tYSPU0qg0jbMh+AoMOePJBoQ1bYwc62tAD5UVBr2K
tQP9Mt8NCCqeIUUbt7Zrrvec1BnUOji0IUDTjVNezYBECdJXURHRoG5DTS3ffcpdstyJ10YtQNTo
I8DmQT32TApV1I7hrtFII9uWg7radOh5zaxm4XMj6rEPINJahXvCTiLnhY2ffRGzL4j5cdSLXiMv
tMVQ1rIXAoNgwJI99MNYxrdGl+oVUTOFcW51zE4cGns+IUoqRrtuhGv71NsDm5BIy+QznYhkX9az
+r6unO7EYLqPgzcXt6Zlf461UAvQpXQHG4KQ77a8OxOR318jq6t8lwQy33I4UgdjhSLCmlke06Rm
RVoSUsF6Sp6SHcriPGfpwn1OcD34lT2t815D8r3TYX6NftRUdHLHuTgmdZ3eQFIxDCQKdnHkZD8f
SqMulyCva3LWKqv6Kuec/YJjzkyGbDJDn5CXnmiluev1q0ZN/lcoAihEIoJmTzUI+jRmXuZHUCZU
YagUDWTuhpP2CACFx0MUGr820uAmWfY631EBRMBvTUw4rZr8m5E9DirL+aGBZfdANBw7vLkBH9BM
vDPqoJzljIIJqpn6VCW41VsuD24AxSazYn8gwokrnS+LSRgzb69Qe7IvFXtMVhdZy22q1nBDS8Pn
0AsZQZeDYaRHZY3HgXQOv+2Z0yoM4OE19TQ6a3ElT4mMxBG5pXGOZlvCzem7N3NdvI1jZeLIGYzn
CnOP9bOlq3EYiojZanUS82nkk4PLvAl7kclRsmBul6bkncjVfrMOpXeiM58UG8RDzNGzwBCRE14C
aZCtWsMr1JPtsU9CLbvSKnvnRGpmXteKFYizXXww7Tj5IkZH764BF/HG9ZoOLzlr5En7tsNo2D1o
rMxFBv/l6JKC4h45sM39oeN843vD0O6BuQ44fEzT46zS2696hjQSRC4lOxuMXECdh1viphrLRhia
nCQKh4XFGRfnKaZivVkb1zoqQPa5XSM1HVy2zLZefEWOOvtUyQp9FxF/6G2dpTd3fHL8FLdYnmb0
Q6dYLMm7eohg/fOGMDtz2ll3LIiDi3AFcAK9yVq7Q8NezQHb6ZIYhtaaD7TmtM/KP/yWymH9Qi9q
/EpaX8d2e8ojvNiLSeWi00+IRImIpLjyARea026GMCRYsGlAWmybam6ubGtOzolL+E+UOsn7ou6j
R/At4xwMRY7eurP1PeKt5SytOnwXQ235XDULfxNpeGQOJ1opo7sVwAx0Aj2ajMDFJ5mq1pTzcqnO
/KfD84cOD21fir//swwyeM2Tr1VbJq/fN3i+/dR/93fEX5R1KGldjNoUj3/o7wjl3UKciKpRtWv+
u8lj/qUbHEdRQJKIZxqq7vovHaT5FyYfQHFINBHLYzb/3zR5firwosNEOA5SmdaHRQHdFKpM9p1B
HlFIVVPSmM8l89x2nKBY+pWVYtvJ3GmkxGwvV+k84ibS9ax/AYg+vssEkRd+J8vm/Xd37x+6QMaP
Bf3L1WA5xb9EwRITgqP6Ft9djSgX0HnxgB5YbQqiDHGDP7iVg59o7AknGScxvLijihJrC0/tIgn4
pDqw0qwPPOmWb7Lv9Vv+jnhgdciNdxidPWMPQzj8gnrJmP9QX70Ugf9db/t2xbSNMAfjX9V/MckK
paCmXNSfLRwp0caBZPVuxLkC089dkJSOCEnTTeKGHidiFNn+kunWvuDMaGzakVKGihVgXdSoeHR9
Uo1+X6hNq9vaGTpOTKR32NWuik6qcEvaZ8/IDK+zfLLnLUgmR2W+jcUfOgy/PgYcyDqVGegCkGl/
rnyjWo3YfqM0LHt2pVVEg9IH6sPQqEsaDWCNkMWGRv7h94//x5IsjFfg4vidLRwz1DBNS13Wd0/f
1udIkMtYni/VLVQhA8c6uvdeGD///pNU2+L7p6Y+SVJ9pH7q0HVUCuTvP6lGWbA2bVydvVqneDNV
HFnD3ltMP6vjrd4MbJ0tfcGHkQKEK/40aH7SHvNFlY2KjgJOUIfZ4aePd10roeJVJGeVRPtawEt8
zRCv5Xt7Lbqtg4rNX8jAjfdT3kyUHLPK/dJzKj5OchGnGaQRKB0sSBmV3LJ4Z7VsdTaxtyxfam2s
N7q2Fi7pNpUAQ2Q56/CHluVPuGX1oGg+MW3ggKDI7ArVIfvuQenOgJjXDrUbYwiL16TtO47zWtaX
wscpVEZX5N1nnyJP1qd5bWLofGLmnGSM7lfytdcqWOIIxT40ri9Ja7lvI1we9w9eNUzdPz9kRQ5X
RG/l3+PttH68SodNjt7GvXWTikZtezY92/y9gtTJXY8uMGjnRr8fsfUMQHNjN2jJigO+U+9zUZsB
ctTiAQVvMSMhmqL3hCZXx6XDslzbTf2OlRrrOJtCcFNpipKst1KyadKuPE+11t02GonkUWQg/9DW
kKOMOcbFgRpX/mCm0V20lEjZ8sFtzn3YPPUmuPGNM5rcyGQxmRvEsAJ0nLz0BLnGewn1QVzFdOwJ
MAL+StJJLIqAMZ8cNfiDhT8t8BYMYJubNZ0/47juHwddc2OUcRTxw64ZjiI0qeXFxgRrz9VQ5AFA
DT/RIWlVA63RPg7UStGBduYRVG19NBqZvyXUl3nvrSJ7TDCyuP7YiOiqDdshWLgPe/oQ8raZinnL
SazZGcZsjNvcdo0oGKfIIxHbxANTdBY7oFreUlqJdGqGVX9gqTGnoNRTZY938w/kE8ck+sn60bZ6
pF8yJZ63c4r11XOqdtvpFJPQYXvIgudZfwXnN33tKKcT2Wf29A3KyByj3dynFS/HNG2XaBy8XUtK
7SbvreJQ8kep7Yu24kYXI76XLk05XYYTOz6qeavPkTkMoF+Uxb51iEUSw6Lfqxo+JgqiNpEAAr7d
WXiBu/1sufPJydY1D++HqYHeRXUDRmv7Rm6Xaa4v3aTNbhH7smUqrz6bED97q/WHfhhq/dxnfZHN
VyT5rvtRQrU9Fm3CLjY18+pRdylepOzy4RvyDAh2aSDU87iQAoC6C1kPe9Kgm62TTZEeQMcywluE
27gGDtniTkqtTTwmTrHeYkRNYYWENxhYC3dI1dPwduTVcYA/ebXHgEPnVOyI6W0lpjEWr3BLZcsJ
tBDFhk35Si9FgN2RU3AshyncTblLQaKDHpyh6ldnMm+1mTFLtN4DLQ5V9Rm7haJSl2hUo6oo8b5q
w+gm+oY0336fCG/wzrZGPNBVabk9ALqgBAe1LoeOil4bb2vcncU27EY0CdTFy2S35E6xHPSuI7jM
Bh2aBO5sk7LcJrRfCZoR5nusnitOQcvh1M7/de02T3W8HENflu/TopDF0Wpln28zZIIPqyrx7FJ1
fLyOEfy65FnHZtzvw3asy0cWY+sqjVYzgxbEFWyrPo/WrWfMAMcoFtbTTeEtDG2NV6VFOwvDrUXg
k2+i0CLAmARPdShxO/YnBGFbHBUySzobjwsgo2kBVXpEjAX5geQyFeUN/W6Dgj/crEOY2ZAY2lre
peGUigD2LSfsgmO2dq3T19kZNQn3XK50660BzKA6xgkJF9uMltKEInFFMCfxHDB8kH7hZU+0Cx5I
g2KzVItGYhX0+bOxlsmKpHBEwv8EcNIczk4tF3CKsulv7AGJ9z7q3IwfkNSvrV2YxEZJWS4vYzTC
RT7vuslesXqAp34SqWm/2nOoqkOGqniADFNNEWflCF4MUMk2OWy5LqBgB1UsaV7ySckF0igdHzvb
mT7VbWwdRneifOVlNofKEt26tbPzipNu2VK+X+faEvecF42nb8fOyYF5FfS0C2cUyEWaHNrZpJBZ
uhFpJonGUb3UGzU401R1o/Iu7iiXCmpCekPNw4+nkgurOibda1YwqkIeJdRtwSzZbhBIzdWx72gZ
3aXtkGUPpody9DgTYj/c0HdUm09VSrQztBjbair46Kpaaf1gH+9XQmtd9eXVpU/MT1yXKuAIu+Rb
DI3NrVIMasoL2cirU+cg3O7L1uWVp0xJ1Yz/xpyKUTy+bYATKMpcHVMHimHuDDeFBjLFT/ShmXfk
kOmc9Edl6uCfOazzjZhAZmmofTJW8+fQtOSVNyaJB8iA83pwKRtP2JypYbQUeax+5lAfsc1Nr9G4
Z+mjx2qx70rdOF/aGITgoJqPRZyYVxV56MN1GP8Xe+exJbmVLdlfeR/Q4IIWUwjXHlplTLAiFTRw
caHx9b2RSRZFd1U9zjnghJmR4eEBB861Y7atScZwkU47MeAuxl7ovK2B6rTLl6IsrLt56NTm0NJk
WrxOdpV0hypWqu8UQG33EFBAdNVCwTGiDKZFtxN25b0qalxRcC4S+Jcmt7lFTulDhmJw9qoit0JL
l3rCbQ83nQ/0yXtB0BmTqNRrPiYrOD7vaNaN1n7jHM2axdW4pKJpu2NHuaXwjs7jOkY8ZKb2rMlB
B3TolT1xrNTA7e/INn/nFO09KQtj+mn1eql97bsaE32lsZU8ZpPOPzVXWoojZKJ/6yj4tUwByptN
FHUc++u8OOVjPoJDc53uQB59tA7rRD9uUKhaR60ba5zmWtuzeVF61aQqr62r8ZyAWwVKb3VV+sQk
0n1VEfkJi1EoN7J3wtJN6HV0W54CS/tYJq2WvWnNarjI3Exgy7MAZEtROfh7GaWQb5OTEovpc5qo
yhiUTmcXR6LT2v3cKfG6l0MLjiLDvIuyqve5cTfjlCe6YYsShUxg7bkS9dgq3ZhuuohVJL+1ya1J
UsjVqbh30AUeabMB53wsdZcECRRkXqo5U+q4xIvaBbHo7PaVDZH2lMOLA/knM7bdZVJ1dzXNiNxg
deHlOxeLwOTPwye05Mml6rwYnWcMauibE7ga82rGW4NIG3foq0vCFR2RTOe3ycGB1VVm9GzGHClS
406H8GMfwTV7/FzzrCTXQirodeBiuKswjQ39tSxjXr+EZbnrUpc+NrBAKpEceiUB5dtkAs04dX5i
d/5RUv6LksLyVmf+/vdSyt23uu4IGH78RUz59Qt/VVMc8xeOHHxebZcFz1YH8i81xVV/obEIWiEl
01vNrIYt7jfLrP4L/wsxRQVd4RkAPX5XU7xfHI3cNCcafLPwRP5WhRd56z+fOUwX362B+QaHrrMR
If9ivykrg/WqUJeDRdZwCQetybTQKifjRt+uxsiDV2ywdM9ktZtoFPHIZ0hatl0oHzuOpBMAiFJV
POwifWmFKTtyBS4b84T0vrBliG8n217O1aKpoZkNbArWiqYhHzM5zRIa+cjVLml7VoxOUyIHMCfV
mWms6ZHMOfyw4GheZLfI05JTDqnhx4ocZV2fY10xuODx4EbSo3Zia+5sH5NCzvVBbb0WJC4PGIrY
DbsOCq1Jc5ROg4+rKiiwrIY5Doe0PmTOmn1TNC35MmFdvTKmO2/W0uRD6CmeyYK4jHHDQ3kbfGSA
jvUqCGsaKCbrznOT8jwaXn4LeL6/jlOn7LU4XwNazGCIN/04RwwOxS7HdzoGFm9KMGNwJ/Nm03vA
dIfmK2KVwhbLeHYlbzO4Eir7Brwrp9pOBhivkIB1vU0i3eOdNzNTO02rV931imEDOlire3Utm7t8
cCUHFdfU2Y1vBbWOLoi9rnFQTKmzI4Kv9gHBoCuZiUSNFseeoNEXwCoCYrGvaA/9ZWjMt4671qPW
dbW7d0GMlKHODkkwCrnFvpaD8TKXhb7Lob7sK4H4H4wUgF9BHWfhYqhFUG1N6ZY1dg+OTeCRHF1s
nQw4WN8RfurIrLQHZ7yrvLIOu8ls92aisugZWKF1jW7caLi3P2mLSJ4lmZFbGHxW4FV2xMAESrwq
wDykfbU36rk8eaWMLx71MveWyp22YJrOqEoIQVkX3A2HZVe3Sfy4DFTroglWh0mtApXkI62oef4Q
D1TA4hZ3wng2p2NiN/siN9yoMqcpSAe1CeO14W7rjU18yL3Y2g12VXz3pumLFnvKrjFNsnVpX2oP
XOSJ383Qz2AlVD41qkakuRadlOhUIX019w1XW0Dm/Nxs/XYEqO1QSbu3tcosf50dZZcyUEBDdnmV
HV60ZCC7pNGzcyrhwL4haPC8LtOWTkkhrguGoBNMsTbMWQpHUpt5TpoyvTFGkrA1ly3PJET9vWDY
94c6zbY4Z1wE+B4sjgPsj4geIfQlmdkke9uslkR7dmPKk3edp00GuRbocPbAojlNUvdhor/HxsWm
eO7wqOuFNT1aHW5F07faItVeWGAmeaSy7TyDbnLue5cD5etsrhWwNPxcbH68BgG0tLOF7z9mNx7C
1StLgkal/0OTY7AVusgIGDkos5lMSH6cmk29K5sVjWLGsGhisqL4ZaQ7NTOnx77IBgI4QOhy46Yw
MDt+KopernW4jkXtkK+04BUtwvbWcCRbzJ1tyJLkEywkspjEdzN+P0pTcXnCryaouEDXgR+ezfz4
0DOdJCzz2nXxtPGUTg5L75qfhgZayBen8IjHfOI98oYRQQQrHyQeA65NHRc9Gkltx2SM1MaiuBiH
bB8/1cVgA/FuiVoFei+p4dZRdqMfj59/ntT/7Ult2Jve+++f1DeN7NP/CT+Kpv/449pD//mFvz6p
PfsXy7a4bNGPMdrq2h/2Hqr5y9a+iQALiHFDOfz+pN7CLdgk+WPUWYTG3/cehFs8A5P/ptu6QH3J
vfyNcAvYmD89qbF1I3ET92DnD0sMT/lfXPRI9Iyls6NfVj56ybrP6MHp45D4K2nM7gq1myBnBSXF
h/mQM8abhNYVvbS1QM+0Q8cS4hKzs2G5qlSYJ1uSx7iyrk1SH1JpDCe3nZzQLD373Ay18tjWHY1N
daKc+4zhVpiV/Ti6Yn7OUQRqHxGR551oqWfvclKKXbcgSq10+GAvp7F7jA2w3x6VunwNH8fkAOz7
ahMWPbFzxX7SxvfT2t6STsSmoqm+WQnt0HbCANHvFoEDpgIEI7BL2g3SpP06WNpEh5OAwjLKPJD4
ma+xTDgn9Wo4jyomARvDW9kpUYy5Z7eo67qnZRQ1I9H3Sm3Vrx6InYhqrQyALDX2s7yVxWJGSlL0
eP56Y1divQyEhSHDqGy+f6Xhk2PCprrC9Q5LN2QPTpI2WD219SAKHVmT6hN/EmI8JH1+KxdPZRIq
1qiisJknuUcyUBVUZqiWQX8yVlJyvzNutrKjO9m5pprHrd6oHjy1mqI+dvZeNRyEuQEuOR36i9fI
wMRwFOqxuleyXKNTY3mx+nEJxn77IURBscaA16dcBo6YlmJHpTt8Zv8SGvNcnUStZWfoFtRz6Rz4
V2enZKXYWWtb0zvCsJaB8fVbyz54sYc/uVEDt2Agy9ZYASmQNb6h8tygho1elmGed7pJ8hba/3LU
maqeSJ6ux05zx9BxpnZHjsXa6Z1Cq90MSpHMsu1bbrKfB5sQKEC5yNPydzEL84zv5LjUMUKzZbTh
0Emy1GWyTw0W2l4r2rAslajI2yeqVF/ceb3kOsJnMtrmTiFxG2nqmu4dUX2AwHzP297cU7shgwmK
UqSixZ5aENImmHjo954Vboavspt9e+KScGVy7zV5s2OfvgQ6BtgAP0UwumClzI52Ha23ji2z7/ti
rlpQyO48K8XnlfgvoXZXRCSHmZnREoN1rV3QnFwLGZvy0EmEeUhXc4hMdJZALfl/hSbflK6vwsJh
7rTrbmTgWdo9JCgzaiD57ey8oirHyJ+lbidXwvTVznA/J16nnjiXtoElbOWJAq+qCwY7NUOnzLKH
Ck0sqHkU+2RXlr3IPPmk1jOjL1XgD6vjmmHXrVdwOuWOtvkp0uOU434xVAgSqhPVs5b4va6od5kt
10hdiyrCFp0GFE3pIYsIZmYnt4+aLuMgS9yRWTQ59taonztFHUKFR/TzYBm8i8heoW5CNbITbwrZ
QLW+ajWkMqxcfV5iU/V7RaNcYmzXXZ8KJ8CKgGloLerHQjGWO9o91ZPWI84heNtpFkxKQSJWuFNI
7sMOhpKFrrF0xY6XOlwcpYYEaisXmD/lvqE1RzGLz9mIzsxTuzyOrUMkwh2BSq28n2LtLHwqZQ6z
Rf0+x6kbzgAfTmJcUfPs/lF1s+NQjzYp1+0YLa0HSspa4OsGOofH7nidSjs0zZnDSet9GdiJgGi4
i7XhriQYQOFLxs42U75V5rrsSrmeZe9csom/j0y7n2h29Guzrndw/CROs04gNZCCTh3D9TUz+2ib
BFO0uz4yCEMC3OxSZeEoPoFkOuJUd8Eh2eihrFsuqcSW10V3dkOlf3jtNrBkuQFgorMeY1j7hJy9
CBqdr/JR289m+21k80Ar1RLfWDI39mqpaaeYnuVdXhKaKDY38NIXAut25R5SQ71tSv3dtrtLTgfM
sbPmF3fq2Dlkdh+Ui2EfBzWrnzxvJEIssS4Kwsopg/NII1JAC9CTrg1nx+zljXB1UoGyoq69Ka8l
6fZalXclfcu4/lM3iNv2u5SDGgIZiH1rHZq9CSwrjK0lj9qpLy+ovHJv0p3pW0bsHZjK/M5IgWO4
3tNiLoemrGmgt/NhB4Oy3fVuCVjF5TvW6/rEciC7o2Dokms8hGYlnmFNUKZUaEm5k4Nl+WplAUwi
7oeXOzvDNzkmskW/Gg3FT3qYMIBp1ZBCd/tTWcxvUzwMB2dxvjaDPvppUqZoQf20h/+r7JI6tgKH
SNUtHL07lb5nvyVCxAufrgKBK+gtzmUwOGnKbKLJznZzm1HraZvlUUuV14HzjN8q81cjEzr3wmE4
uvRxca/J0I/Yohy4/2andDSnfaJwl5tcxQqGjfjg4ovdZ6th0WQyGTudTr0Ao5S2T5z8dYLweVwV
l4Rqd+6KVhIET74binAgxZbxTqEsyzeFre2sBvORZlbqiT2z7tMYVPugROCWseMNJ0CaRv0ZmkTd
P5sZFaAF16zSevVhnkgJUSfYt7RTvvQxXaR8FFu7y1HluPoq9za2pDeJbWVRbB+yJgdcaBygFmUj
TiABPOjZGNB2iTosC2bsJKJlgbs3/ZqrmAD01fiZH+BUObb8RIypXmv2F2PneEHeuOThgE6VGQ5q
n/XGKuU/Qti3us/65b+O16Qo/uN4/W38+PqXwfrHl/zBUIRTxzSgpG2moW16/ldgHDnqd81LpSEB
7B6eHkTpbf7+zUFkMWSTrSDxvNnrmND/ziStbTren8wUBIi3bwNOFgWNuhVe0B/dAKS28QdJAciZ
MsSXBZP2cTE0RXL/KQFx8GFvw1k0J5wYrQYtqSVYRl8mn1i3BAPStReL7bb+ZqVrcdM4JbyLdmZD
Geiina1wkObyAhZqfMONK8M+WTiOikWfA2904VyKnizbbKf1uB+mRXsY8LB+qsd4vF0lC2sS1TUq
UbFKjrEt99ddVpnFwZE5OQdZjChRYun3NuFv+vdS+imDJGlMmPoLPmFzQd3ZpbM7JQdIkOsQ4l5W
P9OyyXxeLkXxtXWU9jZLrJEVPFvwW6BguCEQS/jZK1EthZ/PWeEcm0Wa627VhlnsWTbxpwbUKv00
uAlZldRql2PCVJ2HVbXM4Dd4gTiQ4xVSV9OS0rnXXdHcezTwPqx5Md62PIMEVQF9OLEWTgLOIuM+
n6Rz2AShNsjNZk0OGXaHO+kOBehrjMW9uAJLee6FwIfBAypWwcUcYo0C6H0V64nh7F2rRhF3ZKau
nAOYo2o1wMY5A7Zdq1oL+oVGUby8zUBWLGlTO8iRVWvmicyl6Wp+7URpAjpDN6AV1rA1nqeg88b5
pvi5W6Ztm0WzwCxd7cSPBTS0vG0bbf1YTcfYtHYEuLaNtfVzf92yOu4vHRsMylF/brnVbtJizAIg
fsLW7MbtwnFWInq5tWIP2BoiisqeyvHU/9y3a7+u32XXjdNa8dzSp057S37u6uefm/v+5x7f+rnV
/0dP+N/c8DSE8P+o/B+/fqTNH4WEX7/iX/c7DbWAKwCehaHa8E1+v99pzi849jULiwkLAW6rv938
fsgI1MDrtgtSw/6DfdLUfvG27D6rAHyaWPaMv3Pzw3b5l5vf9i+gWABGxQaClWtbCPzBClVocTsA
krFvrNRUjgk5xfZcO7CfInyHC4TfbRFcGPVpprG6fFwzYXmfwXd8S5vVejSdwrACrTGe8InNr4yo
2dliTQmiWndZAova3vhTK8zzUDHWpX/gZMRWNE2mqX1W6zZWfHwGpQFY3su6/ThScHfj6KnX+lNb
urusS+sj7FUjcHIioOwNkrCuShMHjmvtMA3oeoSP+b4QLDn9XJ3iS2kIcekYw3BNji3qgpy+svF/
N6ve/WpyhGJt3zh7VWTiXVaFGphWZR9to/vAV88JaHbThVgYn83zuqTzQRWNueMXpdzAiYtnzrXj
LiWRzSFIenoySqaVQavGndWV/eDr2ZTfKmmqv2KdvJiDIUJkRBpks1R9WLq6eegHztpjr76WlCo/
z1CUbpkXt82z90pK1I5GlaY/Y6zuzVxpD+Yg9RtZVfI4uAYIT8a/SzU209HiYHSl+/XD61ssYKIW
EefC4txWhbcvG2X83BVOfFxiy9gVtQY3jDtXtOau9o3tE84mF5DfwdOzb8Ogy8ij1f3N0qiAI5SB
Y77FWxO0Vem+6/pQRJZDZe3sNq9VVr22FHtcCUHi8Eqn8VPcK1ZkGNQMkO3FuSeAR/rOVHOkKauR
9Y6RedWjs84mcXQ1Fcftinxux87e0fwNkJuUH480fWgJErF94NWPTkhGdeR0Mhr2QhxqW5XYDOoP
JrSwu2Xp1tt4StWAs3V7SQ0dn0ymzhbfhUOah+lvDx9VkmZlMfQ4QTy7WJVYLuliG1c2IPkOtPF0
h+VL7uqum7+g6JaUXaqwIIdCEd9BRUO8SyAF7isnny5yjbPDTAfppY+pVEJTnxIaXUvSTEJA0NaI
lfjLIJyzJrwU0F7vqHgmFujU0ltLX9a6WkMeGT2G5G54MeZlmJBAFn1XGEW7BOyaslBPUqo8Ut0K
CqVSOHBXunceK5CIdHkDrQ/GtpE7b2Jd3PKinNYWp25dumeontT7jZhcvzcDxwnXLb0Dxd/2BQ3o
q71aqk+LRI6ZL05seO0Kvkwwb8DHWP3Tjqx6r3RuU3cpnbOI6+wOq1a6K6Hxfx5traScQ7O/FICc
TutcUbBhj6m9nyQKltT66Q2vpnGnFLFDit6lzBWzcwLsc1rOzaSYfeC6cXMiAwdgDPtEGi2Dvt45
Fr6BlfNCYNtzHWJs1I+kzOUDDFFrTwx1eLFSq7mniC+FoxVvGx8vyc6KMBbfqjy3wjPNj4Q9k/iR
jsGUs+7E6VyOCzDXkdNuHy9RRnPZ8zi36GxTq+1ScAosJgH8y96MrxTqyjvbbkFDuPIpKwhfesZw
kLWx3k4DeMRmdk7wbTmZcTyej9DopoM72azZKl2JtElDRGIMWB6LrhTXqhv1J3Z0+Xumam2o2AVL
l0mSTFyyND7Wquc8znmrBx5V5sYs1GvlKJFaN9N9YrbyssCQD7h5kpSFFRc0Vg2BrMoo9maNGSbG
pB7XVvuKUdK+EWZbH3WQpMeqG2w/0zqoAfRYUIMTJ3v2CmTpM/GkMCBiwdON/nH10uVbpQpS9Iqz
HJa8Mu+dhXZdfouwd2nKAKuYWcXeYcwLs5gbuaqv/TlLiZ0QcjV3raiTwHZH+6rOgNYbYrdHL0mn
MC4895PRqOkBa1kZKBj4Imn2C4kwvFGfeAiuB9PzIHjlreLPU0ry3DaH73msNBiKsuaha9Gm0ZUJ
arbqR7JWSdRqJVtHDCl7d4TUEwg4ZZ/0NekvsiofuqYZTlAS6sCQUpx1knLkSSzKDGi7vVO1zLvt
Ugnvvh/iNTLRSfaViQqlG4hi2F/HcHBS8xtW1jGCl/RlgD/MPnALe8dsSgNpW8qF4vLWb4Q1vYJC
ywJTE+uDDWck7I3G/jS4KZ8NwxbhaiE0wbCfr3U6KNywUHAmKzPfixLUmgvU4kaL63q/snX8mKrE
RMlib41UG+jToh+s0RYVEb7YeswybYYSurpHRuEHmsqPTA8qRkzq5MCwUFTJ4dfyQicboX8Uyasy
W1WQDxW6jV2ndznDPRT9NpleEIfakwc97ZQQ8gR4XCCacN9Ugq5XLx0+zYd1He4Gmj7QytWSekRZ
MLcOw1O+6NUpbkg1IqTva0+rL/aapEfPVR6KBejuTHkMIrARJ4FZJy6zuj3sEhd/YmcMbFfd+JIX
otg3oDeOsQrtsF7VLJxEBTCVrTaCFWlOVJXc1+eyjWY3ri6JJbl909L8kWYqBQI4eM4rp/ovmlOW
n1HKlBurk/edgVCzuuazupjdTeHF7WWaSFDLXln37uAMUWs54zM2pOFk2dVHTg78mLJ637VF1uzH
YaERFCA1MDAl6U4ZFTq02iTmA/b95m6lgD50eXKNWGbvtUTon9BXpovHU5nyOC0eX7UsUw7lOlqX
SmT5Sc+sXWOw+GAtdFvY5susTKavulUZZbUR+04y0vvuJmI/9G57K9xeC2aWGzu1jb+5RcItMEnT
vdt5ggr5rjx09FiR8TKnsyBI8TZ6EHKdjgY7sZZtCIx7/W615VNa1TXey9x5LGJeQk/nXcDroyY9
N64jd9VIpNp73EEgrBozvc1FA7RbWa6zPV8o6jafyxaHQEvnU2SyT90Tx/B22VzE73JYZpS2TL7P
Sm37mOW8qBn18ehMqGuoPu+Txn2FTQXsjWmzTFGvSsr3QxkgQEscAL4D3fXkeWyCCswRc38mCoMp
wWyq8cYsm4SaJrUJUtUpn3McAY8MVcW5hkUBiVaLIVZOhZvfNk2v7SmIFzdlYu4q29ja11UJf5UG
iXq2lH2am7B1Uz25OFtgF4zvcEjinH069RH2XWuJ+Ziapbab3QFzVI6RYDKn9w5EUtCQVBF7jJzr
rZjolC8gY52aVdY7y53mD6RsGqux9jKkFJ1t+QWmNXphty0Qbb3zFyr7xLu9jIHKmPtRJV4c8kLo
wqnaXV6x6g4WIm4Y71VgFXmhHJJV4pclOVFhJTGL+ipmvYABatqEras2DRQz+RqzFg7NegUFXtm0
6FgeGXOsCrfMvUGfqeUOku66U2PBE3SKMflxH6AOkWkzdV31EBuK+n1rY/R7TEs4iKn8a2iJizRq
8HxGD/zoZXFvOYCU/U5d5nMcd+yqaj0/qvyq3zm/Jgd9juPIqQcE4QSx/SThjAdJqnRhO5HyBsER
O28waKS30wYUt2xV7x3BAwk3f5LfaFOvfZmFU96urJ4CddTLwIixjMT1ikz76M4xlOwwHt20+ZIN
5MRNv/pJQJmp7DVP8Q82Sj+7XvM0LSPvGoGjeYOoeD94KrmENgJdpdRArQBpwFnpoVWg2cBjUfoN
zUJpyPyNBAC8Fo9XyIxgvfE1zTsRoXi36KM4xksMoVfb2C/qRoEZ8CdeW8HfZtPUfDL45BnFInfM
5sq1AGcQ0hqp7zPHQnFJxFx/lbGqXenncY/kkVY+wShZN85gP60proVWWvZXsxRd7K+oFufY8qbI
Wj35QGuMwcKBHaiC1HKvTinCs9EsxDDTaTiYJRxm7gZLyNSnh43JCMOpv8LnkBUHW7ItckpLP6t1
Z57kxmrKLDy0YPTn0LKXaqv/4/uphWie52w0XzutwJfQZeyF/U5TSOao1A+pvHMPk+FaQVb2y6fJ
im+T3OVtVUtvfqRHLAnHPKE9AKifesWPowd533WhpDmQGJ3l2oMfJ8K9dXkK5z6T1gDlG5i+34m6
Os1Vnj8lbkn4jtGTM1M33iz1mjxW1trt3O3Njqs03ytez+nL0qv0RonHSfpNPY+RTdjguORd+xjH
FYwNzFWwd1fPOhadrB/6BPovLtL2RaZSe9OE277VTfISUwtzMXWEYn+tVTDruhAkLLCG+cOongnM
ikdKijr2DrGoneswp+Z9nbYfzgqgxBfrjP1DSVWiAZPKYz9bE3w0ahmDry6X8jXHY/YM+ijeu7pH
VGQZNH3PUah/LuQwfR0V7FuC1ei5qxIR8orqXS5zPoSzrFdf2r21+Bw9mHXarIVcnVrT55Wpj4lf
saDMNDOimrO5OmuvzB5k4jGJtauEAgUEIupcRYt0Z/WOEwCgY7qu+cVKx+xYwda6KS1ODg6SYmir
yufSbdbnNDFjy6cviB/OWLhpqFaxvBbcKnSu/EkN1txZb5WlWUMw4vG+18fygYSPGxor15WExuBr
kJ5PsU62WTD5BlnmNYc6j7Ug51iG9lhvg6xmyYtlMFxntWptd7AkAjI8sfvosrxq35p+cqtbrcg7
A7CCzWGspWcB11uDiTUYUrsj5Y4ksn5Vllqd7jRPyQ82bj7+wVFZXvt6FvPTOik5z1el58Db3w0q
8BQ9GgZHh3juGXKezrwl0nV3zQ+FDzPhJvf9n8ocuxRIwXxDCGkfK04LraKaX/6gd///UqB/DW65
WyjWoq+LqQx156+CMqrvhM1Jm24SpaO026MZSWM95IASUFxCV8m7XhkbxuJkFNYOXXNnpVrkOvFV
DCur9T7iR917a05n1d+DL3K02V4bvFHNJPVJNPcvBs9KG6nBgpRyAy3/xhHMivEhG/8LnO6vQcjt
m2imuWV84bz+P4q6lfczh95xuslwo2z/2ZQZ1E6z+0eS/N9Ikth+2FH8e4cTsblGfnz9kyj582t+
0yRV8tkm3U/4jMlv/tGGTCPnLyxXGCA3dKTONfy7KomQyfZkS1z/2Nvo/Np/W8nYqJKa7hHDps8T
+7D3d1TJH9zTP8ZbGUzwR3sEW/l2pvdXdO9WmqDGNG6eXbKFOcMFIJlleJOjZ9bylKsQuFvwFCgU
+d6B6JtZF4M4xhQllWdaDuMSTSsiOREFcwvjWisEdm1wSj0xghw9v5RojUPBZRrvCzezUNQsRlgo
1mDIc9o0YzIAHocLC8VgTfxkwKWTXrSxsgC6sIVnFZ+6tAcoow0N/mTg1SIYYUwgW9nRxKP6Sa8l
VdGMXFIsjxDWtx5k16T/7N5N5yH1brOsx6rEmrvEAko/cUBcaeuAGOTKfEOEGYtmgl/JFT/Tr/8Y
A//b5tJBfP9PH5uHtPn67X+OXflRf/2jnk+KfPvCXz87jvaLRvgZW+BvRU7/0vP5I9czAQBgqPmz
ns/HTdf4QJFvBZYAdPdfnxz0fA24AkFENFfr73xqkO3/rOVDA4WowOea14ArkUfen7X8ViYDjHae
ytRc1n6+pM0jxUR9FpFkrsgnWW9TNY5XmmMzPx/EG+qeclQn50Zv0F+DijhtKDqzuvfGqsbJor6w
2Ewy4Fu0mDfm5BLtI9gpOYoH5qI4uxxCOwka50aUdC/rs3aXIwp8eEZ1ZXd1xepNKl3EYS8tLxio
JvRLIq1ojNn3QR2yG5wpdtA6AvsgGDjEDyqzZ4s6QZZ358ZT7yiDw9gjp49mnmYQLfgeTERK2Wff
uzLHuG/QCeg07o1jzPsJFkkgkvo7xRTXSRsf4tlKcckPO1MvrsOy3pn5AvSQv0Xeyp/T7IN4Aeei
dv1i9QXuau1L49hv7dLtmhILmKxS45VajEMmXduf1I4DMAht4Iku0BjjrRjLD0fF4wi95EGVxXV7
B3rs8SFdQN9zAfOuwwa4g1xKwW7FTm/YTCDjND4h5D0AzbUDF4PXUZbeF6IB3p6oEpi/5VwMenNc
N/KdMhHBwnPKlgI+ZTrowVzMTzY9CZMw31KjOCVzCfYm/2Afc+OkBtOaTZuJyQ+0dXo2/XJnlvyu
FqPftZ6g3cUsTvjRiMz1KbYYHfyW3vBG6amMfVwZve9tldAZPJlg2DCRvcCoTTE472VafQzawiC8
3QY5Uy7B9r0EfcCR0q53U6fe9TrdR+l61lzEZeSbs3AaJRiL9LvB3TGytOxaFPOZOIl1cBsMkXnG
T9iwI4cHBpORvkbcP4YCP4ZvNGZujlhrrsjY+alZ1hdpQndKrfmpYr6cl5oEdir7EKHqox4BF6LR
fmHiPRNFz3B2y4y9LVWWs/rZbY1blhxaYE/YQfX+sFowwFjVP6H3HAgv45yUxiHBq+IrqosFsB+x
rA/rxmVLo2ni94nF1zh5DlcCMFUkMwY5H1jOS51oXzxj6v2KAd/vk/LEkfSplcOTOZffK1ClgWpD
fBqq+ckAZOoDhqcgXN9q0Yg0Bxp6UvDjfddq+8bzzLcG0M7OpsJUkBLc9dvX8XNSFIRmNRn2W+bI
5WADyvTxjt8IXRHvSKkeezJKPSUnqHv2Jk1YzkkcIFZYweL146F1lvFEp9F47CrbPc6jotxiFiwj
TDXVba2IBR2FrTPp3i7QldL40mvd+zJK+6K5hSCIMDcZ0odE9chDj/Nr6BTr9BE7DV0YCGWlvSdk
Xr/QW/5SzQqxgdXsIK1WegbQNL4BzPcuDeSSYi4jQEb00RpZKPpFRq0506MlbdvGmDdLOiZ+1D9D
GAC7eFc3LAvYJbw0CuetDrNWNJIwnetFfqlrncOdkqdRSbzTddjfiZUoI6sqMCpLE/9f9s5sOW5j
y9qv0tH3cCSQGDvivzg1V5FVHEVRvkFQlIh5Tkz59P8Hyu62dHys8L194XBILoJVBWTu3Hutb92i
31QroFUMB1LrtTKrmp4O4cXxINbuZJk76VV8bzOPAITNkE3cRD0AGe/GFl6/J8mHDnrmPXuGe+lx
iB7DoX3D4nxlu9lPwA+L3OQPxc/CdCZj0kd0gK3LgW///SpOig6xfWNWHewB7KvsG7UOkS8kTnPW
oel+qwZep/+JvlZ/clj5oVR/vxqVGwodiDUmVOnvr4Y7pC/d2SsPEY/6BjPjycqXbF/Jgv6HzfRP
rvTDqWi5EtY13+NigtjtH4HVo+dNMqVfdbBU9hKErIbLcpyaI1LkbtVVR/5LfDsh/Md3971InpDE
5Zok4bowSkhb9n74LCNZBjEk4RLDhhMjIBseq4kH25D2YTSg7y3vN8+RZ3asbn/9duUPsqJv1w5c
TAA49EzvxyKWftyo09kvD13Ryk1aFT7ZYi54w05cpVWaHUAivI7dNOyycRhOeG15bgOErG08v8ag
n6NSX/URkDd0fIcggHSe0raz/PFqdFm+fRf1YIZMsqlSjLjtrnCG+6mInoDdwg+Y7EuPoGU9VVWw
dxw4xxEn1TWsx3nz1+/0T24hxA2YIUzXFP8eqm3lDHcry8Y2YHU7uxK3dEJvi6VX8ZPr/NknikZh
Ka1wKzg/wvyD0fQn/pJ7NYBVi8fqdjYTe4vdXeKyCdJN52dnFZnFXT7Mt54SxR2STGY2OnprBtbl
pVRJMwoI05quOJzTvR77RyNwL5LWd+yz3Dt1UiCgYrjZTNb0HIFq2BeRVW+nJfO+F213X2bT09Sy
7TMUtE+4IXAUu1AdgUG+0YRH0wosddUyK99PRvoWVvrJj/qdVliQsP8f4plxcVwma8gTgArr6Qrd
RL62eiaiMw1B4BvmjinLr3A35rVnUmP99Qf5JyuM5GwecE7zPTwsPzzz2jOqxjZkiaGbKQTlxMTK
hpbLBdogD399LQrlH1czCTvM5tsCWQQy6Pv1pbXmxMvtuTyA2ry3u+RUVD9bMN+fpB9WzAXnQ7+B
f2Ov/eEaSdxkCgBveaiCod51yWStEZ69Lis9Gth5r9rwlFn2ITCsyxgGMS3t/GRM4Uf4KZ99l/Gc
hYeEY2EKvSFlE48DVifCA844Qd+0O8qtF9JxzWERQUOX46oXurvOE6Qafv3Bx3m5clGoHkHygYR0
qFs47ingjaRfY/VnZBQ01p6R6jJOTd4cwgpWsFfPw5SdMiea176bUqCaeNscs16XmPTWg1D3VWnF
W3w7P6Hsv0PRfvzAEBExFWcdJoPH+v5LKa1aTdVclAcz56AA14cGp6JBZhkZ7znmE4BNmmIh8S+F
g9cv7FqBP7+4USn3cpiVW6Y1/W4MNXmxrlnhnRXPY1rLjS9QKWaDewl7D5l+6FxitBYbksGMdV3R
//TS+QkG7Kvu6Ax5ycMkqQ7h2Cfr1pj2WSyeZgqxVQ1cZy/zcR/U433k0GFOsUKgSmbh69xhXAUG
EscizIO95einoG6HbwLf/7h1/MlDwp6x/IOxmtPbD5/RGDVoE8ehPEAL2FDiQFEa+XVsrL9hHf3k
GzF/5Ngtu4XPLsyyZqK9+bdnsrHJSrMQeBxaC1aL6WKDgrd5CtmpApPvR1fckhA09YoRnGIsSQUY
5WfmuRrvVejSLQ/qdYKjYhtgBF4lORnZ5eyjATKvjcG/ASzfwb+h2p/KSm5k3b0Cd76fctzYpFKv
ltssktlLOC5VKsl8Kc3+piejfaqASdGtGFTq78gRvrwfL7U9wXtx+B+DNju5huIV9TgA6OxRf2kV
Hyd/un0/BCEqQy0O3eBU9uNjQgcYUH3Ur3XDUc/R42OrIrGaCbEM5PBoZeZtYyQnKanWTK/fAHKd
8bBgMCn4k5A5OUiGftiZdtttl8eomxzkk+OjGy0HCFAmPE81upyGakmE6XlqQF15Nf83epXnJgWb
DxiuuQ6c6bVVCFB7PmDE4mdiIuE/T5Tidm4/A0dnLGK7a1k5h4E2jzGkJ40aeNVGPMBK5ScOxehO
2VmSaODG5OlwR8gMpvNr3I3lKTOdy9Chq7Daeb0cjCbdJvuxaQnYoLLPlf1sYcX6yX7s/smGTK2D
PJBGHnfUj1nlWDIQmKBqO3Te/Iq76L4T7HsLyyN0eKyX+uv9qF2pwNypgErv/ZkvY7Wbxw5RUsrL
cLpu4Mmk2wDDnb9kDUOhipo1iuxyG0z9fCB92uCAlmHuiexk25R59EreRHCu24B8vYh9UWkI3iVL
01p78mIZrDGpmp8GSbklWlmvXZGAeIlURpwvlTWptBb7YSxRaaQRZTaqv0cFgWuFH+++xWmIUyg/
Az+7tx2CiQivBiPYZpKBpL4ibwL4fQEV1wQXRA/w1e10vWtrde9xOsBx6ILO5/yETu9RkmGzVPPK
+31//afD9pMOG5Q6H33pf25MH6vxO2fAby/4rbMWiF9MzIW0yWzpcU//5grAiYsogNGUhQmAvKxl
nPK7Tlb+Qm0BzG/pZXNgstn5f+tI2+IX6VJwEHHlo3pdXvV37Lbyh5OEWM4uqLgtyUCD4PX3av8P
Otm5UGoovcQ/iaaYroy0Q32eWdn9JJ3sS1EO+ji+B50ykCX0NHvPP5VLEmrqdvUq9DrjlqBIolKR
/g+3tlThU6YJyL5qllTVWKG4JCphiT0Ny14a6+Y9gxW4wJZURlwJjhrvekwKzAbhVoWnOPXzL8NA
muvQ9P5TPFUpKbPvca/KX6Jfy4qRuyIEme5JckTKkm/TWBIW674Hx5aFdL/Qrcy/lsI7RhyCLmkw
DR8Vp/t7knGJn+2JMHhTSyYtZ8NzhrQDA2qZpJ/0kl1rh9HwcYoa/JpzF78ZLNfwxSNnWR4n77ZG
6FjQn5HdbepE01mTGMSujRfizSsM464qUzQj3kAay2BY4dF9D9eNOgKIV2MliaWJ0yxF7apNgl1H
ZCWa1t4hd8Nu6wxhDBiCQIe19At/3y1pWxC+0CfPZhzf9E5PEG5fYR8AabyPdOCfqEyHvaiovze6
wLpMEAZJJrqMcw9/UQxwuQKejjMDpSwSY7sKvsAoQbc7+62HypTG5ZUbtGpthVlzgnCWbplxU/hZ
VeWy1UzBVQtrYOWkSLCw2tX+hZCOINmFg9ffD17RHIBPg7cjieUz/HIQFkFS5BWHE7d+wAyh6Bj5
BO5aEx9OkOPbNuoyvzGRWIiVH2m4IvRzemYC3vBMbxaJT28r/8qMK/pVsZ6niSm8F5wYdYRqExVk
VlDdkR0SLwmiU0KyLTo1tEPjhDwVArM6qbRYzvrxFN36qn7r+Cn9QSjdJBvDh2k+RhkhPJLkLFqy
tlavZStd4xAiiXkK+yk9DrJstjqYU0jWpTu81JzCb92xJUO1Lp1dYMgWTKFs5M6sAhQFE5S3Gw5C
UfrUCEIGhjt8aEkFgUmTpL73oEHcQ1uIb5G9zmb+hW/XGm1SAFqAb6vJLtGeXAvdzlVyEa5XhJeo
QxZZmBVjbFsNiBdGF6mlaX2IfK4RLliMXD/YHQFmmMlMZ61Mk6IuBN++MyoCbeGqueuBlsyJpOds
1xVZweMt2/WM1bqOMpySJZmmTKmqbSfqAhSZGe7SOGOe5Clrm0xBT0EggcNl5pXFlnquYCPTJ7Pv
mY4e8lE417q26cKJFrKEKJe2XcPnjnsPxd9gz+Gm9FvuQLJ0xMVg33Ix6vYSVWOIFivV6mQVLQ38
dPaOcgrG615qdHTovPcIvym3qkI3V27X9CeUT8X9bGIuXSWV6+zdtERzH3R3OubBzKr0jTiQD6bB
MpD72Re/rexNisN2VSVp92j0Vn7Jx8lbdyXDsITTyENrZ6xaPrqcVdBRogkX0AsinniVgsdcDxbK
gKHPbhFjPQV2m68jzYNtVPKQqujeRY+4LSozxdqJUi1NxOCspi73D612kRBm7vJpV+OjkDLeCMLn
j15l6y19RDSfhHjdu/UShJzrjNZ/6xzRDBdbF2fERNHR9WdY62LbTClqNvQkH2Vu289eQZUTZ+S7
T3Ucn7xeeY+e5/RX9ejmUHaijjXFI4qFMhkK7KvQE/3AOIv0jch4eslETW81qRVfM2Qth0rb9qE3
gvR6NI1g2kZdNO1CSxO1UEKRGcHkrBHkNED9h2TvtcWSlWu9CLDKNPyTYQdSkHIEJOEWdbCgp8eH
cjfmcbYNMVDmSP9yPm1L0t7B7RUErwkBaHzmcmDMuTigSJUyyuuEuPmbtPORlwjH2EKv1PtCWWIr
CCQjd8Hrd/gki+cG+yP5PxHx1BFf/3OKU8JyeoST2VTemMTJbOY8Eo8cpfO3brbVJzBA9oPXTOVd
08TRdkbpscuRm58HrXzYJTbOzjwzMAH4Vs6iGyf9Q2JLFN1xJ18kZLmDlM14TZu0PPvQ4w+T4Zg3
Xedkiwe056ka5wcaM66PHt9MLjjw1bUIwuG6cxAgiBiA5pB2GRonnyUzj27MoEsPMPwTVOW953Om
9D3w/TLayFRZMNBUrE8ir+MdRL0CoUEOYh69HECd2qFjnVgJ5yVjSK6tIesOnRUSGaXN6XPBQZee
c60f5SBJlw5Tr10xaYHa4zXdB0SzIDWwBlyTMI07L3cF4CKnie85hJoP+D0sCHkphm28Vow/ZhV/
rJu6u5V6CUXsqpD0s2W1Z0efXuIMjaaMbQ+IJwYZZggSvZVla8DHvToxbLlT/dylNxHaXqWeReMy
sUPFO5qZeAZjndPUmDCzfeQQH5ZqrSq3ZyfKBLpIXcUo7Uq0ttveRMA+S8IqtrWY9BdfDe42zOZy
3bYJS3BMA29Yte1IVzGe+/0oiscRRtE+AcC65SYNj3yV+aYngOxO4ieE0e+d+sioN43bJuv3ou+f
+vhn9bHArfUX5fG/8pfPL8X3FfL7S34rkH2b+TKsF9tF5fk+SP7fItn3f8GnBi0aMjd+1nfg/m9F
slzssgwSAp/2Aty/gBL9d9mG+MWymBdD3XBpVMu/x+Jf2mx/7CrxU3z6ist0fOHb/NiexVNvYZy0
DfpsNGeWgBV96AO7e/zDZ/Inc4QfT7fLZbwAjg5XEz7Hze+bV9rs2hn8pXHotE3aUVXMG9kL/6YY
B7ymf32tH5tAXAsknyRYAN0cTcylI/2Hqp/vIu2CQYaHmfrlhhSM4YxwRp5sLSZK3ALr0l9fkIrj
3z5FyHGuuQioQPp5ArvgHy85EZvRmF6LKothFHRWUmiuq7ZHYFcZBCjieBmDJ6zV0toJpgMSOl+e
znuigqyScoC2ijNABKC6IJuoXtJVgmoCtzUHrfhcIue+boIu2DdhFOzHpR1RAAdbl+FUnuZ2aZ1n
9NRyo1UfTOWWp2BoKZQgTV7CWSUXO0qdciOjMt7DdCYaJ+rmbaO64s4ybP01IDToKc7s9smro7Po
5wRjRQ7Gt87FQRNIf7Y56vnrOJX9ndX1xZuWurrRwOA/WOQzgoMI8x2rbYkNpRhAk5fjQVRhtWlo
FmECERWyyXncmvEEDkzJ7sozVXVpa59OJIDiF5FH6PLdsdloPE6HZs6xMNpTEDJqN6zqlQ2ywMdQ
TPBedNwjqhxBSLe+vROd1X7C/0PvdzPFrUe7xJvHaOw+0dZ25u46Lut055UefqWRvhz5hnGFnlTI
ovzctx6hZ33kf0xZwO+DSATxelEMfEn9DlGsGeDPYgg6V5hz0oTcm8GnrBK+jD9ncb5ob0s7vxE5
DWVm6hEg0H7sr+a+HJ/ALDCLDpN2YzGbO9kp5nNkDalzk0jzPp4SsQ6XiKO4CdxtZ4r2U+FVw66a
hEJeC+2OWtQtvmAhjPdxGb/OLdtXhN73KgLhVq9MzcBo2/HhxCTGnRvS0j9CpjfuJHRlqu3QZzw3
mdnRLQfBXD5JoRQalfFgI7w6AnOxD8NYdvBYkuxapFH/Jepc9Tkz5zTf6kiD+jNUEpz4CLpNHLqv
jcrXozm2FxxFgIa9/As5aCPeFPsqNBRMjiz6EBClxU1a53uj9tFlGcW07qYRR5Rli3UQJu7Kq9VV
arS2RMlAD91lT3yhH4DK2vB+lThrNjFpNlsG5s19OObWtRt3t86E1H/FsMLm1ubpQW4y4Cm3sZGa
w9cJM9bOaQ11zqxSf1665Gu+WedzPWXZDUBqi1awUveNowx6iP590wTJtnf0s9G3NLh0bG0Jee1o
kWq9HQN3fCjLgEObGQy7GbNVORYfPRlW1iHJ/HGwkQoMjPtKN2HbD+lrwXYnABxMxuzXVrrSXTps
sqjInK1rYVpZz3lD+A+xavN0zAMRzUDN8ZSLVWgYkX7KutGmapmsvhsJPWLQs+lnyImPdpv6kcpJ
dZ78YXz0qFtAL3WA7Zx5sfwgN8Mu4TTCXQUKO/x+HLTrPU+YEfydN2eWcyygvkBmyY3Z33Up6GN7
FRXKJaNo1NH9wCDD38k6GaKLi/CBIwXe+/E2co3IRyThNl18FYRMmYnfDEfnk1VzME1Xolz8gGM7
BdZT2jOV3XGWdrwv3hTzRcUqVsYJJA3SpoesgHwLJinosk+GU2cP6JSSfStKluGq8GjSCpU/eeGM
UyyUFi6YsXflyZkGyIKjHhZbiREzDVVSnkYqwmtzQoViFSSir6aM4Q15WoH5aMGETtEHLH+MNRps
JFbNV9cqCUEh2q3e2dkSbAkhkUMcmS+b9+R25rrlKUEuv0UCpMt1gRCQh90njAvsCzxrb/DM3Xtn
H/1hiVeXbmaJLWRaGUAm+AbC4Nep5b8aCP4PDEhgjTql0debYRiLu0na9VebLtg1v0gS7ZhoEb6I
EYtODScIwKfzWB2Bfwc3GIvdlxzmGJMnVE2kJ3jFnTFmSyqOX/C7EfbM3zmGKt5gHudPUqjpNs9S
V298XVQPURFDbe4oI0wWjwwVRxzm39rU/1SBP6kCLQnO5A9VweZFvfzXN/bK5aX4+v/++/J1/K/T
17b7On+nQvz2st9ViPIX+pAUcwuu16Ea+r9+qef8QuuftHuYXcjPLf7m93apSU8U2IlvOfQzPCAs
/1cJ+r8AHkaUwd+gAxF/j6kCMfjHKgYFOFN62j1MItCV/DBithpiWGXvUHwQt0sQZSsVyOsKe1cc
Ds4V9q1meIicLjxVAnPpcUhKdRfXcOQAr5qsc2075AVncrwXHks5DnHWCqsmnZ5wSDtBotiJvZch
l4iCJl1r/HbkLZmx3GBKCx8nq3Se2a9ecpNTMD/qcWhwVjKD0nddGzxWMErXeVln9qpy87DDb8YZ
rZWpPvcjePuVj03+HvuPxHetxHOQmcR8kOtr3ZflmJ26dlBbJB3kHde8cHTxPqA8ni4FMcIbE4Tw
faixBxedEbxRWLAA1dWyyQ0II47RAJeEqiSrX+Rgqi02r2CNTor6Z/mgYOb7m9aLP/P9owA0umX5
Mof2iABSw+JlCE6wT9EfdUa4gid7Xtg5Y2dtrLJG+wSCvgg+Dqlu8GDnvqAhovTZrYldcaxAHwqO
iAeSadvjYPRc3fTHkT6YMTM7VzAMk0qSKKOC1qHMSHCbjp3UBzYQSHFWHRmf+l46Dz7dw4ImpDSv
W3yLYj86Zv40Z7nnb4aoN59phFB3ZpPgp+VFPN34dW686Xgk2ppG9ymLp/iLAYMPiZvv799/v275
rbizMe6n/Pto5Yovoyz0sPZcrxx3ou3Lfc+etq78Wu+goBnbzp+xTOiBPcdTiXUd+SZUPExvWTZe
A5Ii8y/MzUwf3A6BHwZwUkP3RKESU5QCqEE5hiZB29VxwLBsrVQ69DuVRNZzjQzQJaxi9sWeW4Xj
jCq4F/w6O6U9DiiujmqPNkeytZnHPdCHy59aQ+YPcd3Oz00dd9d+KYPHVA/+DkhB624aNHOn0umj
K5Sl8UeCOCSutNnB1c6XjRCAMPdMOQgAKt5kqun0OJqZ8N4Rgb3KnEZRKQUK4yqkxU+6HOe9j8Ju
n4P8ehtdOTIdpdSrwEjqCd6MlSbZLkiFii9kNC2+sx7eo1u55IevbbhESYIgF7DfVkVZdx8WwXxO
NBEIcuE4ayXCc8FBB7hzNPp7cxkZtuQMPOULBbrwJ6NaZW4MHHpSCb34zBTdg6rsZ0fl/XXhiI+w
d+Z0TbADvZm014beDll+JmScBHA66O4uWcjUtoeaqV9o1dE7uDpZGNaE01S35G8Ud50B4Xqc5+IW
S7VJZ6IMEPFAwgb/ZR9IJlNbMKL6FNsNyOzMGuV6zB35YTLBITrFzCYbti4PKqOEFe0sHgyrTLip
FiJ3qWBzW5UC082eq1Eqw+5umLWc+4XnPfkSV+rC+FYL7XuIIW2uhLdAwKN3IDg9O/s6D5qk34wT
xPBBww4nUCVaSu2Upb86tjNfvV5Y4yXCclAC7why+uaY1wWveQGDwENvpAuwPFrY5U2AxQxHqBlv
+3gAbm5kpYYWAp1YL+zzQdbtSQMneTJcZ95bjScsSnCD0NI2qoWxLWEYQ65jyLyx4qU870vH5FF2
KKt6utKbYSGxjyjy7uJJdx8D3r8kYwkG0bEuKmp17N4to44US+rsMhvJRj9D4Vo6Ce+/IYBKx14F
rA3AGmEWVvzoehGOuSmnnrTaIr1CMYCCCbk3097UAsfKAKJb4wya9jERoutxLpAti2bLENw6Etfs
Xaq5Nx6zDFvWAj7XC+oCmCGCHQWzwNctMKgsO3klsjjkJPrOcgdWpQ5B3Kf3lQUpUEgWa4Gur+IJ
xY5pim9PUQ3o92GCBPPUwp/buIZgWR2AC7BqzOwwbeWW+ylieWbuYtk8DqN1bzrLhVTcTpvS6vhN
ELrr8yjGgYbxaATlhW17JtU8q+YNwSlq2/VAz1vfdL5JRP4pl35SLpk4dv6qWvpXm+iq/L5p9v6S
3yqld0MTMZUMbuEGI3aih/M7b86koUY3TaCytRaOMxqf35tmHk0zXvUtovI7x4akirIwRvLj+BYD
0/87g2Uoc99XSiLAJ0iqA3WSwCHCiPn7fk/ReNBnMnckbxXITUOW2KgKSDS+41aCFJvBt2A7NJ7S
/T6zirwQH5VPmbfNiOLpHq3CVhr3Mr0ya5u3aVsTweCRdF37D4lb1pzE131aJibpPCMDtJ0tR8Lc
OJXOh9QYR7TnJZrOYji2fc54gia5AmFan8t8TsEUIcAnsoUBA5C7dDrRgxrEMWUUCXieOovZXg1k
3oVnC76NjrkXsZ4Fm8BJ6+u06GgvpROHCAeE7GPsJpw9KPfGJY9pCS/ysXRtR9k04wZKKj0uF0HH
vc4G8nRrJq2rUnXDORExaTBWrFi7W8YXGp1QJPI9/uB8Pw1t7uP7rpIj6TysIAE693TdzQTaN4bB
Hu8ufDz1jsozILwxTYSfVy8kvVQvUD3osfzg0k6B7RULd89ywvKTWlh84zuWDxm62sRdx8GaoQrg
PlDbmlQLaH6p08D1Y6r9REAAirc2amANTJU/QWxuHd6o/c4GDOH+Xi8FEgF97oK2z7A2R3Vj4sNu
r8eqMuuNZ3vjlvgwLOO05Z0jo27vKcBjcw1SlMS2BGG92sVo8Ygn41aHqLXkuzUkvVnvmW9yiX9z
qyUJbkgV+AT0jQbtwCUrDr05yE5C+ByO4kNxaJZYuSnCjrOzRsLmxiV2DqErCXRYI9ja2ERIpjOB
db4hfhRQlU3OnA5P427pRYGsseeXAgWdtQvagrg7ZusPZgk1K3NV/lwtsXihGEzCxY1IHYguWKjV
rXcDH5AovSVUjwBLWMZ1nCPoF+aSuxcxCdvNQzSR/dMGN5NDQB/MwyURitC+GByit6qWKD83lw7B
BHFP74gItCNef+uolvg/F5rZrzwNZAKWqRl8DosBScHcqSGDNdJYj2Ge9MexLQjCyAdG50EZdg++
PbyK0TE2wxJDCAmIREKegORYeUQHrudooniOsHddozKwKV2JNFx6sHsMxUi1HbIeyElZ4g872gly
05GJ6Nh5e2l8oT/nqiBfpInmpx7v/SF8z1M0DKjUq3qJWYTF3t3M1VReGicl4UC9JzJaA557ckIA
OMdh9cGNGrVatpxjGSTRR0WfDvCQCvP7zCbusdNZvR/Iw1CVz33ohTbdDma3d07cEHUIXCnYVaWN
4s53QtiDde2nq95R9Q2RRsGucwVSEDObj7SHK6wazeLknwNSDNRrSs7bhpx4iIY+iW9pHgSwJqyX
aZw/OnnrQHqKgmkTDJbXZptGIoFZ6I5NXPcupiBoRFw2Y4A2t9/65f/sij/dFR0GA/9ZafWvNnsp
u5fujx0EPIa85vdZUoCqinwDPOC2+775/e+2GBBSZGJudMkAcrCxB7QJft8WSUXgJRzp6T4gLVza
Dr/PkiTuYKB7AZYLZk1kG/2dfZHB8ff7okkPAtjasjWbjsNvyi/xxznIgkXgtu5BBeU+YADHGC4t
hfpeh/F0gsFCHJlRYauqxnH+4lSdd+1k9oJyN83xHjCUWPVdbbwQ9SjOGSbjC1nMYAqJOmVAW7vl
Jups74Kup7uf0yF5BJed7zMm+Mcics1fqzr0t3nqpScGbls1d81n2qgpg22/JSw1HUGGdH2tX0WN
3jSBbGHRhc+sh7ZLslNQ5uVV6En4sCi25KTKc+UsZ0Uyuyjyi/hkDh1heklBKGVhuNDSjcg7FQ2D
Ekj/001Vw5atcz+4nju6BSsPk9LdZPTBBaabOJtzIs4z1f4AOEE2O6Rz+R4RTPS8xCaSnJPdmpPb
n0PLfNQCG5jphmxxjR2AAedk80bM7ZKsOjMVQQ5jrduiVbdIbmwaxGQeStuZaIewUu6dXNRfmFs3
O9nKRbZOpmLZV9mHxk4xW025ne5r+HSHoFuktPZYbIQ3w1lFTvWx8pPwRvXxeKeqRL8G8zg/L8lB
d1HmoxmY0/biynS6c1w+HGFZyY4uTX8lJrf5TP9o2gxl5O3qIR/QBmW8jQiVE8ycHD3ue7Cw3X8x
ArnI1XERBTDASlT4oTFt+wRqfyYqooUcTrBZvbAXjCMU9QwGa8WEY2ibfdMMzlsUpKBKUpVcKRc9
r4su4QiFpLg1wbWwu8GcPsVzFxpbqVNEJPacPkVzEnzyGreAxg2CL6zp9NeYxR8DmlNnLVxxplk+
Qd5pZfIRZSDw9F7kD3Zl10DIgIbAt6zEwUHcl8IUkvJOz15yjiIgu7MH6wr5l+/dE57H4L5UnA2T
Tg7X7piI26DlXqki5YacbOz8dRESXULXzQ/z1MsrVzE1KWo3gU7mJUsXwryUUe3cFX6uDxMxBBdh
DPLKGp3q0CKTu1F21dGjkDRmii4/FkbPGShELBCUjn+xmtr6BP/LPTeRTfyemdeHNM0BtRUg73aj
HTs3eT1eWTFIjqFq2oMhFIfWSL3EvY9QbZ4yaCV16L00cvzqNHAworkeyCkpHESPob3zAOhtcKFZ
T9LOXucRLeHaiGzrk+eXj9Ug9VPX1TPstFLcVTGiIty7oXFyjE6wgUM1vcQDJqz1aLjNC9GB6a0X
Ib1A1C5R04R+vIfmD9dSJ/kHP0G0M0iDEmZA65VGfImjlJSPPVB/KJCQKmWnPkuf2edKZeajqsoj
O5h7qsZmX5Zsr4xGIFwmWJDvOP/l906YH1xilE5uqMujnRXVpqsRO/cslmTOBwm6pQLcUEKyBcAC
mhHllN4zMbC/6onkFZlxyNYxqvIU3NezJ4zpA8dq4662imrNF4oGsI1JYQCRV98a7USGrdtcNUwR
03UQ7Bx6cfuwG8UZn0G+b/K7AQrBsxHiuMhcad6lIpKHkj5tt+boP1xKMbSvUs38JrbYjGLy9pU5
EkGam71B8SX9Z4UZieBkEsVQZJIFT4dtjm50V2V7A3QdNRV42HU7TC55ssYICgnWIoffjiNE1WOC
JhDgQ6RnpAB5FtQU+FHDMtfRPMCuIa6ofuszgR8kd5jGcwr30QdsRDWU5AHjGLdhzNeWaCuNBFAN
3MNcdGJLXdmsrDSrPucuLuOwioM7p/DdI124ibityFB3iTIyMK3l2uH88+Km3rRPOerdis4tFPAa
KS6DvwSboMvKV4Bq3W0hq+ApYNe4aDuOPzIPBrKqh18DrdwDO6JewyAaLh1Cd26lMb3uUjo3ihCs
66K321uVhs0Z/GzzZIRJfuFsUG8XhBboiiraaJIxcB828mNGwurBVbzLNvSrXTyl1lftRf15dIL6
xZbNsrn0Gmc3sNYPyjKHfMVsMNjJNIjgHqEZAw8FeMIM41tMwyziHIahXDXTg6AluSpjR2/mWdXb
brJ8bAacxDZTXsU3EoopNxoFOd4Zp+Gb7fV+jmS/L9GYHbNA1x/yPtwnUNEIgQj1bTZAhauHgSH3
rATpcL1BQjpq3p3bVMPFHCLrBPwo+3VsrGwDkAxrv8l2i1V1uupCqz4gVJnoDzZt8Clz3WRTlKN4
JiQiPLAyxcdQWZsZxfet7lPjtbY9caqVb+yKyOtuzKTMj45thLigo+4un0f/Ay3IcGeKRjwAOxJc
zguN9Twb7k5yYLi0c/O5BIeKoq9n+e9bpSHQTjZ5M3I08VEyiCSM5sopxWKiKdsEgFVfjU5B3nBJ
igUrWiLultMDe3+aRo+9QyFC27LBwkAjV901UZMfqphHGnGhl6ExI6gG2G3oN29BW2fHIY8h3E2j
cZ1YxRb/Z3E7INU7KKf/5LQOYoSqQ+1HRGj/OVMEhyXxiwj7N0IXPvnVdF+amlmgpo1byqY4tsCY
t22TPNLsrE/EzHuPA0lDTxmxNq8ISaaPbcgLh5Ic4RcS1TjnnlCtkql7ImOiGWDpojbV7plSq4zc
lbYy4cCCoNu5davk/7N3Ht1tY+kW/Su93hy1EC7S4E0ARpHKwZYmWCoHZODiIuPXvw3Z1W2ru12v
5jUrly2RBMmLL5yzT4Jmz3Y3/Tj13k3TNbPzsXWir306Wx4928gbx3LSRAKC5CaMan3fw7hFd5jI
+jKVjVY/Sw5Qai9/2BgTw9Qmn+PywtNIIW3HzNxQ5OUnA8bmRa9S99me7eZFdyMUltGUFCc3sQ31
ADAgifaIPAsGBFM7LjXEuc7OPgNLabVHu4EWgOZjiCpUMGleHxs3tTaVps975dfVbnDaD+yyR6Tn
cbHR6f1ZrIsPk2aOByclXwb9fn/Fv5x2PvsJ8mOSi1SJc4+bEBWGVsP1i7nLaC66ImqRx2pJim2C
JQEbkq/dJ1oanxEqGGFcMe6jl22uFO/mxcI0vkvS8VXk/nyhyKAJWqH1e6OaiHjp13LLWjCng/9Q
pzQ95tEud+EZkyPYHbyCkIC88dI9YEE9JBfnFgZHuwGQGh8XEXfHPoqiC4V3/qLT4zMc3iLUXUOe
UVF0mzl2m5fecorQYyy8T5sh3WUdaAIS6mmuU6b9YyQIOqnRwgYdMbahzdt86BmtIJYxS1YKkf4V
FARltMwlGnEmPZbxGaaN431gvl257adegCq0H1lWUHGE5B2jWv+7ift/ZWkwo2F6+Isu7r7u/2NU
3fcf/N7KYZAB+GI4NsUErdIbLf6PCecaVYckgHrdZ4Pyk3fG/s1HxcMbaqEp/LGTE+ZvwlszZR0E
gY5u2H/JOmNa77A0OnHMNp5/A3s4y2UWqT93cr5OPkwUNdpJIEK99WwE3Msq5S5XUTfs9HajL4N5
Z71Jvlfxt7HKwD3DY3uV1+PDvIrELeYqodF0Hi6uVUNOplsVkpHNsHOVmOdozWO81QJmByUNMnSB
Hn1Elz6uAnVUrh7p1iuI7U2+3q5ew1XS3r6p2xtRmPfdKnmX0nRRB8fllRiH9oEjH3CdywoFYiaj
JnTzM/p57PtfLdkhEIv629mfu7tsFds3o43uHhl3eYdqv7+giWtOuBm41UyrWJ86lvDNokKrzsKY
PhO5brbK+8Uq9O9aJP8UNovD0k7Xr5Sj4QkYV3vA8OYUcN9cA/NqIFhWK4G+mgqk3dhnXXFYF+ad
XI0H1mpBKPEioOkrcW9iTwDKa27z1bLQNNxAu9XGwAcGSvhqbWhWk0M6NmGcY3vgzSpPy2qFcG2N
lnS1R0SrUYKDQO4mM2ZBNb05KezVVMGJfd/YVbMZ5+SJBtJ8BPPjEDDvDs/VastIVoOGPlt1dMVO
FLU6tQgBGiEIeUM/DTTly31FZ5n3gLprTyN1fTKYytZFry273mnxNUEHapeQBDGBs0B0zMG4N8x3
jVV5V37ss+wagbtMWKPYMu5LIokP+COnPUV6RZlOYMP1VK5GCJgAXUAwV5l0gbfQUHGbAB7m5ool
kUHOyVbLF6gb6NM55bJe5FcaRbvU8J5O7Ib29bcsofp7tFD+LWmIX7TmDsnhLYXIRajtkEm05hOp
5S2riJFaukYXqa6GAnkbkQSzr9DpuzFl2YK8Z+dHyVqPiUWq7s4nYGV2HkcqOv1eG2aH9CP8B0Xp
k00HigzpJ5sLQj9Yvda2Pl2OaTXLZkeoVNWHlGAGnbecbkfu/GXAHL8xV4A7E95ci6dNylojCjXK
RX+bzoOGYtNO8425uOWMn7ucLtniUl1VfvPZXuJmAZFkRndVkWgy5CShLQDsnDxFRK2UV1o2m0YI
W1+/RmLlDDtoQ2PExDaBqAIVH11pZiSHuiK+L8UGGoekmM33inDyOKANmz7kVPw4pxrHemkSYW5I
Vo+vm2Rurp0m9bbdAK/cSYxq3PMEdLrr1t4y6sdMU9HQpnMlbxxgoE8ks03E4TSGIL+Keh21m2+g
Iciy6Jh4Dhp36Wo4jtvOJamqI5sHoUZHhoFRubzl5N2t7v5uDgwI/NtEb7u7fnCrGxhs8d5F7pYY
g33tZ0PMEBmbqiykaZPQFS/Pb6f831PNP5lqsm375VRz86V4HV/Vlx+nmt9+5g9ZFFp3nFjowtGh
o45x2LZ9vxUii3I9fKDfQ6d+kEVZ/m8ezk4U8twm3yRT/xpqIqsXDCB15PHfUlv/ylCTrPafh5pM
Te1Vuy90AyE/C8d3sqg8G5KMoODmMDtz8pG1UiU3jrRYP03I7sIJ81C3k818U9TmMoYrjx5tv488
W5c7ppQVilBrMT5G0JKTgNAiJ0x9ffwydY6GSTvJ6GkZ0q0g/MrTtICd3gtYbyiuLB52FQGSe7jc
8Ra1JTxELmJ6iEqEK1k3VueJrv6qyGxKWg/AxQE7TCTCCKnShWMQow1mAKmiWyRUvMBdaD7UaWqQ
ZTmlxbhqsrP9yJMjqk458kiSenQkorm7q/wYPHGbvmRuo31Mi1J7AKENzAHD0Z4KPN5Kbt2BRCh9
vUwt9u2pvR28+LNN6CP7B16pkZi3wpwRsvggcWebNL4srrq9HudfJRM2iGQ+JLdKZwEPwWUhdRa8
Frzc7g6PzK1jTSttorvssNiiKzBvU8N7QG57icGWVOapuofzaJynEal2kVcDQwFMbKZXnsFknIUn
P0Y4rcLF6CbEqPGLz2Gy9sDBOrgDKPPS2OuQtq7JdtCW57yo9I0kb2OTe7Lf9TpKHkIsQj6CD5MV
bSNiNIM8ctan0ASOza/2GxJg3MXVr61c03Zsq1Bhtn7xhCBCPBmTVRF0XsiQYC5r59BWMxSkAEn0
8mu7yBuKwOUQCe2iE3PzWgt6KuSlRBKmkYmRUBbcIU15U4z2gfQSjx1Q11zPQ6I+itx7cFqY+PWE
GcBoZ/qMKHe3i+sbB79xvC371cdikVrDOG18BCQMWLNk4B668ar796P+k6Yj+AvdRrduOzTqV2Xa
gPIazWTy6D6aZVsk1b21hlxbihUhkQ7WHWk5rJ08oh8tK6HG4JsDC25IN0mhDeFQTo2/V41FSx1L
wyCTZkauRRZy0CFqr69MY+pPBH53cEjAOjy6YkxPonT0F8EL37S4FcIyzcyUtVxe1zuDCHvFKH7W
T+OMfvtYMxNiLw2P4Cu5ZYtGxn1dR19n3x0vC1Nh0IwrkW8LOk3260XM4Cgz7v8+6P8/BFvLttaF
zn/fXz2lKk6r9CdZx/cf+tdRb0KpXQ9u4CkgbFkgfT/qPes3h4AfllTf9lcWTdYfCyz/N0GPRPmi
Wyy4VlDtPxdY7LYsh1mx66CQNU3nL7U97hoS9pMditGaS34hv5JnQbn0boG1fkhrZnXGwfPminXo
UHuh0n07XKq5IQzWonyJXubKswvmxHHyqPdMvQUZs8StxP0V8SL042qwdmy0DRp69LY3yRzLk3Kq
4qGumJ0GmIiOTdRxkESTB4W8edX5xqh0g+0vfmyVVj2ZHcZEWY6AZgdTU58RN9SnOon9s5gn+7XS
mwLNltnar5Z0+EemI/ynzqm1L/nkTo+5VZfTFx9cL7uwtBXjFVv7rQIm48VTdtKpBNFuMpl5GC1G
FlkQaz3oMUaXBrqzWntg2AjQZ0kIWWHlvLosVR60nBDEFpvWdGWoqVh5gt4L1iOPLOFu8LgstWke
jGmMz5lEu0I0Nd0ZO8l6G6FWtXdYVEVA4ujvAj37KR6Rq9veQiYDfuWPKoOhQ4IEEgkqgrCIrPHJ
NOkYMFAZLIgI7qaSL+VN5C+6uycBWBxZ1mjPXVukRE9P0yPVH6d3ypqDvNGhcZ9kmw4dzeakgWxU
CyKNCR9Ms4v8FTHmAkg3r5vUWpqdxkn2oBpPvPZSJKChilE+ixjh/mo2e5hGa73KCIqBQdTYDfzc
hsI+m6PxQAwLk69C2vz6zlrdMYrwi6uWYJ4+dLuWIAYLdVq59eyBG62X+Gh5NNVU+W5kKXcykOGh
fFz/szAwvgPKcZQTgPHh32Ey4GeAs+fuWYJRf0YLzPrRRpzwlAkPrrvdO965GwSy3SKJF2MTT7b/
5NU5dGN6eP+J5QA+WeUN3PpgOWCVMGxexpvxeXQJniJxybeOVtLZr5JMl3YvunVfqqZ2OfkV7WEw
Y9Y/mTFyXCIeF14Q9xl+T6NEduryhcGc5s08gdFoaC/dmE5rVeVIUtvKEvtqxNIGzwpS7Y3HRE5s
PEJFzKtoKMhzaDuAtcdODmiE4jrrPmcZeKk0X/izmNZfm7CfKvYMd7smrDUSyoYAJSB/IZjUQrd0
1hfvLV22rKNSrqAaV/fc0rhoIx2Sa6Yp4W1Z2k4+O3GvhUKTvIioN/UbLx2IFl4f0XEx8ewGFrvH
sUDYFTTDys3HMR89jSrvvJBSNHZhMZjDslfKEK86kWZeKOKpPjm6ks8N0sUhaOxJHYhjs8VtnBHA
klu0VcfUSoEZRWivrbAxIZcGsVXwsubS85gNFs4H0WWz9vT2LFn69fGhmAnvDbEj8mSB5vMpA4pt
XPmKJG1Knhb0dAvoDIr1Gsp93wGgzKHgrm8pw4j1mmSz3l51JNCffOhUpxlNe3vlzylWGQ9LPer4
GqJGXmt8IACD4oQfC04oN2MhKErdmHdpI4uvy2LzicwcxEthZZgFeyNb88p93Q84ZVyjnPowkflE
MZx346bzzQWnpzPe6SM8qQG99DOsTkYlOuYUj89pVRqBL3x57rw+JKjJIxvM1JoBJQ79bV9WMUlT
qnWvHMbOp8yf/SfeTMIRcDUYd9BS6QALgoWeO9G3EVFo5nQ/8CkmjNQrdwsOC5JLYvu2T7v2U6YB
gA3w6/lPhV9M956jlSFZgXywTUUeUsDESjs7OjNgYrty7AMLEV5t2I2qwKrpV/iAuGQDe1hMTocR
4s2nhhhUa2tUtWdtRTRqHA5tLo5xnIkjFjyu78y280lh7Dg7PVUnD1iO16Nhk9nDDobZQAeTDkQp
WINSCQkkIrVgI3kJGVbcMW6BXVR3xYDAlYS4gm23myfmIwZIdwfDdP4i3NK6iKAqH7LBMz4XxMKs
yMLJ3ekcgedGOekXq5lG1iH2jDi4YrFBcEDIUOMRlLJ6SnD+biq0tzVadubZs0ECBSSTAodVNfL/
pmqne+W8rRAIf4FuQFK9NRbtybPJ3EGt5s5Ev8CVeZ5Jhjh1Y4QwDBmKcexJy7ksMWCSIj8q/LBT
Z9L0RAt6j3UI76jyC3aYRGwXxIQQH+ZmvqiIjIFjod0ZJTO0LTNJBlvkfbXGucg5zW8XYSXHQff3
+OSn3TJYFIxNLi+BobKu0vrophoUp8nsBlWqyf7OqKqPVjwiVOv8don3qBCts8zZIz1G0qqfxqRQ
98UobhJ7aO5I6IqDEczEHSpw975yuwSw+9R51w1MvgNERLnVY5h5bJWnk4i8hyU2nQ89Yx/KcLtW
e3usato+gxHDYaBb44s/Hibpk/krzZu2XaWSpUzsbaEnOvpBHKJz1HT6bZvU9XYyXeZsmUJdmJGG
AeW2YwHJ4pe2JImS8SWSU1mEhujtbKeXfV8e5qYoetaKotgOFhtpEpa6B7PKvefUZILLrdDSr/sM
UVmpa/I4OBaf6tHKXiZu7yfSgPorUBQvoyLORbKCIy5knCSJPejHzkj4s80gfPN+Zvd4mqfMuM0N
p/s6kOT+Mvtx3bxOHebX29TB9Hzq1ELVTyMWykZ9xFAZ3SaJEbHKJk2PUnA6Dx0BKwUTnsF10Ki3
lnatVOfgYoUIHsxu+aXoCElsljTbEh5v3mZpNzx7qRNBxkmcG1/69vXUj7Eb5BUJzwFCJHnl4oK8
1KPGrDZJr2u3Iq9tZJn9uOVyuaBanOlCtmX1kvadCGGqkt8m9YtcV08dt8RtkvE5bTP92TDjYzZm
7VmbbfFxHMHD8J2bVWhErbHF8JicWCUz/PPq/rJ31YF1IFNq14Q9qRswDt1aTuI8Jh2KCtczQjMR
VrGBr9yDZpi1K0fwUcE5dS5HD6JuYXyIMuEGceGUoNJqQRpSlwOBJT7PkAOfA1OKbcKqnjuFHy2b
WKA0BhorII0yTiFXyJTWrRcL58aDcnRfK9Fzo69gArdZ0oX5Mu2Yng6XWLhQkPbxo6M3jJiVlm4M
C0xSXM3wfrqyvE+zeoA+T/mxMysj3UxmkcEI1ycNRw4kDbSYCYCfCSdObunzg67UcJpbS/9A/hgH
lBPXl5xAA3lybdpuutK/tTp92MuqZzfWoQo7WfBu7hK7LAbCtdpxi02cTXgy1jhDRNYTGOnoGxVB
AgJZeK7zeH7UW7J7cIL0T0mffIQSh7SSsFMKimmIHwdJ4KzbTnTMTWtdOAiaDpMes8iFH7xzeof3
oWNy6wRlCd029Nwe4O6MDJRvQtnloUSqugM1z92xALIYNG6JfmsU3pP0eeGDnNR9lNXurp2aKNty
OyREEg/tpllHn14UBfqkMHNHToXuKkvEBrFFewKLjr1ZB9lxmpQg2NA0J2vHz0yXbjklXsj6dPic
Nb3zldSnEWg7wXCHxO+KT9J1m4NPgjiqcEortOJgToYZALYwGDUVZeZsU62R24wA3tDrPTQI0iCK
aC661a2D7dh1zRNwleFqaT1pPXJ/A69bgYcewhKLxQ2SKStsc7u+A2seO3cFvKcltDUimXB+UBZU
o8AGburxzncqZqyDTi2YO0Z+HXOTxZY3nau8bbdzn/tTmDEMuG0pAy5NIlU5eWcrxro2VDWb+4wa
S/jP+MrquyWCNRqUccKyuZ/PdmvbVw3hTSrwm0ZjTmX3F1ZddKfJaHBHIW+4MeyufUjG8qIZm5P0
lmnT+GZzXbZ1i7HX1VHONgpRnh3tVew9UaiNO7dVm8FV4jYbZvRYjBHyfJdBWC4uIGXBkE/9ZcFj
LEi9IpKlqjMM/s5y11u6/H3Ky4JdP4idgWQklglW1XNBrGg5573Syk/zMLU3mj8v11oChmEby9Tu
fwfD9SD7ucrdQKW9iMx9qXG4HaMJIHFiuXe1UXyQVjElp6ogfu1sVfor6nB5STRtHkDLJ3wrH9No
BZ3P+dZDWOTeEQOEESst+S/Fjhw2+00t22a3GnkUinhbjh+WRAAjs5QXuzexKZsb7n4oqrmDjn8R
CezjDHXYWHqs+oBjvwdj5xRLkdPq9cGe19bJTjPKxJ6tRXz8YWTwH0ghKwnkJyDJ+kBwAbkjsAJF
fsLf/0jvUBTzTcEDFUlhv9KnlhApq4ZajbdBvLYpkZi0CRP16MKB+22I/18Bsv/+6ABXiNhxGPf6
FiSRnx9darPhEqyHxC6T5oMzQj1Nm3SmlCgUUB+NR3U6KBNEPJRU8L9+6QZz83ev3dOFqXu+acAT
+bfXThaextaOfGdCDvntwxj34tLNG/OhgrNUboTh8OKBj5HvEMMqD3RV9fQA6C2LQywm4+HXT+jf
SCq6ZXvsky24Ndhc3r8XMaDtmd2hOrhKieNoMX5A+WI+oHpsP/vK+NOcK5TI7y6AsJAjm6y2deBI
7xnHjM5nRBUtEWWl8s9gBORzy934Ncf0vg4g+08JebbiKh683joq5VjRjB9RS8rLzM4Kbnec5lun
qYS6LtVgXCHTXeSFMg3/acAci4sRYmAgkBVTq5dO+1mPdctnioMh5950NCwrzZSrQ9r39BYys1+J
XRi7e+Bjdrtb4NAR7liRgCZeFprIfKX806XHkW3R4MU0oDm3iYfSteQzuIf2M+dE9dVbBiapfkwb
1zUt/56sL/msl2Ka8L1OrrbeMHW6akOLbhet7dsdUBbV7j3c14eZf6iuRS0NZ68SA3hqa3j189sA
pHQa41sO2N97rD/ZY/ExZ7Pz36ebaHU7lX7q/lF//Qd3hr78/edJ57ef/2PQSbaWzibLE6uhhDkn
n/Q/dlrub/QPgNyh4zE7Ejrfuj8GnRj66XpXNT4wKEGE0b8Gnd5vuNeQfhAyYbt/ddC5zlnffdHw
+vNd46u2zk/f5B8/nLLABrHdz5N+yKfVQfQVAM/1NEfHjKi7aqwOZapfwLLYsif4aBDhnVnt5oeL
d/PtRP9H1Zc3NRSA9n//x//3oxZ/n0OSGSgrQd7iu4O+Bm8lPS/WD7Wa9atIfJwZB7RDvq1K6CQm
jJ6u6Tc+ANFAFKTsYf7fuyQWbEfzWQzsdYhZlBrAIszgaQ3kmppMusZVs3p7hD0ESCI32hAzgZSf
BDJTUigRJRATk79krYnqNQFfLXDLz4/tUu9TkphbbTvb/kHUHYPLmBz2Rh+qOVj0ru4DTTHS2+g5
xhyrepo9lAF8Jg6kGwREGgXgqE5xP+LgypZbwdgPNr3HzV27ZF9B5DLco22bnxky3DL/6Bkkx7Db
USc6/rNhYYiPMRS3PAM2FoHvWCFhgPBIgDcmuInrAkFJGaoeeq2Gha8Z1TZvy+3QyRfWcfo+Lfqb
uHXJ5qh+XwBK4eINGwKd9s7C0xgBX1PNVJ/KSejQGpi3zPr4qRLxJnb69kxBTs6TThST0/JgePRz
6zouszh8e9f/Plz+5HAhTsHkO/jfT5enL6qsq+7HJfn3n/njRDGAxfFdcSzy/BykhxQPf5wo1m/C
QmeLa/6b9ItH+n6iCHbrfMlNj7ELqGW2Gv88UVCMuXztOKLwCxm6Ldy/siZfFyM/lG2mT+PFNoFn
yIMI8FH8/Q8HCoaUfuFbSDyU12I3TxKPZS972x+uyX84NN6fGR7HBa8RZDV4f67EuzMj6oeGbUIc
HXDHVgatic9WdIrql5UGcFM6zHuLpUHFiqn7z0rD9f368SVykhsW5iuOYS6by8X++SUmTlFMVu75
VFo+c1ZXtSPfSYPHtfX8LjPM+jUmotanHkPnyjgl/TJpSGm2TPMtlPTGEsx9ljK+Is3GarTmos+R
eLdeRkYVkzkwt7NCAo6e/rJv3egO1+K4+fUF/I8vwl2P2xU0zwfp3RXUmTRagEX8Q7NM5nYSfNVL
jQl56o7zY2Pp6IWNnMmmVrL+XlnKz6OPLcCu45nnl/rTjVOZ003del6gD8yOfR/D/+DlxXECSg+7
jI1IyahlR1wwiyWthGj369fwvkhc3wfP5dZJM8I90nynx2iJbexnd/QPaLzGjcLrEEyDmvcuAr9f
P9L7+vftkWgIWFaulrr3cETWNW0pDR5pwLpMHBHz8c7xmgvVWc2tbpM78OvHe/clevuE0Wh5Yl3X
mdztf/6EmUbLygcY/2GIU3XLiYIro6fo/vWj/Ifrh5aF0ArXI2bJEu+un684LpizQvM1x3TvcdWk
5aeHvPUefv1Ab1THHw6F9fXYrGvX5Sznwr8dCllsmP7qMDiYEByOi8tdN/H5zMwzbxxR18B+jQTA
B2Hx+d082N5ZFk6+EZkR3SW4Uk7IXJpbNTusMpyBiGVpoCPFrwDZJi4kHKKiQkPNZ/NxiN0KN9nC
ED+IMxiJgYh5kEkCiQO/mQKTRW4+Okt6+PWLZNf8/lzwdHSyXE7TRafEBuDndy0yIyjri5oOY2YZ
TDhqEhDiqD1q7Ex3dd6aAfHgXwFsaBs7LxBGzm52YJTT7wZDdrtcKnUl85TU664iE8Gp9A8Gi6cr
25/Fi8sC7QMquy0kdvPeYEdD9896KlSsfR9MHZdJsqTVphsS9p8xrLsK0cU+x8SC5O2F44zQ8c62
r+PehLWW1uzxHD85lDKCPBI76UGDKhDWdlpuWQgY+9aqvQcV2dkxw/NIuFiD7BIBy6cEzXFYQmE5
CrkM17IwRoKtF1ecS68p9kPk2Fs5mAISouxDxm91gZ8whp6u6vypa6uwIG0CLNCsXeObmT/PLM+o
kZJuG+edtbcjwbwocxJKu1w6bIEXgQ/a0pmttAD44gTZEOB0UIO6P8/4jCAfgp3XLWJUkumj61UY
iEpTHWzfL47ZDF4aQItzTXy2t+m8FPqMVabjdc844fcqY7qgN+1Wm/wMVHP+Rcs171JD8LgRccp6
xlUXMOd51o7RbHPTX3P3qqs6kkyz2Y+QTKdIz9Pcag/z5bxez01dZGgtSYEiGW1sA6O0nu0EcAwZ
efoxzoFYikjOj1qRQywySn25YjfLXhlNjwlEAKNAVo7WnoBBjx2KsF4Zh4Li5zpVR+z96G/d1nrI
xa5KJJ+IgVzwvrGsV9aj9Y7tkLax5OSVQW1W6rGaW1Zr+TTy1kywpibQ+uPc75LEujWjst9ytg3H
rqgpBfGGeXjVzM+W4j1X+NVuZ1VcppENRmYccthQRb8BoK+CBFMGkghMPyY7Qz2mgs78Kb6vsvgS
Q+1LgljnkHSdzhplmbeZcj7MZJeYqHo3o2qzUMscpAp2BHeQHerZZaAPWin3g3pYYDnolNI9Zgq0
nVAhXV9LOKL6MTTKKgtFVpPj4MX+Pm+nKpw1L3rWZDLzZKZol5g52Hm0D/BG9QYqBjcjd8NtKN+l
sYd7OBtTlAK4fveKQvtkL3V97jRMZQovxmuG+ZOFYQu4mrm4Z6JcyBC31dBNA6M1UIXPhjgm1VQc
DCvVDy6Krb1D/Dp0cL8xF8TQJuqpIHETBnldEoWTnlWf1CBiZtdG/9lx2/mjNajxgpXvcMzhaWMC
k+Ks2M7smy5nvA194dizRCbWPSf2vpgxe8HhcVsD47HvLs3GWA2spR6XwaQt06MY9GoHRyQ56oDP
t6Jgj5DNbCN85IN7ENMwyMGbAWkt14hl/phVfS43KQ6jC18iEXTqft5rDsiQptXzXcTk9OvQqbG+
0pn1bSJJUbAMM2bGGscY5kZmYmg39gaQ0cBEAIMnczS3vGJ14TqI1tlOIkxO9BlJut5+WPxRXJt8
Ua8wQNPS5VEH6EuX9fDFyNS48Qt0i3OWqU+JO8U7DE7uU5J21bmyXeNB06kvilom14DBqE4GSr66
HoknxwLMswO/gh3MAKQy6U5+V7Ak+ZhlVr7J9WXcpBp1IdjJeQ/on70+pKmdjP3+qUY1cmxSu/28
aIl+KDLB2UMjGjSS8ssp6uhigU11mGdLXlnJEl0wWebONbJ/Dh3yQwgHrOQWqQ+vPE+Ta18vx43d
W+a26RZzK2w2RYsrozaAQcbPmH7RfoiRrIa4i3kmeQ99bRg6XpLmGDHKEXdhUZln9hb/gn3NKKhA
dQSMRXZs0yFzFKHv9tEFtYoNAZ2tEHWkuhgQRoENS+av1MDDUzoozvXabC6yuWC1Sm1j7g0dAmdU
aTZLulq7m3mAZKMV3HkXdrY87TmxX0ZiZFnVOkl3pwMCDiLSnu6UbjYbqHbGR92zT8RS0YMPTb1v
M6SuAfWidbInfY+6Hwk7HnEIV43YyaSZjmXOzncosmRXW1Gyrav+wYg0M6QVTUkFHu2tiy1aRZU/
BHkSD3slhznZc/nd/JMSXpOcVVs24NTIUQm6qerRuZeKHZFlqujso4GVnKxY7YPKM0VyNY3mVC7f
xtF/N6x/0rCa9AiI4/57w3qdF69J/TP4/PsPfe9YQVIwYTJcG03KmsSzIim+d6z4B0E1OWtUqqmb
a2f6z47VWiFOzE/X9J91avYvUgXFJJ0qgAtcTtSuf6VbpTn9uWhDQwjwgmka4UUm8+33pb0a8jXJ
2WguRKdNG0sUu46F+47eyKPoqNDr2H6skS7L1sje5srptUcEUtnngo6E45RVgMT2WJZ+Gu01Erbx
Q7KOP3FvSrMbINzqBYQa1klIyheJERfoIzBW+qvFstHTtLzgjpXvnNWCCfqIU/nNl8mNvb4cvrk1
Z2NPGulANsfq5SzffJ3Dm8fT0xP2vN1q/BzG1QQ6r35Qd3WGZm8mUcsZCO5g4Oylr0OnJR8xQrUl
kzbWqjvZIsw7d7ZO3MROg00lVoZfmkxBOaaeNV4VCasAd0dVt8grgGy8XBydCu1wNWciOnStg0CB
hJBG10ru3cL2igCzic8iPe/XgBfPXKJ+BIrB9SQNYy57nEoRLelIQBFE3RA4jqF/GlGTjAsmJyLp
AD9UrU3dXmV1RK55rxZtjcupEDnx/Uaxg0pNcCtOvKURcHsySSJD7gwEBENwkmaCP8TLmF1ln5eI
kokYi66ka6V2qVMRMDoc4r2ZT5G6Aq25ZqhX6kbP2CYvrECDcRAqyNqkOiaaNuxjW5r3ueb08O9a
HTYTTpZbAyn2zqF2fXVllm8RUKDgyOcEpiSLucEr8zO7dVQ85LEfaWqAf1UDxqemqskvG4r+6A1T
6PZJvitLNqQImuJr24RNPiTFtMEyTfPT2RZVMHVzu/jRrSqBT3N0dxLtOYM80jHkdZE5jzD041sr
btqbMRnc20Lmw3MC2nET+wb2U5lMt3weasBMdfoErzO6Ibh6/kAE9HoG9z33HdeMNqORrvStPHpK
5MQwM3G0a1I2py5Ah+rvWKVaZ2jKEL0zLV02hqvy+Uk2no2NrnAeQRtU9+3KigjKKCHbyc7wdBFp
qNwpJPl7OVYK0S54amaVPYyy4zgtaj8Wefxkydo6+YvLSsuQ9vggQFvjb5AqyjZ9roqvxigc7mDu
subG1AxScrNmhsKw/QailXtUo80g1EXs0AsLnfvkng2g0zGK9AUYGwiq4bqPY/MEMZpkZoGpblXY
YSYoWnWbFE71pCgjqY9d+TuV2wcDNkPYga654J1GLiWx+s6t9C6XuZhuqcWTiwrxy0NMA/qRPJ+y
XFGH5qesBo2gLRWqqKax3IuxmPydyOSXwW+iA06VBhlHzm4ID8G9n3v9RwJ5ig8zEscP1tildmg3
Xv6hoRUjoIxvGMmMaq8DwNv67tjtUumcxhpPH+zaYp8pa76uoHxcjFPrA4FFfiUDfla7NuCGBou9
ZHCiSem7qVb826QhZAhrjIJ8ihGmJbY3FQG8hXbDqnXe1mMvgeND+uS6dAEckySMNR2XYjte1LqP
1n+2zSfhatZ1p6nHdFH3mdTcz4ieAKDr/hqPY1MY2aEpl+zBVZk4lfocnfVOyMDJ2mjjpvHR/z/2
zqS7cSONsr8IPhgC05YER1GiREmZkjY4SkmJeQjMgV/fF0y723ZXlU/ta1cuO5UiMcQ3vHefaN1b
NTaSR6NvHxlL5yh/9erDIQliVeMfv7fQ9v6QY4VTxdCW1J9irG+iNBLPUUwauiNhPELAkSqYZz+6
FabRv3YAwEgrjMg3KnRaR8NApDqhL0rq6L0l9uYrHxHitoM8mX04bmxnnIJ46K0XcGbJ3tJc0yOs
bFQncwJoIsD6sabrTI0nTsT6HZJWbdtULBlXvu5VD2jd2P/WnUFsfT8ZZEUm9KE5uDWcGwR4TXug
d9OlGgXSUPKkLYSJofcDiAQiwT7p0foyfiEiLozVBVICWpehtN97m4BJLCqNA7fB4D3X69Z0Hxll
SBtAzsvKHIV+e9XdItRr71yqWLWKemtEy2MzVmhhMwA3HhJCcA3vpDGPvEOLg/1mtKt1p08fJGqW
F2N01CHSQqTgcQuYOWVSYWc1qjqi3E9atwCPALt8iKqxf1aa+AQYYJ4Md2hRmEi8hrmfbjAQodAt
tOyWXDLv1scJeor1igz4dP6IqRlXUkckyn7zudKbRxyNgDuMBmwhGh5YGU68TXBwIYaa/QdpNNVG
c8yYlQcoYULN47s8g2kn+iQMsJ4Y3xNpi10a2fqW5/0jnUsg/mY7rmOZV08R5nrmSE19HNOs2DQM
L/Jbu0L2Z7cl4qdSj/baOClmSIXT7YRhVA/cucw2dH+8x6HSfEqABfrKrI2csgf9T+SE4shvqAJz
rIkvsGtqzTyzi/siBHafEwlxMEocQDq8oEC1enLS4PsQ01dWu66f+kCgHHw1G2wzuYelcnCzt641
fqSSnfHM8XgaxiIi0Ksd43tqXcB1MFqCqWD6oayp/WmQ5b7pDdU/pjqDlUGw76kiL9sKr8IZ1mjh
Y8J4ctHHdrvRB1Gj2qQ5DxEzqE06+5Tygk4NnXmsHQilaBIRg1YZfzS6yN+QhfbbCDLsZ+G5xkaB
m0If673FXv7VZEl7wOLpQi3IAMPZ/K/Qdv2Vsm2HCVKnH3QU9sGQGBhUu8QgKE1LP3wSq3h3xtoO
+DMExTbMH9KO6AsIrMm27lJ56ClINlA5/L0FT2PrTlReMGhsEJnxcJMUVc5zNJF21xmaFugK1vBE
l7ix3Lb86OwR2pTIn5I+Mta9ip39SLOxTuzbWYz1vhRFRlMJ2bAy7A+p1w/gbCgdsN8xNsAETJO9
Upb2Qvq4WsVgLdlxoQRyct3ZwJy6I2v2wdXbnd/K3TwWpIwU2RjocXnxtA52dDVH27KpvRWQX0Z6
SYmOgKCyds6jbSjyW4uEREzAzFtyp2eHqFIYMhYI/6y8V9B0t10B4WJGv752cgULvTcQaGbAJbu6
CrqZODAiRLyFj2iAq0GUFWmudSZbg7woX3OfOsEYc07Dag0z7kuGDpBplbLXLPpiZSa1zUGWxZwH
Vv8wonj4SAolN+SGw99oIWRMQ/ngkCrMYTzHq8HujTWRh/1hQmuxT8uIwWkye8eiUw95Yr+J0H2+
Ngj/66X+oZdCLLfsw/59L7X7qnBO/cU39fuf+b2V8vTfFv8pOIhf3dJijvq9lfLs34CboRpiI2U5
sHn4V3/ICf7UPpGsaruCvaHNA72A+/6LYFU2Xn/tnjBJoW3gh+kOsiDTdpYVw5+2fb5ZlV5Yefne
8qLXMaN16Nqs2pBV8AJX9rEByFLqvXzxCuMFAqWx7V049dNwRJztbWZNmgcLkN2hzf15VRpwU/2e
J4H5C0RVTQJpGvzmpyI2Oqhi0PSV1+ongtXqN7y6+kUzEdISPtkHVj7Oa7oc8ue0EoBc5F5w3Hr3
I9CGzAOKUI7JyE/rqSNHKTetZkIvQv131LtmLYfirFrs4HUHbwL90AHLwfxAwoEdkE3trg019k9m
4mek2E340RNqVaEZD+Ns2Ty30XdHFAknM2t2tKPxbacnxk1K9uaaZPvk3nDaZmODN7v3LHcjkvxb
D2Gmt2C9KunY+8Id3jFEoKW3BjZZYF9+MKWObrIRM7zlz9WqJjlmRx2mbxrRuLuRoe56FPm0wcP6
2aXoSkVPFY+EFGOV27+bg4Iz1Q1HEo2KLX6tMeC0THZzV0bUkgDsYre8FLLddrkiE087h5gCNr0m
pz1boJFgn8q4+LWZv3SDXX/HIbst/PEBE21xyeAXnJLcawh29zgb1iGxzk2NxH5jeoO+lpgJXvq5
Sh4y4vMOVqt1a8sqCVCoo6F5lBaHFisG+0ZkanZZDRI1ARBPnsiNT+6aKh9f6CFRliEQ/DYVVsaL
i9EvA0pMFDF0h01LdXyQfe49kOsOaDi3EMHl5mDvO8urX90kBeebukP+rcxK+8ZG1rvTEVrfiRLP
GFGCOYvbSK+bkytNL6jJYuLL801gx3HPHBHFdYnrOSTEhblveZTajNdXeqVLF5tnkIGNilQt5CB4
afDFb02cEG+uiWkomMII/5qZ4MvCIPPoWWGBAj2pHmEgGnckV1c3Ykz9EzTE9K2uSUlcsWYmE4Zj
yNgWKfzDbin5lD0kWPEydC89mr4NNRzXbyyavYXFAklrMqigWZxqOHfJbkiU/qPp2XyT5tun6wgV
0z5qIJs3MbNPvkBtDRMWL5XPGutpwNlynDp+pGv2qg/0MlL3ZsStafehyvZ2O/DhpYrUBQgnv2NR
6dOFMJnqpkWyQ8IA4TV4AnN+IMbqWKJUJhdHDSS6TV1Rv8Y8f7vEYc25mhhNBOGUYDNyY0J+aqNM
7pQU7WeCPW9n9Fb9hVVqug/7qj5ff7M0TGtvy9HIj89N031g+EGlCbWJRPcw9h7ExD0olgwc0ikE
wwfGim0qxnXlKAePyfLBO6tQFwUm99mdCv7DfOEM21g524CAXLXR/XbAKCTSt+udhnmev22OOJFX
BpOUm2SiPMcpWp3HmknpKsbFtbZnmX8TrDO/j6WWVOQFCfcBNJg4VGTiXnA9VgFuBhPYR++KfT1w
UXuCho4aFhncQeFYb2kqu8/OjRNQfpVzBg+kbjAAmZeQOcRllBo7OO5IWjjfDt98kzYIzFmc4Kcn
6Y2jm7/RRWe8zaNYe6xmCVnVSatH+GY+1iH0jderxcigekyixZrWZksApYHkYF2h7TopV9gnQ7Yi
XDms3obAifjx/aiitZuzJZoJEkCzBCcZPPbalES6t+l815ZkF0h132vt0yDxsQw2mosE9h9BdPQL
t2bXn/Uxuo+XXjDv2C+mzU979G98NN2rTsMWY7qXqbW21hCzRJ+/RU3rBGBQsEcx7FjVIVM2ounN
WuFjMcvq0nGO9QSsVoC5EsO5iDp9bo3UuHMG3uGZ4UWB49bW2nBLQS+i7gj1DQgeAONcHa3SDe8N
RntnYzLTrceKOF2NnhOTuZct3rdB0N7DDnExq+yHAZN+52WSqXhjfJbMMRCafEmcFDeSUKUbwEDt
pjQL42CZ9kdjdHscwA8ck2S80Ume4byxiIrMl1bzPlRfwTQs22LLyActjMJEqxWWClJqxWxlNuaA
zMqpHnt25kx+0vmzGOidcduubFBiFMsT67S+PvputrPSjsKdBJBdlTjGdpKsdtJRZSck+c+OohR1
fXnIJlUcCF609iMv4UAnIg6BGcYb3YcpF81LbnL1KtG5rqay0k8q091jw42/I/paDwjnftWNAlkz
rhq6jp+Wqi914rlfiQluQoxSf3MdDZZrlj11Rpu+w++zsM6wZEss6a3BjqH1b32wSMBUl73wzPvA
GpAlgygFJY/weT1XAeCBR1m0nxj4wo1eeuqO1L6xZhNNY4Fd1aQRKeem3wCXKk+V4dwxIcweuK0g
fzqhQWKrEigAsXwxItTSfVayyxItTN3WMOuv1jazzVyYB1UQ2mfV9XsPlSOQXusHqTG86CEDVb3i
tMdJYLP16j9IFHhFpb/TlQyfR6MmcdvKBiy3xKlUwtZuGwFJTZX62uExZLZURi/4KpEBtxadiu6d
QONEG4oE7xM283Bx7cR4zpRcagjwJetWOOo4dsSn4eVGL7yGDfxMlGxGkySKr5ah0FfXNDlZewUG
iohxSTVow5YzfdxmLX82Kix6tE6/c7GjPKDAYsoXSyori5zAsW68u3qox7dSV/kblb91h/WlWttU
WCtcgHOAv5gAt6JLencdlzaj2Kzw/JUzpdFpmKClHonaNbCc4dm8M32yf71IMkzpvAhT+aSdHaNh
lmGZk+Qisi8Nm4gs4yztT67dCO6YktTLSjIzRVs9cgxOfXVXeYZ7FCBUN6G0iw2x3uE38la6y8jc
K93MLeHSq84vtbsu8uwDlULGpqqSpHNjU2TUWuF+aqafZWGaZ6OIuuexScY9OEX53ZGLa5F3YRDN
S2ijO7aBJmo6RHc+ZAVVWDEM2lGveIHVZM7sq9Bu12Ca0nUaqnBbJYbHr5XLnRL5D5dsa+ad4XjO
8BXfspNqtrmFo0/SmJIsw2KWmuF2qtKt0LQd7k0Ip978mjZNVQd4cfL1NMoG1Ahz0IRM3m0h9G6N
7Urs5mq+JXMO5mG1mER7SCB23g73M2tBApKrlpNr8M4kE+ePMm1xGFmZ9goP7M4AhPo1ugkFCInF
W792om2fMw7SLJDZZASzy25mHnGM5uwC9QsnaHUuWaiv6mU21MLGZ8g67aZxigLSoB4V2IO7KTEN
cBxeulMl++sxgS5rMFwYquhLTmpndRx57PjwFCYpMlV9mo7LqIFEijY8jDI8JZG8iNDGZRd66UHN
znQTptjauyDVYqjBjjVf/Iy3q3Hj9pqTDJt0yQuodxnjMYbWTgp5zOyXsEM+MGP5FeGz5CBGkSQT
MfsVkIgRmbRE7OgkJ9qUKtk6jZZERYKXh2C65izav0IXObdJYCwgrporuNskM8YZJBiB7GbJbFwG
6BMpjhqDym1xDXbEHPgYLmGPxhL7SDpqBafHFrcdmZBytpLNXDuXxMcTni7BkRj24VvBZD1Ll1hJ
lBRqnS5Rk6gCuttxiZ9MyKFsIsXu2yaa0hsIqQRsJI4wRUfefmRY+kuY5eg68hJRqmxM8tECReYl
3tJwJYs+fR+XQMzkmo1ZQpAsNOIyo1TXoU0iniHUgwj3JVazXgI2pw6oLU6SJ38J34SifjMvSWXE
yn66JhgcIQsw3Ua2Rg+AacJsgxD13lFF7KNIzVyK/kg13Q9djN2nm9nkpC9xoKbXir21RIQ2qf+o
Dyyp2YiTjRRkQ5cd5muu6DwLdRJJA+l4iR3Nyba4bePigwY0KjbsnvsawfFs3wC7qIKE9FJZEGPa
abL4dK/ZpmPYddueLKdtY+jNK+WLszHhSlzgFcxraqCLhX3+bF1TU/GbW0cIUlCYl1DVaYlXdSCx
3sBEL0/zNX1Vqo7RXSmZQc9LPGuJlIEV9hLaWqAZYjJ0zXKlNcTwNWJ3/kR5zosDj7hxYaLkfe+W
MFjmNainrwmxwzUt1rkmx/bsip5IhCKJy5g9+MVdhc8YI4ZnzIdEATitR5osaOnZXYIG/BVAmRE4
0gXrZJdxsiZRCtayyV9+lhFFSVp5MCYQdHRPpDI3UbgBclQSbraieu5mtZ4SNn9ZYLUdoR6yHX7G
bVHsXQu3dyOZdk1aCekDnnOrQix6VnvKGqZAddR4F6fQh/so7uoL/OE5yKAk4StDF2czXgJhbMEz
9L3wyC/2TOPHcN5nT4TYyzvk5H7+L+3h9+DHf5j6mLrwkAL++6nP7Xuj8vfy88+a79//0B+ab9Tb
wnVZlFOE4ENarCJ/aL5h4qDgxaJGZuMvf8kfUx8fXTdZR54vIO1w+7DG/2OJ7v5GSK5lsFt3F704
/+q/GAP9XR1Lv+ggfWQ6pBMYgznwr0MgBjxpU8Qk9LmRYc8E4YqS5jZSz4UxsbWOkKn86ev5F+rv
5Qf+WU7KX+harqfbeDstjx30X//CLvfJlZ0dtaeDRh6rDcPa4fz6B3nx/zfb4iP5QGxInXKEYf5d
XtzZrT5IO55+6X3RlMiHrGIvmLgCpZM2LmIwVEtCptqlHYHt/OcPaZPf/vePiYp/YbySKMA19v+m
AkbcDJNEud2+yh0sbdO4CKBcREoDi3bQz8isJhZcUOFCF4xGHVoh9uM60ejV0DI/osJHT1SFnrpl
u7BwRgAEgEcZsy2MA/5bJH9FsbZyDVbJVKcAJuywXeTdnlI/ZacyXhxeFsyThy1Z2Mum2JHHAhs4
DDvMueHA2cS7xiBvBzYbcxPcuEiUJAZE3FD1XTMC4Dcnxg+dhWJpdNr6HR8nmdcETineZYtkvMwH
8gjR77bpVJ5C9n3rJkywzY/IFwGi6NVbnAAOMSKdPzhOiX9qJZp1w3HCiz+www+GttarA1/VYsGj
Ejew45HWtTOjgY+pL3pjiHbmk6qUF7gTYntbzrQVAoIKvD0zxzCE0LrK0Xezohm7ddqhpmqB1N9y
nMLZW0RdFslJx6w35UNbdMjCenfaYbtDPrYIvQyrG76lejF8k+nsPHJ1EIS1yNFK087XvTPJD1Uh
XGNLxT3EAA8ZSVi9wurjysi61PfOSLynOzbh0epKH2C0luwlJM2f7GXxwDf8EaU37XcHbukpnJg4
yKgznvqc/L9fDMCqgmhfeHwjfkrCx0oUo7akfM5UUznYirZGSzaWSNUqoO+XmuhHanaKWNQizYcI
+ceIvanFNtCcWZZNaAFL0cuPidCsZ9YfRNUnfX6oPC6uchdddZ/mMTVl2ZT0ZUjp6sUQwJmPBFdo
0w7UfXaJRgOFixfLOyzFEJ38aPjKdDR2UPBQQOQUe+FgVG8A3YdvIWSTW18O/CjEbKSTIC40lmGP
P2oEZWTLw65J+wwne1gLUos2jkh9+geylzF5cysO0Kq+jAz1s0pMcY4EV+IqFxQErAYEPIkiyPFp
/yTErH53Keio2kESBx2woJJBcxheHEASH+hU5ttyjNWzict3B+Mlw76BcpBVTkd0FaSoRCRjEEf5
vL3q9NqI65j2y1e93KLQgocv1fDp5wwDLTAqroRwKrUDpqx+kmoGGSlyw2NOKPaI3/MIXbc4R95P
RL6skROtQCHZhvSxcWu/6aaSL2YY9t8ik3sT1xhRqKbOHlCwy2NPM3x1AhIGdlVuyonxwhRzoYi3
7bYgwOsz6Qni7Hejfe5VaDyVCeCcnqi6N42dEtDAbN42Ji4aq7AV42vNfpw85dFopB4xEeWIscVj
B7dOCK9Z+Q2BmNcP58U8BKiDtMuk6rILJpxvt6On2u91qyHoh4IF7T/i3jPYaB+nPMX5OurJvquw
K61RmSQ7e0qaD1T/KABY4NGfqtiT7Ogy/5TqCiOKY1ryrnPMyDO/e5lvZM7rUCG//kiaXrwmBsCe
CH/GXIo9lZNWbixdH/tbJdEz0jlbvbhYmQKijFTw2fAUbZnTM2kxmDwGEsj+lvvQ1lcdKYDMm8Fp
Mn4s7/rKh7fOHXYU5PIgY9UeKj2/aHZ/J4q62Hqxaz/MDTm3tjtZcOWjx9AO8RtLLIIoOfcR85xD
YWbPrS2MDX1bv+mF+pF4KK/F0H8i1ybdpiRutBfxIZ4dZIxGX58qhF6b3EYn1IZR92kkrdxESXsz
dTJkgNgYx2nOfAKTWcvmro1/r46SO0FJfqv5KCjXtIRHJ/WOWsYmNUFzP9MOhvLACiknymMSa6lH
9qpIaD5XRZ7/jOoZ9bdll+6ub5n6+aK8qNJNNoSi+TdpHNW3rZOOWyfmgZUpXR0lL7sW3wN4r7iQ
BF6wEy61gYUGrVHNLB5RCTKj2kKMPpSIRmPdrdeIuOA42om/Z4X7aC0JZo5w25NR+la+MfnuP9p6
HB3UML42gxbiGkJH6Ya9WScuAE1GHNjjT31r5swT9f4Qjb4RUBc41Nmhww48bD8s9CzItyLOPAw7
DJNjjrnYnDqgGXRfWLwMJtdZu43IHmbmkUE98r3pzVtooKOVTTclEXsYE7Ls1ceP766dyVE7H8rl
CEoOiYhve/HaHYRFhYgRiOrMYw1jW+6h5v2qB4qXSLySWY1/h0DE6lbkLbidOZxpjnTzgM6kDQCN
8lS1pOdlclVW3IHIPuxj7TTT8wyjh56hGNZeW+7HPLAGrToajTO/17luH0xVzE91WlfR2mj9/TTb
/qFgfH+Pa3MOhrCXR7JMcGKYecHtzjQrH6Nsg3NKPLjQ0ykOlAFhvBkLVubeVhLhDas6nxk3M6cU
vpW+uE4EP0xX41aEikgkf9C2MkbU0UfFQ26gD2oTfTwkiTWhvRqGINIi+FpeZOxy0n4ZAlTxInfD
Q0ygwW3lVwKMyKhdioXzZMhZHdUV/iSuICi5MKEEcKh4oUT5V2CUGBd4VL5wpAoRZwuiyDjUcQFm
Konh2OYLe6q/Yqhce0FSmQudCnYWoCpQNvpXTVJXHgi3dKZAT1HWz1JC/C60Zge6wsah3zNEQb6d
nkQXtR+FlTr6rdGKYY7IFjEi+xVxk74f46xNVuRSkdmtMVbdLgSXHxV5wCgexqUuqOUDJN6cng/y
ycYbiuRGg+NDniRmH5fbr4gPDdL/ky9bBPqg9cAgIX1IwLJ7aHHSpLLPykSPxBS4/mHWnkbmbg08
l2ujQ4SiRLqq2vPcmPcpwpaTD6qcl3PdfZLXRfJINJost3T8RhHtqIcePCdjs1ZaeKkzd3kGMsoE
N9RrcEo2mxn2EMWauD/7PCeJdtGquubjJla87dEleEGE5HtdUOTFgXAm6Ch1P9ebeCF4XaX/qqcq
/FV8SWZKT0wV2k+waKkXmEw8qJOLEEXHpBiLUIY6j1MmKcuWgrHcmINAQh+b+cEiC+BEkOi8FzqO
ymLR9oPtQahW1ODRgthuOdz9AuE6LOT+WwItCmsylUZpO/UdA43lt/Dli6UtPrFQQrZnjl6on3CE
MGD7TPcOMGaMe16D5acFR28ItMgZSAQdeFVGvIgWAhuH2hJXFRsauKFE59oZUvNIei7wFi57jht9
SPn8sG6CKOIsryi2XusWF2CrlvLXd6pXt5vyA8okfWVFwnjyikn99FSd7KY5JIwpTUjATkZkjgqn
h7mqoMIcMiauD//QRPwLlIgLd4CmkWYGWcDfnbI2iuSa9J1mP0neJaSUkQ8kiQnfVmpaFp8lvgvQ
ND8HUw17VL8ogQ3z3Utr1lsRcU5AlzaaPUZBT6z07dCY4nWo65KUcZJhdL2w3kzB3v8WCnQ53DT4
fQ8h46ZAF4Cck4kvEvN4ukcNbZ91A5BZMxXUCXnhnzi45205WepGEMLCKpMVb7VcWVP02mWIGudR
s131s2BEY6/MUjC6sFBHcVg41BtjlR/6nhuHfE1qJZoU6sEo4z+aGb+XZKAWPAHXGgmyv3wAubNc
S38pl5jKv/gFRkKhJ86jsLJ6gwy7vstQiJP1Jjn7DVo9hojDt2jWYAf4tpm/NRaK6WOXz+5wkuEY
8SUlJBJqU9tNGzvKYn3d1wBCtb1lpT3YOpts15YIb9GX5rcqFLC85AJFdjHjR4dsASaH8/J/hBRS
YaC3rALXIfsdj8UDlc6Nr7MldfMF0iVGaqlGjwn2RTLIJyZGHVocNz98uokSyp0MfaWhBCIgDZsq
XQ+3tifa7zoxaWtwXva6tbWqgf9UM4tuKJi9WNQ/VNpn2yZhB9QPnGp6NkKjRihAbG7p9N+6JH9z
4deu58moX70xZ27UqGSgmOe788kVT47zzJfPw65dmtS0DgYPLLt/FsAIkYjyAlidHzrbq97BeFbv
QhmcySZ73VU5cT0tMKP3dACsJZELsoWk2XLysv2OR7D9Pk0YdvSpq966paYuY39JAe6GcS3mnJA+
laNhM+aIuKWWtXpauhaeoMR9KKym/6YbvbkxSzzZ9uLbgTajbmqDrgVB4cyT1xH09d1c7EdS5vVd
5yakyoZiqt67sERg53VUpKEQnYv6b+YZaVlxGavJ4F8SqyU/iCXiW1myyFqqcrbymIXKmHeRrCXT
EKy1/moiE6JAFJrOW1u5NN6FKV9GJDAnY6S9besYOYBRN8eEGL2Tww5s1/Di2kEotNeVVw7f2ELT
Vo0Kn+7SefseZX6R0ZeTxEVnNpbzT2iM0bxJvLl+JXPlfpgQM3c9gOwRh/LZKDE2FWPsAA7kh5bs
Dh6uv/UkfIYHHoZQtMH5cg1gOx6M5VGd6GQ5SFC/1TSpb7ac+u1ENDwEUB2jV48J4VktTUMy6TRO
8SRwQ5cNV6ZiL/Z5fQfWZbSoYiNT3WQWe9el2KCftvAcMdDi07G8uZkjR91Oi+/3ehuaE60vt7fU
91Ovqdurg9dqlXy4dtrkl+R8FHaujkHHKgu6jxxY3T4XHGS5Bwa3D/FXXdsyLdL4GoSko2DQw1e/
DFDmxFP4bWnExzj+2Xizup153Mr1RPwVXlLYl2svYmqg11N2kbWAGkLhQewMWKx1X7nTvezBgMYl
m4JVNOqY3mc+0ZK+SvM88whW/sjoAxcVYxdCu9Z1r1UbP+UWLBmYjMBNeGKiqbDPJti3Rw4aHemu
M7TfO6ySJe+wTL7MFmE4K5j+8iNK6XRbvVPPpcZjHppNftAWDxzGLl5rdFLh8dohA+DVV17rls26
nBN+UmHSZEustBvL4K+/9s0uSsjbCdQYTS0KHRi6Xzr+ecoUV+Py5QWH1NUE+OvWTBgZ1YKWnMye
8KIbeXmqFw8galzv5HWtfKkMZhdE5jHL6JcaZSys+DwIKtx1pEOCbTT0PFXuV28To2nM+tJnCcJ7
thrJvEOKLpsPvbS4IGTJGPBRiOAjV4sWMeWZXu5n2SyvYXb67Q3oSCZBfuJSa2QNf9zHAnOTQIx4
ipdp4yiXKfdMYfxmeNwSYu7bz16G1TscyujskoG2NZrl/skEhRdvolXu8HHCZepwLSu8BWYQsVO+
FLhet7PgmERzZz5dzwZjcTgu1O+zyyuffp/h1aDZ4uxGms1RMfreSfp8w1Jl5hMuyGHtF4K5RUUF
AlR6WMdOajzVjsXWHEfOwWcwd1C5zhbD6kvWXBQP8JKrTUy99Nq2Y1Nvm7miKBqxApgiGr6pkfKk
zpiL6FVuPl3xCiHvsReIDIhvnDw80jc66+soZiBP7eAR4nmMyhgl2MQgo+VtUpP9iDAc9BR3SDXN
+x6z7S8gdEeoJjnjOQ+F0ofqLTc1BoMjszoLfutedBQsloOszGSoh6TtqmhYXrOTy7dBx65umkpE
3+mmFAmEZrHUcbhPjqAjp/uGZvm5dqmWCMujVRzagS9T5/UWDzxHmW9xajlDTW3NaqfW9PAyjcwp
zBwl1aEUtjyO0FXf3eVVuYBSNk1mZWcE1ahO2FoxbdDajSV9zgfCsJkKzg1TwbJz1S/pvCXd/gu8
6bRD84MZXWY8uIlP8VfjMf3R4i8kHAadxiEteciSGmen6ZZvw2Dzrc1YIA6mF/OoDBnfQZdjny1J
kH2hKknZg4NQ4lDWK5+6pbeTu1HTecmOknKCmAJr7Su0W0PPBQcfNN/ikAwv13+8PpiqSDliNKNv
PuyRM7XmUDlgX57uJ1NT2yIGHlKNFQ90IuQxchfgOPDD6CxqPDL4PpL5tnZmKmGiP7dTm/3sxVw5
m7jFDnsd0Llt/SZMOoJxqQIUKaZDUJtzv6OB4xMDLsjTcd974nVuojiYr8QLGtlNby82nazqvWMX
snr/z+XqlfX018m+4YBPAN4M1RdRxLJq+JOetK/g1dep7PaC7Xm8dubePl+txBGSt6MSvNpin+K7
i/SJlNiKCK7WtvYzxUGEOeqiEbt4JNBJofes5Qu6K3EeEnN65pUwb//hl2V/8rc1hEFmvGVaDkwQ
gA9/+2U918tIHLTaPVYvfTW0pfOokC+tdSONz1pPY8K0gkLUGGiKso5sFJ1RxjGj5nlH3QbmbXkL
/+df6rqV+Os3aOFkhJjIL+X+C1Rfz53sJ1G7LwpLcqP5Vhi0Xi9P84ibrWn6OKB7nzfKsphNhD1D
NhyHFI8xc1YlBgA2mKOP5LnxNgjt6rNOcvfBc1Ds85alMNSaCiHCYrb5z7/5v+hUyJi7Xn1Y2NY1
EuLP174x/axaIkHwfeBaDn3mNkzuqR5lKpuHfBm+zkiMgoF34lurOEUAlNEX9p39++7lfwL1f1hV
GtY1ZPDfryr3JDglyZ8Xlb//kd8XlYYtwNOxlXMt27IBgbCz+sPq6+i/mYJNmiBCyeY/Yd31+6bS
NH/DGuzCjtKXW5ZA+/+7qTQg4enM0QiHWGxuHkuy/2JTaS+bwf/3dCy4KLCliDlN5shsgLy/6dWp
z/I5tSPzsW3rGnnMXNCCY+mk9p2XlrQWUfMQJzmjaJejO44z7UJXTiUuNN77eUL5h4eSqgoYxBhg
2F93vkY88MQkv9V1fg6bc9pODbflfdpMdUYUOEzICt/fthemuakNChpT4/2FnAQwQZoxQSAd6TKn
0Gx8wnNJKtP6r3LWMMHGAmaChm7oTFwawNeYY/sd+wzOU7YjCfIvvjYq3YGCucmaeYtYVx6BTNc/
ejNO37toVPdapojzQKv2qpq5WYPSy1z0u3P3NTSRgdQyB4Jp6sZDFDsPiCWThAC/1nxeBOrZPzzm
1rK1/NslcHANc1V1qFyGt2w9//SKL2YhUlxnzuPcWP7BtnpoMeZCcfXBqiLVM2UHOs8s/PvKrc0T
SfHLjtHxKpsoCEjSc5yqjeva1cGf++F2Bk1yZ/aiYkKead9LabeXGI7JBjJtetvbnUFc7yI6Rv3r
7SLcYdsetM3Z85pnXEn2HnzuifBZ88mMTd6CPkBm8uv/87vNX9A/f/nQLLaWG9hjEkOb8Xdqbk1P
EjFwK4mQL8JXhqY4+qrKeDFMAZbC1ZtDD+v9UKRjtxGEIpirQmMB0SJ8uZ36Sf9RZ0tL5NvjdI4I
NjqOFQveUPG/pGWaX2ZdGTe8N8dz3DvGCTvwdG974Td04yYTa1TdWcnu0clyAPa8Nsnia7RdNlhO
gO2t28w6hBvQhPpwo8/WJ23/aQSWuu84AvaMZ7GDitAKkgkq8WTT+2Gwiv8Pe2eyHLdybe1XufHP
cQKZ6Ad3Un3DrsgiKWmCICkKfd8l8PT/B+o4LFGyeM/cE9kOSwQLBWTm3nutb0Eg/pyWXnwwzWJ4
wWNMtgJZBi8Yd429MwLKrVtBoGeIdq7su00bDeqWlzK5YtvkZWoSYFPGV52gp3oxGx4B1ceohVzU
Q4QEuLjnIqYei8KJva0+1Uiqo7ldmefqVuV8S3CSovgyC42KY1Qq4cvk5aubonha5EON2tyySGtT
UDcA5TTNzlNldExB0lxiuVQ3bi76SwtRVYu6uCOXpQqneDfWYewtCfCVt1rUquumFdxQOevzJ+rt
wZrfTYImT8xnmkeThMxnL0iCC9MkF1NH1P8dw/ofScTv1iwLFYL0bEAJZFNAAnujMfz4wswzbD/o
He02pN9war0uZ6raIPhXQIlrBxoQfXqenbqYXgbpTsumpX9Ju2gMvzIaUFelTW1IvED1SAwiUe6g
c7cVqWhqPu5WnZ3dZxU/JelrwozinrCylO/+oqDLtNBbegoNqeFrhLTyVulIGRfOyEcd3ypznLNL
lqtxgyZBzgtqkSAnxhS7tlpNriPMP/xMFABXNeGop7fHlgOeR6IaJX9dWeJClAR3UWjon1wtax69
mIZMrk3VFX4H8ukISqDxjCg0es71ZFsVNQiAjmDUcGF0nb01x4nAs8QN3WtXr1D1//nVfX+g4vYT
EuLSOCVxysI09Y7qNVSiQZNY+7eyLsnpa4UjFmNdaXeYK/kEIpYIgqtGO8f0xLBbk/MAz7uGRLV1
9YjtxeAdRL+eVv7BZeD7lPR2PS481Fukkona/4zCng8z21MA0XTaB8fU330Ac95eBYQ8w5HWfIz9
YcHNp6SpRYghiiNdu1axUFewbYJNhZuflkPOOuNXA+uFnNvmRNBrazKkS3LNdeuIS9j/xrtnsDCP
xRPWenGBbzo5hLLsfGD2rn9OnYqmSZgHiGf/fPPf9uN/r5vzsw8AxHQE8hsoHeb73x2zS1Tj6rRu
C8JL8sXQNP43nmYfZl1Tpw+CaKDLWDXqOnX6fNtmLp9A5jnZAWXUH3BBR8sB+8Q+tYZ6X5BgeG7t
zNsCIiJgjoZzTsnYRBcoJdXNkHkp/UCcx9+I1kP+7UXmc+MP3V6fJrdHfTmpm84ckhz0jVMvmbJP
CzV7M9qu8x9lKOKd5mruoYkqBAeuw0S5oZ9epqH6TEuHqKCh95EJhvUaREDuLhk1q1dBDl+9kJlJ
bl5TSrGmH+xtjCJ5Flh9mtDIqwX96XKfmojzaW7We84E6sacXz3f04KvNZEU/ZpeBr8eUv/DpGp5
i9ITV08W01JB4R5+1RmabWI99D/z5PWvZprNK8h8a2L0B12UT5cmBF2ilDJWvjKqmUPKLDnrlIVY
iCs7guYfM1TNyG8PQgWnXjKZmj0MGgHMF6FCeW3hHbmKBdLSDx4EDok/7aA8CeR7cmYACm69HQff
HRtYq7OuSXqSI1JBL5YgZWa2b2tzSlAuEqiKUWw4m6lIow82HMXKJ1u2E4411qR1kDXwPGBEhGmc
HqoINwFhVnqULHstjrJFEOSbtkJkv+BN0p9HWnr3LP/tM277/rVD86WtPNvKgEyEbkHbjOPYZU/7
b53RtuA5MHNiNFMj9dNNKhhILIjn6nYuIs/VOJXOXpnZPdYgtDVO2IzpUpPR1qts7YRybxxWTad3
XyuLbYXnK1xRYxU7JSYiuOZCzEnnRh4hE3wzQ9Q+NgqDlpbQQ1AymtaeMT4KhjIrkH3Ggt8nzJgU
8kKQ3cnDGsuGETCCwBeIrVDd+j45kL1NG9RL0XGg0sbojMK9uGQGYjIX7ZLwgX0gemi0mOwEUpAN
WFtRFj8yTvAwZCWVHexCzi1w2gxWg0UTluFXzXPELe3D+YBTq+Kgg0Tfak1mr2o0rMQFh127xiqW
6XzchCUvLRpuFN0t/rvfdrwGYwgwZunajWmu0knk5yBom72vm+w6k4iN5xAR1ojGyy6To4Z6iOOP
N56CNiq0NWHH+nNG+wZ8VgWcbDbm6UstJxs0sIbkMPIg4FQa8Oxp5hhijIBJ/UkQfEX4nt5NJ1o9
PtYvJ1ZEP3f9roWlESyaZpq+STtx9243abAessReEEiMtk6vpwERR484prEj+hU1IlwCLXkKo4pT
5oJm56r1rATNbenrKxLm0m+OM9yi8p3DEzi20m1OqHHTgTBmx8nCG5k5w5LNAMF1Q8DE6W1F/W9l
+1FlawvJkvGfK9vjU948NT9Vtt//yd+VLRArCzmoYzHshhCDbf7fla0u/9LBp6GCNV180PMu9Xdl
a8II/ZfmFhI8XBAxl7K0jSiE/0klK8y5u/Tj1kgqBRUFjzDiXhd0zjt6K7mRbhoHyj5mspwzhmhP
06MWAwaSZddoZVuBOnqjLyXZnN9eEOBnLWtL12qPhh7N8rv0O7ip+Y5xAiJYg5xx/Y4ZZGfMmFXn
jfyUfMdAkaOQESDZfkdEjdIZTDgdmg08CoZeZl/0ZtW8ADo5YUlw/KWQGjOX0HY2Kah7bN9VMPcY
xzvNnXglwQRGJOJ6ggzLhfQkaAYpauzduUKSsYwbHaqmU+N63aUVDawbqsbkrq5873OTTgbhaE0F
uaCuGcYfwWyF/roYvU8a2aUFlxjtaa3Y0MHmIaymthnJPcP95F4nxBd/rngLV5pXDF+i3oxvJqt1
NkWH9jWqwxoLeI9OaFEYocbUrQDKmEwZreAuDb/YDfJX2RiywAMceS8wOl9SNV65eh1HJLThZucP
/7LvbOM6suBDgssW6zY2vKUyKHZQ6TPnB1wd8p6Po75qB7rYC3q3HjLariDpx/QJeB6E1e84CGc3
neiaB9ZNfy/rcdhOkwM2opHjgVj5ikWTBqe28Nn7duxu0VeeB+sUI5Q01n0hteswy92tsmxOE4US
F3gu8nM4OZiJ3a64KZiWL3sVsB6abisv0fnKR436H98MkO1rmvgzfT/FZ+c4zh7ax0QNZY39ioib
bi0kCHvOH3IxaL7aGIRIM4eLSRNgS56+aGNWboAVadsKry/DDzm96Jl00DOK8g7ciH+F9aC4KLSg
y7YmqC+CvSa7Fzgce7Nl2YXp/P0/20SafXipWZLWzTLSszdHVI9KrT7EyC+G/JD5zZAWK6f1q9jb
yFoD2SFcRBj9d8AYxx9oY/9dUf8vKcA05OY2x39eUa9eh//ZPWVlg2b19ceF9e9/+S9vg/6XLWgD
2QRgSPpx//I1yL8sGtlIV8iIJyVDZ/3716Jq/WUAnIDei4VhXm5Z2P9eZGHZQ6Pgr8/xj9At/pmx
4b3PgGKPHzSv6hQiLsv7z5WTqdkqqFyGVDAEQpjS5ElIO3j44abcfF+xf8y/mFuOP6zjeEO4CGEe
GDj4nAyIf75Ii8WzJOyDbnsCLkk5zbQKqS+WZWK2H9Sy7x0N86XAKrjOHN2kW2+tuR8qQVpPTPQD
XlCFuQiOQZQcpTTIISZOlxF91O4yQVtITZbJpHssPrj8L7eTnj6tL1Y7kE5Ejsw72g+Xl+nkWoON
B5MB05ljzqNLQtyfb+a7TZFYKi5heRSLOt8bXd6fLwGIeex0X1Q7SwxnZRkPjYc2ryNmaYFW4/XP
FwM2//67Y7uX84EAeSonX/1dUUKbDUGcR2fJHJg7AXYWJYN/WIiJ5WeHtDfviQSF6YSesdVxEhdQ
esAe0dfNkjqrV03hR+zSgfAWIU6LfTewByz7AlzcEtUgdvim8eKcdFBRDoQpeKTLeehG48x4lvGw
DYBxfcvNueqtW10+jI1XLrXR67JVwijsKqSvg8A0MVak2KuHMUY0G9kBfktDOiCpzMrLzraVBo8I
Twq0dbVx8gMUiFbL6Nu2UMRCQ8yQerbBVYeAF5+/hyuZ7Rj1BqF5hD1gs3WDyy7GqGwAWTCd9BbM
4os9uae2LjIoJW52IEDwSwC7ikuQXKdZ/Ew0lnjSSmqPpLIoxnNQjk08vNYhNnaHCVoJ7h0mR1Gv
AVh166EY7CtF8MLS02z/IAPjwcFdcIhBBC+rxikXUd+/GrbmnVVONt8o4vhq8qqAkt/EgOEmS4yf
AXTMAC3i4PeoQFJ/HesqvAQ4uexCHLR4ZYajFQAQXnOMb6k0ICJ4+xaepNpEheOdK6d3VyHOmqV0
I+ei1ONYP+al8OkxKoKo7s3c0R5DmmnXiCX4Oa5S8lyIpD8CyOh2usG5KgIQAaoJd9HRz6r6skDM
i0gJZ0E2cAiosiq+qcgfJ3M4F2swoHLTR6n+YFLArIj3U0stjGT3uYvIcQw4RYgLbXKCcxRW0zqP
CgG+NzNXYWU3yWKIhLefNFC5NPTqE7TS+iarmwvfG43P1eS2Z7Mzkl2lheJSKMPeZTnPAoL4aAMh
XW1z6OUhMotxkWCQ3BB3q3ZmE3kn3SaJB3lhfTkFWnEDo3olm268JAW5JAAWhfKmHpBGFrYFizGy
YQkLZSFt8szuiFQVtclEmmfkNBvfp7FADUhvzRPBFwRpMOxs61H1wcHM/Ap+/3BCBXtPc3AersTa
1szQG0IgJTcv7JtF33Hw1PxBbKXBmUvoZbobs9bcW2TlHWFzw95A7l5cZyP7Bk+0JK5H8wP9ZPjV
+NTM9O+Ul+YCcppGqhpscEN5ITo0zQIYniH2TXz6B5VecTUYisDFcSsby2Imjvsze1zNFHI3aXPc
R5DJA98fjiqO46UDvGZpzwTzZmaZZ0kG38LEl2r6HRX0zDw3iPg4TPSQLpRnuLC3Id+QQB8vswRl
le2ET4ZvPHozST2ggX1LJ17fyd5AmedfaG4a3CUFmerC4U4b0XTA998twYDVCIm0duXP7PbKFfNI
Pb7Umqo8xZWfrvJq+goSvXFJLk1gbtJo3vscxdaMKE4KSHw70+JjrYsXhVdy9GTyT8iZXd3XQnPo
MjSDtipn6nwnC+OpmUn0xcykb9SGJqNxtqxyTsJN6nyfgw4EHFIaT/N0bh/NhHsUoRh5e6j3YdjN
TBsiBa78Nyy+MRPyC+GmFyxI014ooESltD7XM1Ef15wGxgMEGukPctXoIflpTDVmEn/W6z1Q/lnI
lWYiv2pmP2sv75MsBO3ni3wZuPXBrF0NeKTmr/yZ9x8A/vfnBICJKACnk8S/60gjEXGScGA2mbew
5vQAlgT7OpoTBWjZp3t7Thkw3ChZFcM0fCrUYCxmB8+M24DWT2QALxBEThV/82ItfSQpQT9jODdP
xhTbQKs8CLgkQJB8YaXGFuBmu7aJNec9sdXXbE5IoFpBWYjnJqmd+MEKrXw3ehGRCiShg9o2sXHE
JqtH6pK90E2kMKDPHGgZztkMWeNqOypSe1lVzosjjADQvMf3XvnkOrjAm85MM6HMzakPSHtH3Axj
tJPJHJYxp0N0c05EoTrGZHN2hB2JhL5PEGCSWGdzvkRKx2aFeEfdE4+SIXT13A03KT0bGACWlk4G
8gJqnryjg7i25wwLbIXmF9Xb4ZWNj+GxIeqieAu9iEvyL7q3JIw5EwNCWLwz55yM1OYhY/P8Rtyo
RNdNmoY952qwPw77Hs4hzXRVOPaxFdko8bakTff9XPHftslHbRNSoThD/edD/uVTlHNsen2rGPZf
//f/zTlS/Iu/D/c2TQ80BSZuT8t2jR/R3474C8uwwzReMJvgTPrv873zFwZWh6GLp0v3J+OyCS7c
mpswDhA8HTT5P8qq4hK/Hr2ZQ7/FSKE9mQ+sPxxIR1rORjtqE1CQ9egBUbx04+sf7sb/6XRPZcPY
aM7E0oUl3l2C6UGKHgBtJBiBRTKx5Yw5zcMPTqK/fpCfrzL//z98kNr3lLJI1NmhUGu0L4V6bT/y
XH90iXeHdycqzJxzKWXKdHL0E9KDavpgSv7r4Z0w8jn0lRqBKB7n3SXIu5Z5r7n1jiMj5CDNC5ZR
WZwyMgus0My2//CbYayqOwTzMdmz7F9c646yVGsVpHePBS44veEPMnYB6gVl+kFV8su941JCwpkn
0dSiUfiujtQbu1RomvlgoRucVWxW8Dx6cam3ffLBoOTXimS+lDO71pF2/SKgE4kF+wed7w5DbneR
pC2pP3U8Ln01KdJ7VLYteugi//xWQhOiW46yB5b+uy/OikCXaQWNujHhLiJPtRZ27QIi1Pjjz5f6
pYTlVhJ6SSXr0C/4xfqfGFo5laVW77KRUQC0ZdBPWgV9JpHkoKe4c2/KEYJRkk7hZYct4oPrz+/r
T9X6fH2aCybJwPPS9O59HgOz5KSEvM7N0JjYOR8QEez9nz/kzyolSmQugqyQwpK+g+448ufXWYmi
HVvGlru2rcTWGUIioQLH8K9SSULKNErFcddT64IacvPnS//u+TGkbclZm4Ps+F0B7VmEBwfSqHfx
kIzr0rBa2DzaCPJf01NOFUFoMaSB2fXnyyJn+PXtpwsE5ALQggN6Wb67s02qlXHQA2GztLx+YTvX
SUTXkZo4sy3e8pP0lu6pf9BTSAIGLgyErQZfQcz5ZVT9sI04PzzIEMrYMpqaeFW3zklaENWAfKvh
woOAtcE1qq+MVvUbgariLtIloycH6M55TFy1wKIXHxHhO0u3KL9kLkwnF2tmWoiepEHsPF7FGVLz
hE197YSXJJ1TFVVdsbABDh7tuov3oZ46R92d7M9a5lAxh4SqXOqVZh/TIB2Xk44wOdQsapcg63hQ
Z7fgxDjsovOy6Z6RY7pimCahV1YvNl2Sgx9B/XI1Mt1hktIjlc2Fmcj2XuWjeRro1hM74aTrgsim
vZnN2L1OmJsmYQ11VCkuXR0YdmyYimG16m8Np+WHwES9cAgZXxdoppHAjY24pAhjK4xZdoOiC0/k
/wwvXpuNpx5VerO0fcVj0MdcL5peh9z2P4VlV8cr5ubTvT0wp1gNk3it69k+YTVm+02rTBUuVZy2
D54ksHujAJKd+l7nB8032DLFZQFTHjhem5VLe7TsFQFa7UVq+wYdKoRAax8/cgl9H4SRR5d+2aWx
dgUJ/rVtNBjwY9t9jef4o0m+erlnfVbSCpYYyKJPbaLivY6liIDWkBeJQPtXlMI1zRZQOLu4YsWI
AQGATcLu9NDp/LxM8XvEykkOmWc1D9H86JMs5Bwztwsvy2zw14ZVCwzSQ3iC5BTvA1wLK68u6w3i
Gx0pHwFQCzacYOkBGKP8H3WqCvywqPJMuZsYXYJbmOYjeQyxOyOXjcjqnvpt6u7a0ucv19CjF4kb
Wac0GIuFnvrJAWUjEbVa0a17YnSvXY/buahmbGlWl3IlOTZdESUfE9cm7QzRAf32haoi4ZMz5Itb
s/OD0xhE+t0c+6RwhmLIQ3KCJTsI9K0wa//Zd+DM8JRo/pUcvMJfYt5yuoUpckCvvm9eI12AmhuM
9lJNgXkYy7q6qDSmvgI3y96GTHbja4a2xTVi3Dig2i4G03qgxYFuibH3sFRWr+86+hJyX9Uk0Xad
StWSzBH/uVWweakxi3ZhaJ22LQAAfDPjxP2mBX67bLRmONaO8J5D+nDroKsw02HH0dda03oLnzEM
98PXE3slJvU1rRruZNOrdI1vnX5AI8YdrDt5kQaBedZVMq390UWeBuVAbF3sMltrMIdPrvT7Lzmi
whNZSaBWIpnaKyDuEdyXqDcWGfLWF5E07QFWV3aFRHJ4qlEnXeYENF4zsjfOqUeNQ83majiooNwO
ErSq0eOTCsravSHQO38aQ2s41SMqNBWH7ZVqKvtCKNwJTeVZxwSg1VZUFrq5sbXvytHAbDaN064i
rrGnrEIvuqjEvHil0m9PNVBbLEO6n8ANtG1rhZGz2PT+oH8zI5tWE37t8K5iVPaVHJpmJ3oWoQS1
1ZZHw1opmtObciybbVvAGFw1JY1ZDpTmmiK4OqakJZIWUVTheZIZgL8AnGXGSxPaAKSY9GGMmA78
tsFZMk0/kIRSHa1YUv9acGKWgGX0eGFlsbdHtm5tipjaF0QY6s/GKzYtRNx1qQfatg4TpBi5bfBM
uLQHNxQI7Vof63qv1XrKx6jwbfmoPNaO3xHRLvXUo8vRch9UwQFH5q66yTkEPA9V27KM9QnCcdPd
hjAkli2rwJco8nDf946za2XcvzIanDYwJawj/sh8OxRgjReuFpdPcKzFc+vkSEJSsn2+NV6HYqZR
w7Un9OTw9tdljnUL/Gy9HxVuU5wXznA9TDGqQQATa9JQ0aPxDE/c3RbbqQjQOLxdMpro7y/QOYAV
HKXXLIy01Z8TXAKPDlTeVW+F/FWzJg/6TSmHaSxeShyGt2au/M+xGRYPfZRl2zc9IFhQfx1N+MJi
jCb4n3SkiKpLDkS6PTEsafeokcipDrrYWrl+gmcJnxWLZ91fea3O7XuTfdXCiy7tRPWXQmsDQP+i
ULtC80ZJGgsmzFoaMPp0XO2HuBHIPpzChr2Ni2HaIb3kF9YVahUvSuw7oRr9U9v00ykymQ4vylmL
ZZU0aZxh1plNZcdlowRbh0KDtSA0rF++KbTKyB4GPLV89a7BoLiYJU9daoRfPcHfTgi9uctq2zr6
oqDLZjfNCuwq0ruK8+aWQrTeG6WWPAxe5G1zdKJ3s85mbc36TLdt822QePSb582O6UAD3AQ732A7
Gv44lByF19DE8W11Y9Sj+QQMNV3nJQ84URDJYeKJXjo6oxnIjvkrKMIOm7fenJsEli0PUnBj0yC5
buPOg90KucE2G28b1WW+dWvD/tSiUW+J/5D+RYrDelw2oAi30tdgJLXIfyZN71/73NfuM0LjlmAH
Y7FyNfvv7ylplf9t1PlllWkMG3pU4spivHqmgcUiA+HkEKeSiaylos9517gnr+jVRtM769HoRvOx
rzXzMbbK8Yqdyt6EVaitRmz/K600w53jQ6mgm1vfFkyN17JmaK4lhrp6u+stDOIV/jIXz6K+0cm4
YONr4iOJJWJRFUyQ827C/MmDuCETRj86VZivcy9u99nYGusSq+ZS1brJS+x446GTY3rtuyLYiywE
7Pj2LE+w9E6eZrqcK1xohm6krmDO+OssdcBcmG3P7MHKk2sdX9feHpX9yfP9ftuiErLwsbIZ6pgn
H4apwljVABMCc+zRyPeMjE55ErIECnEbatEzEUboUsNq3GONy68d2AMkOFldsJgJAA+6KiwLCu0A
o7QbyakQwGhSD4BwlzjxtZGE2qYzZHIwu8w6kjWrboQzaGu/LhWEyIat28EhunWqQjMWasoc0hAR
fILTwLe6Zm/q9+RzkJ/nm015ObSYWJcIA4tzV6h807HgcAbKnebIFKoFGIhxsO7gFQQYeAjQEeWB
8IdhY0gEuGBGcu383YLgZnhTLRN3YUo3G1HyrDBsrRKscxNZ8crtCeSuylkxKfL0Qe94nLISXAzx
v+KZKE8st6DhV3A3kMJ5LvJVFaHu1gjzOISYUNeRsCQ6w2E61YnjHOzBHNduO9Z7d5R9idiiL6tF
5tk9gQB9wUoHI3diYKB45zUD7tjS53+ciR2iI+n5YX/RtVq89PmrNzT0crrIE4lJYJ7NbaQb0554
Lns74FOaP9G1EyrCYT2U/yhAkSF2UXYnVQK81I3z9VS+hY8UbY05dpRfxnx0YYLk1Z3RG2PKGEM7
Bn5/05WjsyhMhINDrL26+A42wsw/IQUXizQmtoiPAfBJx3mEGb+pN3gGhjUJQ3Lr+1EPoddvj/BP
645EW91Zc0IMD+VkZcs2HG9A1RTLpLGzFyfXXprJulaoRjZSwVrh3FbtIQfBbJ6i81CE05J2dLBj
tdpyI+bAbROirU955yXuJ0Z59RIBCSMH9PD+yh3o8idG3a50lwCz3CrNdeqUfN68xA286ID0sWLn
l6r0L8s8DNB2w6S3oxT6b2H0HRKSOPwSdPDyE9Q2cx656tcQFIq7En8OCr9Ar7CLy/AYxnZ5kwNX
/qThh12wq2efURd1L2Xv2HeOqE1Fsg0Eg64fp8MckYBkMex2AGAtBc6hMm9Mt55uQBDUdxCKknWf
dQ5gS4zkK3uy7bVihAFIOAy3TEbjTV8ldOP0NDoEMbE3IHoQ2OOGPwpPw+mXpJZXr4YiMOCou51K
kmOTP3O8F5+x5biXwutaclylVZz6KmYcIBm+3PgTQT3tSAoAZFoyD9yOVzHLdKyMjGVmiC7fIuR+
69kMzQpXZziN16Zo41NuwfjsorH+bNecrxZKhPJqdL32c5KGzgEDcf4I22Vmt+ad8aDPO6QtsnKh
h24I1CXvjmHkmpdh1rSPeYvhBIDTcEitoD8OZLu+wJZCZx8Kvtyia/2b3imzr1nj6MveFuZT08SF
5BUpnYNAAHNRt1TgNhZwYzH2uUmt26DCGQF43Ru5k60T3xKMxPo+vCq08TXpHfeTLBzobN7kAmOE
VGY1KfRjQP0LzngTWyEC+27RaQr92FizksVpvItLQkNLgCJ8vey2h5GqAjSaARpIgIRpymnVRNlZ
S6NPKkdrRghru6BniyuPUOZFIsrH2oiNVcJgC2SO6RD4anEyhpZiZ2dSl0jcnVK5J6WJoxT63NEP
yH1KSreDnsFYKdtRLtnaK0DXGSNbW3vR2e4D8Nh8Qd3pbqliBvAekX+fGlp7waaY3nBUjJ+UMIr7
uMI/X3alcralZo3gmP0qSragkX1rASYOQLXW5ieCK4ccGmGkviS1LeEbMbI89LJ7DQZ3WHR0dpnI
ufnR4GT7kpeMUqAtNitbS66mogeD1Bhaum0TWEQDX9UFCn8C1LyqbK9oBAZXBLGBSzDTuFnDDqgu
ayKllg2UjFve/69trpO2xp4Gh8/Bu2z47XTwiqa7SXSaDGaQhg+qbgw2LjRkMM78U1MaxTNtsC+k
ZA9fzFHdTR0C341jQ/HXcgagMWzDbVsym+RVS+8QZAA0DMOqvrV00h+X5Ndt7LDTN1NP0oHFE7/T
3MLckoXkXEAjGFlcCJLYh5lHbRrL4NkaGVrnrIRoGLQAKLhyzpQ67CeBl33xkUCvCNN9ZBg1HPVS
SOIVbWDrqmrvzMiEX+KSSEVT6zmY/H7Tz8gQ7tsYX3reRCx1DXIDLIu7rYJY1fRXuCmG7zw6fWie
o76oN3HHjE3WXrgYcs5UhD55G0uztq0RyhtqkAcW5ORalZN9qBh6Q8po7XWZ5v5T4SXTMq0Hlzah
EV/Zyp+gAjH4Xcia061CzQfmZchv86kJOOFq9Juzlon/mJ38SLNvHChpKzu25ZUIe+ObCAjULGJQ
9XUXBQc/D7vr3FLhRWol1p1Zxl4eLMfJ17rPMfFXPsSobcZyu+5Lo0R3qfQTAD97lw6I2Ii7L7Zj
b6R3LSsutvE5SRjS1JbZ3jnoYHorR7cPRgBlqB3qLzgGnV0chOxYHAQPLKTaLjO8/oKjHGmDSPev
mqBKOP8W+beuhSG8Stvy2ahi3Iluizd4EVRh8ly8qRYEDo6jC/lwRbcEkCnAi3MnNTUuNU9a3hU2
yEAui7yq1MIAcG5tqpw2MtCY2rvKyQU/5xmoPFiB3jaMGtSdtLDOtmxelQJXrCPjw2NhELEzDS8A
8bODlUrIGJZFkVT1I4ruJN5nkUdQWSN2JPLEB95/C6OB/ZAFnI1Nn+kzp8J0RbvjpcH+tSqQDC71
mP2VPKFdp+wnhxJExcDBa/3EGWrOfaFNpHWueDG9dDiahQU9sEKNrSd5fR34YtfDc/sWkt58gxxW
nhrlfauUqT0EvHr3WFGQxlhNUWG4q9Vsn0Y+pOVWsdU9RbZ3VDGRb2c0XE4H4M+N0F+7oLR+TZ0N
mha3tAVS4h8nOUYDPMqJ6L86FT4FkfX3NiLwXWBT3XoOjfw/X+53kwmDYQumxFm7/F4RFtSVLtDK
crmmtc6VrLZUAGpd+Y7+wbhFzJ3j951zKMXoGhju2XS2f/5k3jT93dTG1D+8NG9N+tHvvqqWJr3W
pOKSvpK+td1Jf4L9RkU50I/788f9Xfd+1to5tmngkX8v6Esco52GQGdm7wTmyeoKWnoBfdI/X+V3
N5WvcO5h6ww+3zrdP0zjTEwUnYmS7vs4pI99+pHeqBbCjMsPvr/ffSATspdr4rdmxDj/Kj9cKoGB
3o/AIHcDsQErstW/YJT98ueP89E13k13IgsVLm9rvROyvZzseoug67sr4T96HH/7cPD84XDkUcQc
/v7hIDQQvymBRSUb2GXQ6fJAtBjd8n6IPpHDyyOZ9/p1ADpvRc6Uvnd946PRzq+vHkRQiz4q759H
/fJuAGFaZWdoBYbRQADdaYvWXsKtrS5SjcjCpPTy1T+9r1wPqSrMbAsB4vt3r5phbTM3Er2VYpWy
x5MTCueD9eTXZ9Fgho4Tn/6O/BWq4AWineokrWCiBmSflsRgFGV/gcUl+uBR/M2V+BAzdAJpLq69
d4+J10TRNI5usWNpI+dSa47G6JzLOn748237zdckHFSXgu+KlcucJ1g/PPJ2mSWGVzsF8j19XadP
iJ+WcQKTFn/ln68kfx02Yvb64VLv5rYUqraf2VyqA7S0MnMzmLFTbQvPq+/WEB6n+9FiMG3RBIUh
a9Li0+vK/wx+QFvDhIY0yghoKxtqaaSVdMEyc0oOFnS9Q2soDWwpgGk/5TBoVjlxxAEtYw5X7TqV
bdweyC9TV0PR0caCsQgWm7bDYiDI5YMP+t5cx8CRUSbNfZ0XgJDY91O/NJ00w8s77mkTto9elpN2
27u3BGlFTxmc60M3IyzrFK+qIjjcSUD6JMre23YGIZDxjJjjTGV3n/mcjlqbfNciw6rmYs+nuiSC
h8S9BHFUFRkOecyxIWcfVr+oe+kcSJTulsoszB0DLmA6rSsBYybxijreuUAGjRsk8XwCH4pw5QXD
EqmjWpnsPh53S855vFOjPzs+vvY/PwG/edYkimkUHOxZ7PvvnjU/6yvGsCP3Jdaai550+z3fuiLL
qI4xd/nGsPvzBX+d/GL3g4EBpALtOvT5nx/uqsBMNgBa3Hku0kWaLpjSg7q9sI2y3aIqbC9C+i9n
MyIc8M9X/s3ry1ibhAGJFuf/U3dezXEj6Zr+L3uPCXgTsXsuyoJVFL1IiTcIyhA+4RPm1+8D9vQe
sqoOa9R3GxPTox6JSiCR5jOvOQZf4FkiFbQDBJCvcfwm7V57hiOuPVianfz+fKgTL0mXl9OIhIf/
HvbQaY4QdI6d8HNZUxqVGpV8ysEY9ySivgCyCh+vocsGBUancvf54Cfek7jKgAv9RuN6Y0u/Oz6c
NOzIPYXwURKLtxV+HuEQ0u9Nxn/7XfyPl9rxSDh1sp8cEEYO6P6DA5FEsAmhWWY+Hg1P44jWh46k
AbvIMP54mRJuAJgCGAUMQz1EvZcN5n6IGGc0F5HQnGyqL0Zy3feWjaeg/etPJ9BUUdQivjFR2D8i
EeAQWAoTKU2f3rrhK+UoChoJFHYbTBibM6HU8QZkMEIbQgP8LXTtcD/QII7sLufNFPMhMpQn8Mq/
ksF4CHv7TAwy7+WP8SlDgc+xeTXOfOtgKPTq4lEodGPRS10bFEw8MJkLJ5OYpgi5o1ZxLho9PaJH
KAolgk13eL3A+HKLecRKk7vUK1+KUXswamSgO/TbMKLUL//80xF4z7RBj6vz8Iq2cCOw28BJfaXr
dmMmfdNMr2NbPTPMccAI4BSpARPCBNHHoR8IDlRDHPNX+1LRlQfFEeZFOXAjfv4yx6cIo2gzDwia
j03c+PGoHBR9EEkCHrU2SGtJ95ZZ0r06wgbZ3NJVQwjDGIszp+TMGT1aJfPB4VjQTDgtD0YN8qn1
wL+kvmfB+u5xIuGuK5FwA7YNA1nQyWrGWUdAKZDFXTqTV1L7Vp1tO1ThRUYzaYPu58M0WtUdVrcp
qu1ogL+FBVWhW3uwMfZXT+9tDFEb68zTn/wwrjcnPxquMIcfhr5klFHezHxKVJg/jUi3KAPFjs8/
zKlzz5q5qZ4GEQdCzscPk6O1aYuwyHzU9jKMW6WvpiggO+25qOXUp4BzD6rStlHEPfgUaA0YogQd
7SMyadDNDqKLwVaHzedvc+oEgqsLHhE6EaiveU7f3RdToupD2CkpCAJEv6XDNTVY8NjR7f4hE/PP
o2hyRmCiXBkz6+wwQ3Xb2JagLlJyx+DXPHd1bN/mdfD0+Vud2jwQkW1kugCyHfGkkAQUyCKweTD4
dm/SWQReC6xfVFyLTR1a7s8+K5MLUCzNmavq1Jn3Rn4GQXci6aF+okYGKnN+GOrXrVBepgSFjOSx
TKZ7NuKZ0U4teNIeZMNMMssjtCAS6eDIyib1UadOtxjXOLe9npxVrju1RphEtFVM5NDAMHxcI16n
g5Cn7ua7Xa8+xpGKi5YLkiZAfSOjQO/08FZceGhFK68rfFuvrMwxtpELsGsaS3SKwqRcaRXWEBne
pJuoQ0P1zE2qnZx5IP7zzjRQQDvYLnXQqBb4e26bwaRW2FYvWuvB0jXc5iJ23KduoDrhlBGVTIH0
Q9pLhBfQa41o60522e7KPkdEFOzuwkZebOFFvMfnq/LEPNLYIgR1HAOU5eGFmDk8A8SWAu/S6Vc5
ae1GLUFUBRlN7PHl87FOTIf2BjS0ZsQqUffHb6ZrI0pdbktoH2i/VAoOq9xSX1DmEL7jiWQNZrg9
E2Gc2HSaRtmeiIYb6wjfLGuMDGtkv/w+sb5FcagsdVr3FDNrTL6xdvla1X2FwJCQ/p+/K5xLb65I
ESAenpQmNPG4dpvCJ1e7quweta06uwWWHOIFED6OrhWeWW2nvuRM8jQdHZ4uR9nB7Nq0HBoTDRNF
DavlqElak8Job3sIh35uk0h//oYn7hxekBgKfXaAq9rBDsyDGgl5+FIwW5GqykzkvNWqqFYGsLh/
MhRKNIhVEzC6h5do6ZhxmwtSNM0rxI2VYapXO629jztNO3N8nVqjmH+xPE2OlSMcsAQXIyYqA36T
dw9dVPy2rArCDt8P581bt8PR+c+nEXc5XbcQXCJCPPhs2kDBXW8m4U+z6I/q9Hd1V2MdgaH25wOd
OJjBFkNBNqg8Q+OYv+e7W7WcemAgASlgFlpPaKZt3al6+HyIN22og4D+wxgHa8JTkjQxEd73QfVq
CzOOy11jNdad3sHjRr0RGmao9guUocoVvjbh16KvHRADNGw6t04p/nXKuhYx7R70v9eKoWlr7DQy
PzbaeoeMYXSrezhEixFdpqBUxTZvQGiQ3Y5LsHDBRWTB6p6wTb2xtBrAXkIP727yEF5ShYbscpE3
9VaVKFqQQA3hdZKpRIcF6osijevraHCiLYoYI+pV4LSkEeVfpFJLH/ejh7hImyUzPNtnUTddYIZS
+iCUUJDop3IddJEFYjDt8Tgz0MCKIVR9Pr2n1qapOY7GOjHoUxycnyieYRBnszbBCr5UQ/viRuW1
aSiQgIt1oOBy+fl4p3Y4MTfBHuV7kPEH41nRKCojHIXfVtFcc7rq9fSib8WZ4PW45AdBHvoEhT9q
BEdsfHNII6MePIHjW3pbIoMFcMj9WaVf6UThoqcsO0t/DmtxJmUyTo9LlZYZJbk+zCu8Mq/ysreo
iRTj9C0aUCzBeV25Be2uZmsa5+Q41Wyh3KayWmUCpJDSCQ7ySpcXFlBfK+mVC0NFPk5rTRiooMNY
cOUW4gdtLC/5YWnYPPUDeCBMYMKV12o2tRdnWoVacA/jr1m6k1Ut0jbBF6idynCd8DxIW5cQIx3t
JnGzaVtib7yB0cX/n08o7DdtsnYUR3+ssI068ylOfXEbGRqE3ygzGLPgzvszIlYbC9atFL7avoxQ
JhaIcm1TrZVnVtaps+jdOIeBkSwlmlFeL3zXytQl1g3dMo+i9efL99SFaONgQ1+BfhuSEh9fRq1Q
6KzMWvg0nVCbQsuOZPypSCOAtc14hnR2cjDqleQsSA4dhb12zWEkMvaKEtk5mei0lWa5AQYGoLKN
z0zfqYPApuzPbQFl7yj4zcYRH2egFH6d1Ld642AwEYxPRVb/RpTrNo/sMzOpnVoXDlkSCSxcKrSu
P07l1OAS55rEacmQRVA9dG3nTnV/oVOLXxWGEvlmWbVLdBiNu1gNIn8MQTaHRSy+uKGbbrzCHL8i
ksaOQiEf8+3Pv/TJx+NApIxE/RYez8fH64cAz7uIMKevyt+GFz5GurzPDJrJ/2Ccv1QnYK8dBQeN
VMaoBJTjk4mWVHPaFzEqGOh09ZmL9FTYSnEK9po6/8M52IdG7wHjBoDltwDHowacWy9u68LaJa52
jYTUQ555ZwoVpxbwuyEPA9ZkMjOAOmruK/2wDbviN2LgIFztXV3IMzmHcWr9kpHSJCN8JBc+yIva
3oVzPjg5x4w+PrdR+Ypji72UWKEsKd+GS6XEUDXnRF7H1Qw4VrQZnlWD/PFk84TUUfQUVG7jdzqw
ZagtkA2itr7Hj75YuXhvLVElcjeD07uPrsWpubBFA2pCaQYcx+bSZqG/qqgcrx2ciYZSfU6K7gpO
Iir3hHyxK1H+GPEi7yA335cgL7nsdevMajo1C97M1KXEwbo9bMBiDgrHHJCyP5XTxYRr9aJVzSer
tPbUTJ/aeOzPDHjqE8/0jDctcAvS18dtUiZaOFYEQ36Mxx/gmA5h5onsd2XgExksmhmY+vmGOfGK
3Osz29iDiHOUXXr26OatbmR+iiziOqpH+4uIiNDGpMA/tcZODRzSj8/HfMNrHAShYG8Q8NXZoqS2
B68ZKmNGZzbLfTufvGXUd/a9GeE7I4zR2kdFlj2WOlKFiQlk6w2n/KZVnXcotbZgibZK3wOZPfNQ
J4qYoBKo+synNmYL+se5DwdrKgPJjm6mADwbDmUbUGnGpgkwE/YcG7FXG1XuzMrWXlhHy5GeDPBr
U1t9/iDGibNy5oUDx9BIc8zDUqEKNMLO2xhDc5EYtEZmcHNsZNMtAEth7flczgV2ONYengWiG7iS
I0yR00dFpU3e9EavbsYxUL9FJoE3Yp/qN8JiZCB6lhS0iXQDssfagsv9jQwZyp6qXJt2Eq0BDJpY
0ojWx6jJWQ9R56zccI9vnnGfGmK4ZtvCREEhfXqK3M7bZarzXe3G9Exifur96YAZKGnNHfrDwhHl
tiRrWoP3z9LhPoKf6yP8ED/FmhJtPp/rU0OBvgRrMIsYH6WtNJ2qCgGh3PdQtUOyw50pPcjT77wI
+Z/Px3r7boerfq7+GmSvXIOH6b9Q7Kzr85jkAFsSFPRoGMP4mExtG5Q4jQgn0/Yakiw37aD3V7qu
hLcYpSFkbWTlFivk+q9Q8o/kG77EP2v0RF/b/z3/2M+iHOs4jNo3N4H//reHAvBp/ukf2f4url7y
383hH/rw1zb/9fbb4e9i9dK+fPiX9ZtWwm33ux7vfjdg+P82NJj/5H/6m/+p9Two/3ffbh7h3z85
v8L/+V9fwA+//Iy65nfbNu9lHOb2KD/5t4yD9y/OTGTaaHsgrKZ6xFx/67QZ/7JAOVFFcy1I9G9i
bH/rtOlvLvPgehBsmEnNRBZ/67RpOD7MwSkVG3umGdt/IoZ5vLbnJitVTewnXJ7u4DzzDJSi0lIp
fYQGXyMsBLfgWYNF7JLev5udm7+W8KdibbyLTmGQGirIrqOsNxOAQGYbPN/VoW2AH38uRTEs+iDq
zlRITr0TY1CtpYYGOm/+/XcVkrBVgqku0xIYXNotg069bmSekO9NZ67FEwOBeQKqNh9A6lE4LdmL
aGxNpT/iE5Rm6Ss6kq8J//vHM8cwlks+xxc/+kZgQsCWII6OgUzvrT23qhANBtOSDvE/mDrWKqcO
XXf6T4fFQOieuQmlokRzI68vB7VDaKrQ3ctaJGdeyuYjfDznqEZQKSOnQ4cVCOXHj+RIBMdbry/9
qEfNyu7GuzEcHmHjPJYSmbDPZ/A4Dmcwg1YX8Azchg7xBIpmFezNovSxjsUFAU6Pn7hVsCiU+EV1
Z8sE6IILbYQs+/nAp1YIPUMAhm8hzOH2susCl81IlD4+QcV9B6R3YXkQ7MDFGWf21zxhRxNK/YVT
gRiUXf1xQqcu6UZALyUdapQAchg6a/T1g/t/8ELvRpnjo3d7yyUUkQom7b7iDRA/6+FR5qiHivqf
Td27kQ5OJkSdo0IKRoqyblzZQ/IyFZDjz2+vYwQlrGcU+jV6hvaskD6vnnfvFHbguE3M3PyWUiYA
96ZYtAPZS2+Y36oYnDhCbSCWcdrdWDWO96CKzvRjEfg7+no02Vw0LD10JoFLzdvl3TMUQW65OVqS
XPt6sSpViZ/LWLbDzWTm49oL1GKlebW2geJs+SoS4askM7y1UZliJyu6jcsea0Uo80AVa7zdf745
EzsJdiKzus6mc9LXESjsRTjh3FE6TbCoywmfD93Dk6oo+SNjFORrHEz1JfK7lu8MVX6LW4X+lDp6
cWEFSfAsc3TT+3ywfJS4IJqN8C/7hC2VOgOsfWTzlXyBSRdOUxW2eW1Lr7xLM7EmGhX30NTMHVya
/mcVcNForc2zQ/i5HROz2PduI5Nl5LhRsR7NTP2RQBKkA8jzKMRJLyhwFqtUtuWmwMTnGm/4YtUC
PiPfNIIgWWhd5qHTYrTeFkOUclOpoLGTCtcTpS6VZa7ydlPO2ZkDcl86rdCXgcP5FoUx/C5IHfAH
B21DFlu0S0nlFvU8HPLoMBV7TW1JSHM4dK6XK0uMgvSnMJLWfgi15Dl0i+zR7lMwUY1Rfq+QNnsK
ePdy4UA0/F7mZjfxTBKRtsgpvXZpGCPHzWCbkHkVbCofmx4WNX6C+S365+1zwNTAHqvKa7tLXlWN
b9rBoniCB/w6NH1w39pTcdHPpzPeLMV+zGbb6honPZav52URRHl7uAOoal5wqbTLQObxVoaZsSAS
iWfmeyd2cQied2F2YXwVGqV3ndiheEUDUrvSULLY2l1GDVNXetddvO28rEG3AKK8exnZTFmKAsgT
xXJEF8xoXOZo1j24E6Qi9Fbi9NmD4rjIq75YIQiQ5JApZDHBb63tbBtjPF9+0TpZeis7CuS3KCgV
b61rsnGBP6bxtLAxQ71EGGd6cqEPIEuZ5q+6E6GMn4YjkSCHNwIwlW8mGmp/bO4HA42lZAmTYVbE
RIk5pc0aSQhoA+ZUuEkZlHJ1PkEbDKmFUkOJRCi8PIUmIoKBDUJ8q3K2cViitenRW/ZcKDLlzPKB
bxI90nAPJd0Nkbx4VBw23uyAA8AVKfvYk9m2kcFw19ee/DbVU7oFEd3SkVBqPd4kaMFM6wmV0mpR
N2HfLewh1X6Ab2l+6RN7y1QCXKay3mq+Sqctv4eJae3fXIByPH4tkjvF2NnYQuMr38fKUkv5ElYU
ps9VqIvdEMBQxA5dR+guecVb0bsMNNvY8SDaBt78uFLGBqvFKEc5Dgb3sO7CbKbz8YU6g9sX8Da+
wC62cChhBfeJrOH4ReUQ/RalZ/kitbEKtiN7ujS17lvZjHJLqwJirIf5xXrqXQGBJn5tUCxYVAoc
wkbLttBzf7ddjW1EM9yLSveR6/3RYby1y4WNA25Q2ntuY+c26tiUmuCxcEeVX2Rbe+swZZ/TY0Y1
GDexJ1crpz0Mkk0+YT0aTkPZLvM+RaET3/kY86WMRc2piDFYVo4r0SXetUFci/M7uz6d5TWlLIOF
0SDbgiOL5ed9K7fafPWXJu+t58lL3Cj44NBgfskGyN+GbDVqST1Gqfg37YaOFQWIOHjuUAFcqtlY
rCQdrrXVTGyj3K08QBkzPUOpEd6D5acsI7RibjUbmxNTzV4si4Oyrjk/oLk7t1OMCoBe1+MqcCp8
fi2jc29h8dYYG6NQhAIUy7Dz6mqbqXm3SsaEQ0zvipXdM3SN57AfQ0xaQqbof6JteFGKTMAlbGA/
gnlc13F2DfS12EQ9EhhRk5fXTTWH9oVe7DOtZDH1VdTFi1wz6WswO3HgYZNq4yH7dur2Ufy9TV3t
t9pzWsl5jVjqpF2lQRtfJdYQbuRIDR7adlItFKW1kJaxNg2SBsjw4jhlGRMnYlsMSznZxdd4YIYm
JxCrQcUChgu3B2nWcnJnal2D2bLFgyzD2cJCiF0wdflt03H2KCGnR++x6VOZM+de0W2MhHZLKGR8
ZQS6+sPTunaPiywhcdFdu2mT+Y2N31kSUXTMvVD50tbxtREb8puSJM31OETtlyCZnuBH909uOror
dwTSak6ahbMHtiAiqvJrtLKCmyz97lTwbWMjekX+Fj5KG39lPz/WUg19HRQiKil5tWxVgybe2GCI
W4zhlsP9h2IVmBc5XHpz2exCiaPsEaar2NWCE0fNXe0hVrFwAiPSgwp/O2SRPKCYxzfYkP71i9RG
OIh7WyzhqgydT/XSrLf4eC90XKb7RfumcTy+6R0n5JkVSyRBB1kL1fRC9JXqQWZ25q7orJmM/C36
yVlpUKBBgHnWVX7TWC5z/WuT6/mur4x8Vzitihaz281WlshBdn9JQwZ/CUWOvT7kE5dPVnP+YbgR
3FV6DwdOTRO442Ys82jXJ54Bfx3FE+nuTNkVAlXdznCMJekAparFBA3htRmTCMUQJP9/lxaACi0O
MXtxnVJb9iPqCEQ3loqX8sC5PrpzIQQdkra9EbYD7TgxYflj0h4mlPui2sThstNkztnTPLupmrbL
Ysju+8QYIONq6O3O8b2JH54zyp3IknQVl+oP0+38EqFZxAUNxKYtike6zf7i4JC3lpUoXzRDKMmq
dXKoVqY+btmnurEoEsRNusxtfb0C0jZUwUsaWSmKW3qKtgrlaAQ5tG+U4Yarjjsa2/MQ/Sxh6p2y
9DJjumK7hj/DzAE/lmqNgrv24BHdKspFPOCksXHw3UkXps3xbYZEJyRsiED38PKsVckL+yl1Imzo
R0tuP4/xj2uLc0CM6p5FSxWU6GEWWAKeR36uQ680z81dJ5v8tTAgmC76tm9UHH9MQqssy5i2KNHa
K2kTWWgpXexSI6xCxfWFi0vsXB3P0VEn1WniUuAvPnbW3oTofinoeGFN3XjrVlZxiQ0UZnnhDCs3
EF4q1qaTB/eQjcwXw6ZAufD4xxZDAud2DDSO22AcgALEcfL8dgYKgSbbsp9S/WzBd04zPqRVeC3S
wVFx0oSPBnD7Y2COgU1odo2a+RgQc/bqvfwCHUh16DETMyHNFF+NNM6ihT4RY6UeWmYcftae0mQY
w+o+lzcfleLn56FgA7tmNi85xNA4IYpIyIhmfp1r6G6Ne6wrq0XvxC8i6+6CkSv/89VwlKizGIBc
MZJGbkId9GACTGnlYY8ktKwISAXiQVzWGBQKEb2ZARVnetfHTcp5QMeaOxyAy44gV6Im2DOxW+Rw
RbNp1gYoVnEjJIpyLKwWntk6xTTp2rbc/ubtCu6RTbG3kd5rm0jLlCWCd9YLKhhyOyA69Kd5NpYD
9LqAMLNDmJeD+QC50du0kmLfI9/eWkpY7EuzP7cHjyoWjEKhAroFLCqADQf5YBd3MrBFEUMJI3K1
gdGClbZRa8fqF5WEFEmRMSFyj1Iizs8/uD5XCj4ueeIDrJBnFUPtmI42aqkJ4K6nGdz0YYAlSeFd
KkHgPecdcWlT9NZ47SmW9yjM8TH1xuoVn9Z+3Y4S+bi2EFE8H3ZYwVRZ5xqIbpfEcmaKp2UTepdJ
IZpfVaAF7cXsZRr+VXH5o3r1f1CJ/s9K2v8/1asBKbJIPpEbjn8CjHwRH0rVf/3Qv0vVrv4v+khs
cowgaFUBdP1/pWpP/RdcWQ0NS4pn1LdtOtl/l6rdfwEcpFVh0wSFBjIv1f8uVSN/Bp1hLl2yaeDY
/l2wv/lrwVHr/x9JQYcwXCpbyKSaIEHojJgACA/2RDUo6H9kjYZngCnbainDPB782iJLDyJVgNco
Iqw2LxMMX3viTcgTQ0mnH6dGr7Re0KATurZCU3COTazEnuAtwccxk32oVwoKeoFgb1WioZX3bqb/
/Srva9/zk73bUToHMnXouTnMwQGM5eDJ3abrM3AA9R7+7XCnRUJZWsRIl6N0VAzuR9LSzwfkJjga
EgrVfElQ17f5mgf1VSXOUPLqinBv295l0TpIBGWSq34LsC+sVKQ3lcrXarX87oEsxRahM6Vj+p7N
wbOxQkRVLgInntXGJMSvBZKVFDH0Fm0vV8SOsS5ER7YFBukh0yHKbs1AFHu0CCCkUVDhytZSbGkX
VV3l09KCbJ1usBlirhVbDnfZRGSga5P1gvhZ0SySajbi8KgFhOvaCeaI30IZF8amQknA5osQ2bZN
122AiIxfRjvWH2rNYBH0Bmd9bXD3joB1YcO1yHrVLkWEpYPKergGktCHayoqw40amRlk0yjUHzQ8
gacF/gm8G5Ii1XdltrUN7Z7HwBjQHdCq1MvvuuzRwLALbCCvhyjnibwRS2puWWTba0woQIhViq49
6EmkNXRB6UhcgR10lI3tjHb5DXdcEe3aumH9hZhvUctCzuFuqoX+AElWH55wIBuUZ0NvmbkYd0IU
tMiZiou6dAnvJAzkCdkRhaGzcrYCxGKQp0OAj4BqmCpVLhQkKaKbQGqU8wpkxzAn6Q3eH2qv9ZJw
hD92IwmH7Gp+3Os1spkKagRoLf5qtamYpHg0+Qq2SavrW9Rz1/omvsb5mnk0uqUVG0xLrGQUEQYL
K/t7/AD5rHJmZ+9Ba2TRDs8L/cGZJ8dDLIbvh9bK3qsUChtx1mJnhmJK/yUK0b1SXDVCPnRg89I/
RxKnQmsTWkg9sgnR9ecpa1DQzqqQerY2AydcZValoUPVD+OD3ertFbcPiVGeoP6FcmBXvIRJa30Z
x9B+VKSjXfWyzG6QdAtfdCoTPoVj013GunBeRJjKp9JQk2GjTSzZqMdQWvaydZdRMgfUOZKh404f
bAsj7MLxHhUAm+0tZpGKvbKkw7KRtcP09nFu19dqi1fOBptfRQBX6SpDQxLKdNHSJWU3Ff0n5VK+
XWwQJLyOydiV3/llnryCBxzu4lylvmDTMl8WIWuk0YXeLUlbtYdRn788vhqVjdlGz7dNe4zW1xPy
r9+ZGTaXgx7ptE3Log82jaqUzbcmsIY7wkc2goJN2eDHOkCnLd7Vxd7SJ0qSwdCQbMuEgmES6Hih
Glbld2g2DZcG6qYhwoSznzMVqmSC2NJQlxuGhHnBiglzhg7Bur2IUr1+SLGAUB4R0J2qy1avlfpm
xGgi2GTEw/3XKSeH+xqbap7eBTKp/SFX6opKpGFcTHKO6acxZy5J6JjLQe3JAjwvZCLoQdV+kLnZ
QNSASMyurECd4ufCQk4HhQ+HriL72Jbzpmhrk78F9wjOUGEW+gM2wDiFupob2d+GzO306yTwOCgw
VUiLn47Ra1eR7VLoB1rCmEoaJgPifWGdPNda3YflAhW79pcRuG36VHNC4PyB8o1VXxc59rgusY0S
eGsnQ+pvrafAnBbQBpNdUzl88zartauknYzhye2CKv1tOULHnMocqxAdPlXq+nXO/TNh3Nch7HUR
CN1F/rIobFW9iHSDBB1eLMV1BYj1czxMYK2xGbkSICG+WbILZo3Aewesfr/U8qL7Ohajskb8MsKe
p2yWRhdGF7hjBCuq4nG6yGNAUJqhjWg5O7nlU3axZ2hzUikxNWxym41J9i1wKSnHQHDIFBdl6aqP
jVXqSyNXnxXqLNiFw2JPR4GqXtQPro+gVvgjawLn9xAiJi60WlwjIHPZ9XU1rrGeGG5RYwmfLUOK
dc4ltSLsM+5ouolnzYzyjS5Uaj2oMiMg3zr1jReiYuiUKckiKsDZl7gMs6960jgLT23azaS05N9y
ADOO7B9CaH15LbMpv7QoL6wxf8puOdbL5wRz63tpZje9ow7Jtq6Qd6pGVHhU4s6tjIv4Pmzs7CuE
nCbc1K0Ql1AOKb6m1bTLFC/doHGBzyDsZiQAHUonKNcWD1w65TdhYai9SqZGYMunFk+Rbc9TiwoP
tgRWJ5a2082W4YOxCCmDIELnNK9x7dSrrDNNX5/5Wuge61co4jlYDKmWQEdsJBxYNZgBUw3Ni62b
VVjc0twpLmapvk1oabdJUJRbzJa6FapC5bckrSn9DLq0LwTpsFyPudNdVa0Z3HtlZOMbO6VIPIHE
Qx5gcsH52PaVErXVngN79AG4jhe9MjsbtWm/HpsahTzd7JZVNyZ+JBr7QcZy+qWqWbL3XG/a16L2
zgn7HyQ4hERgd2ZYJHr70MwOQ6IxD83Wq1tzh70zdxga6VwxLFvOOTFQOKLywU8tlVzOljCU7Qb/
8xDpIJHmAaBK8Z+3rBaK2/yA7zpuVZEbLhLWaKi2JcUUMRd1e4Nb0FQoCCeqLPYBx8yZUQ+6tG+j
zjAiCJF4DUDk+ziqiW2TE/WWt6sw2/0eQ4iplmWrE+R8/nYH/cS3cWDVQbsk3JxhFx/HkVFhd40X
BjuTKjmHulpzaYih/G4NASfWnw8295yZTihSR5gljUNECYlCd25GzbooIvPiDaCgxJ23/nyo40ia
qgB+cSQDKgC8w05+FXpOib4twl72qF2JjtjfAmVLHbAt9s0MA/3j8XDbg26J/p6NksVBVx3qIedG
llsodkbB4193oMDGAEFeMfdUmhjjhjPTebxG6MJZvKY6S/rDOv/47QphIq+epfau6+JZnkgxLgat
P8fHPjkK2DkPArClk5l8HCUL9F4EcWPvwpZi4hiLeOtg4fYP3oWEEuvxGXdx1Fu3W0OvsNu2d2/I
CzumfQPn+B98JfxxDJCpZDukmwczluL6FqMZau30oI5RDIaahy5/T0McSId21ZaDnM6kdMfHB2c6
RwivBcOMYT9On4hlMPaZbe6UIrC/aR0i9ZMqCUU6GBFr4Y6qjkb1xOH1+YI83tgAEYHMIFYB0fNo
QcJvj9WpREI27dhcQcEx1doAZjDFcs8wa068IosDaBMxOADcw7PKQRyLoXJ9NyBzuUSnothPDe3J
zJyrz3MGN8yr5s/fDw6CC7DNOqGRIdVYGBEOYbvMBsYiciALmepGWxKdsxvtrYr2MS/3qE6A3DYd
z3GPd9rc81TZzrRKG89dJFpuwWpz1OyulFN9VSRgd6g1EyYPPXEdjbexuZKVxLaO/pVJclHQLQz1
5hfofoOocxI0393ULs/RsY/PPdgoBqQITnNQf4fMDRFbfTwqASs8p2a6jIO4/J4MCtcVTHqWWuIR
1n/+JbTjE2Km0hNXUooEgHaISQkz6iUBV8xOcRVi3cE1yB+QnGt/ubXGjRWVwbzek1i7qrqs+i4l
8tArI/aGu6rRqwxNym6qNkRJ8bYdtSz647OZajTISXBqBt/urY757gZXqyaapMuuzyeXoFu1kmct
pFOOmoqIFzS/zpVxjvYeoMJ5N1DKYYmidPJxz1dxMwf9aPVKM0BeVk1oiYyVYJkOc3vj8+k/NRh1
IzRpUOg4Fv0DSuFBAEbqe4DkeZMIBLTVxiXLsfBnPKedcPSpeTPQ1KY2E6w5zvSPb5anilY2gTqi
1G6RWOJny8piI5Ilfv5WhyogQGE5Lue7GzwjN+phYIIWfTzYpdNzgddRc6OSw3VLxW1aeILQrZp9
mUgqIWZogjPpI7puWYmKPbXk+RosquEuilPqBEpPskSzbyq/Tw79Y1WxKWVR9TI2Kmo6pOdVSnL8
ZiDRisLDI/PzNzn+PrPWBG0y7jXAn4eRSIwydunkTbPTJ/rHPV2KfU7LfBuq+KF9PtTR5kfWgjVg
0gqgpHfUEWlDVW/lENW7GjjxhYsMQ4ZmfOWtEXIp9rOrwbn64Xx7vTsYTa41oJIzuN7VACAffiUx
5chs15a5s5E8+I3sgNxhcO89vhVEbAcJSjzMMutrMQz6mQtAP1wi+AHPKlM2NsdzGwIC48fFaGYA
DMC5JDtNo5I0rdTEtWEWY0vfGfoSlpj7w9bS1FzJgmbvlRcChUDmO8R9sR1BUiCGOt6pXU4VcUrn
ek2F5h1xfVfz68lhHdW53STbjr//xsHFTvA34enie+CBaBOnOIDcWklDj39eXrgrET2MbY1ovKyx
+ljodgMxuR8ojTUBzdt9SuEI/EQlw5kMQQv4C+Koab1StTS/7ak2XNV2izs0jiI3KBUp0xZZaZq7
shUTXPFKV9FgTlTUlB2rw2PHrMvLNjUdDagZhO9VAd+HBHqKd8j/aktTZhaOL50WVYjIdhU6k9S+
VdkXL5hjzqhqzGkoHnWllmm/+hovjctESdgvHmawFEPHMI1u5Djwa0epwJLZKL7DX6nRk/dRUSEp
wd6U350q59/Bp0wDKi9eNsc1Vclei0Rmja9Uy+N+mWrhDG0d68FLL0JXGe5KNPujG1BCGbrOYSXb
2wbwDS6XJXp/60LLy/SumICTrOqu1aoNLcjhLkWq6zK07SK9AwTQ/MIHg7foQXtMvw1bdOaXutLm
UlSPPPFiUGN+kFe3Xqyex70vATbTG9QT81Iym5KKRkdtLk5xM9rY5cjw1EGoXLVTRCHczUfbWAMe
5G/sgKGByOoNcVENSafcD7iZTMsqnbi1PJW2fYURjNHo16KXVnunxWihr1KWS3RDuljUS210egyk
FSB3UtYNfgVdK5XlVIoSbXB9ZrJPIStI4FEK6tLpcUA2ZaD1FxGeTwH3qgacpagzalouim7TdoA1
pC/ollNlpOM81A+asOpsi7kRCwz+FbrKSlxzN7zFAdTsWX1TaFNqiGy6cDvNdoxxjx7tgE4rKu7/
l70z240cybbsr/QPMEHSOL6S7vRJ7hpCUoTihZBiIGnGeSa/vheVlY0auqtwgfvSjQaqElmoUMjp
JM3snLP32vNvv1/jB28dkZV+tuDsfODDiHQ2ni1p2u9ZnKbxviOhCan052vlbJI5MjPEaXKF9N6J
O6X1xgTQeDZmI2UKyq7YYCBC2BC2js1T1HjOJjbLbb5Xs9t65kJ2wwfi5GmMZoSJD3+OZgBUvse2
2A4SicXZzqtcVJ6G3DqxROSi1AC9cZxJjFnDz+3PdQaajCm9K/fOJsVmDZSezTIiZEDvLuh8eE2L
WmPSkC8WX6wVj5aISP1OsseubPgghk7vJKpzs4NZbTTz92F2hTbS6LGVevIqGDtXe86NZ0fK0gpJ
f8qWX57GJGOPXty0HhejpgucLpyNYU4ak1uwHzMGSCtyT2iD73yLaQ6yTKsX7lcO5ooQOLvtK4a4
eTbWpILHMUKBkCXclue87ejWLzlNyYgO2urREUBtdi50HTI8yRFz79EgW4dRTv9/Tvrr0x30H2JZ
N/Yep5t/Nycty19d1b//46D086f+GpT6f1BmUjgwDt3MC1hw/vL0+O6nOwf61Ocs9HOG+teg1P8D
5glzdYIet9LNZdP9a1Aq/tgyJ21UxZxoCZ/8rw1KIY784/4NhJciGIIYBcPmpv6UvP/d0Zjcep8A
75J4dV2riLIn/IVE+NkoY2i2xlzvFfGtVbCIkfC1GT4HmO+6F9DHc5fwijUrmTMt3XVGMuWTaE6i
1Nd5zS3r1fA5Xe2mzvhIPDN5KebBDbPEsb+OltVfAb73DysewpjIdwkbp0LqeE0m/k8yGWa/Pmgy
hTvXy/Liynk9oiV/zNtefGiTFS8XplGzR+vP7O9G6Vvli1Dx4N51BNLoxNc504BIqxBbbt02vDW7
mdlYpQe+RDW3dBAcVbfsRKsLlORieEPNOTFrGsZCuyqR2dtZANxHpLi3X3DLFk4oTBTHODbj7MVI
F2SFzL/IFMkk7VXLsbuf+JWbL441mKfO7dODOUsi0tAjEmqWhZ3eZLDNaOsfpJkRhSjUgyOZYB75
I+JKEHNc7PpZZKQ8CWAjKJPFvje091mRKujpsphO7BZsFKUv9iBTfeSSHnEE9Akbe08Cefdk6Ll9
HX3mUUY/uMZp8P2Gqn/149e18NwvtWvHz22/mN4JG4bQdrKr7fySdxYrMwkh8ts4tSkUFtMNFZIv
voN6DBqQ+WfHr/JLX7t8l0MxZdvJJmY2vCzTpR/6xAu1pE73buasT02ZWJl+iMnhOirDAXTR0i0y
+wkX8LSWO5pHYwp2vpGRt8Tx0aoK81u9iqUgOkdbn/3cza2gTyY3O1qa7uWvgJWG8iWB3uPq+4E9
dtb2UOj9rjswG1n07pQmdgn5V+Z2Zrwn3dom3DkiZmyoHvuis0Kzqa0bwVLTftZjZPyosk/0rgmI
iJ29z7g3VKqaZJjZLZHxVVOEqeP3CKp7cts3dC9hCrY57XPCFQDnehAHNfdZzfausM1TMrRXewvA
Wac1IMb3ZjVrA8aEnJaZOE1XlVHJyfRF09LHGcVW0PJrIuTJhDKOy5uhT+SwuRkZ9+PyhW56R3If
eIzVaeRdU2j6qbYtFfVxY559HLWB4ji77zREtYU1Z2eLVlI0eVV20fJlPenkInGDcvOFVLHvZe9Z
YWMkbkAInoYqVY5RVbp9fwYIIk+cyj5aThPnliTIC8DsgcT2AupzvRwYn4WdVQ+RtdZ8P1qzywqN
aPdG8zWkkjIlJSn9Za/NNwwREllEVWOe01dUeK3yQvyK0w7xU3JHeAMwjgxUSgODrs80ssiqzAgY
M8Sh1UrjgU8vL9JetJbBY1+fEHgMv+pNo+2Rh4LGMZ2OpCnhH2GDLJO1P1ZNg3DV/tKI/Ikcx7vV
iDmXDvoW/PicOYSg6J1/dpPpqfOzE4WKufP0ZZ9Ivv0EerI3Wi9d0xy8Zb5KEhkC3x7mqK1zMuVi
hmlJbL06KJO3NIxuZxT5r9zSWyKOJhL5SN/5kmnALsjECf2eNIyGsfK8ZN7VqtG7ywLgvg5bOwAg
Yj2S/sZwa25LhqPjxLNV473nfjhwq4su1FJ/OHpt/mN18fByyPfPpDhBhG6ZmEFAlrfU7+URjVS6
460wHpO0eRxJO9E8LmqtytvsWfI931YzNcRujQep0y51bVpPmdk456ru05AbxpEGZAc65fQbEakc
Z8z5d9oXxjFxO0qUrMkDIJCglRhcnlGtiX3Hsv7Yi6kOktXxT0q6T7HTPjIG1yOWCe9SSW1yQ5LZ
+q+sK8POHN14DGrRy5s0iZtretUfdG5UpFfNwETLTp/EPPvXdtZRN2g90XakHSUmaaz+gOK6iAjD
IGtQ1i5Q2O6pI3GIbygN8GfKSAol+HiV9Z5a2U2JlN2hAVutDCjHsn/O8SBEZrHGXyY1XWutacOZ
iKEXZC0vduIzOdLG9271vzmJeTIH2+E5HmoAT/kcoAuMuqk9VY48+KaM+RYb62YaSXOYvPZHSULL
3m7X7gjF4rmG8coDrBgkFGk+Xuxm0m+pIZ4Gv77Lu/TVUWQ8mfm612GhBKy0eywz3y1/YvRq2aHa
1tJa8x68Thy6TM5PM7eODL8RmBvLqPddxYnxLSfnYdcKl1dNs6hY3fGKLHlPgNOZ6riP7LExL60j
vaAZa3IgoQmmoVpy74AKfD2lVX+EcXAes1gd+lzPwsTXakaVWsRmlodr7CNQRStMWWgN1g/CwnoW
bFS9t2XVrce0sDQq4ba55gN+kmUaiZGUdvpRz44VTuZwN2cNe8KUvxjWeCxJtvPHlY1V+th02v4L
obc3rHHFj3EuAW4v36Sr8v3I9SAcqFRIUEF2GRdxQmxiRFYawyVPiFq8zYRsjcjOm3o3UIVd7MxO
okUTS9ANiXiLq6Emq9ggLktjOFvvPcXKNBaifEi0ET101aZO2LOv1RnYoaUikg26XR2VQz3cmUkZ
o/IwKV4GPQtiob2k2rRtz1Oyqxw/0Dz7NmHkfUWsUd7rST0CQ19yC6XussrhqZSad/I7tZ7nUbxY
s15/QA0jXSwu0EZERFSKLW7SACNnWdUyHtlnzf3Y+z8KbXwwUheFujX1T51dPkylplFAEoqzpMM9
Xt2vXSvaiNiV6tyszlevA8wyZ8RhaohfaFyOO7PMm+8sr9ZxQqv+Llej3aODak8A7829rMb04OQO
GXiEhoWFsrjYbnzzE+hEpe5pV8J41CsGsykAr+L9diBr7gbG+IGdivy98tzliztpCEkG700ouw4L
r3BfXYLUdlrs6CEGK/lcJqWOnoLmqe+CixAC291sbS8RN0wGYhYqaph/817z8RIqmH0hf9at+lh0
zX3y/XL8KrqR0KwhvWFJs7EdsGW7sjZQq2fQBimKWyuo9Ta/IK+ujnIYLM4IZXI1zPzYq1iFmu3W
ewYc1RPiiIbAIS8dHkkh8o6r6zRftdU/kok0P4940iKiN0ml9FeV3ZV9/7NR3g9W5xyvpOPvqOGG
l0waF6cU/qH28dvYiLz22I/YICiud4BNxjC1TdovWiVNlBZg3wAKN3fS6Mhz67vlrsATdpwqY965
afMjT2B2E7+bGQ91PRpfWCA7BGODIADV6ac0P1hlgq6isBSbV6eVbw2Tw0tCSHOUcxZ83Rw1CxaL
3NtMBYv4UqTC+KCh4nwQikYc57pliMYpvhra5kQo8p2b2NnQOuGIwZd4dodVC7IBR4Ew72MKFcF7
W7bke6eM6gtOHhi6sjFJQegY9CUvLRqJSBVj8oUsOHpZVw5aYVGOr62/npC1/2SM5RyaGqpZwbwM
f1ayiVMIUFtn2w/YJA/ctbMtLVIHqWR3eVXJYLaG72Nv4UJa64EIvViQVIbJqI0b9j9VHVOrrIMl
rvsAnVt+FAgNgrSVODDIKI9bcZOpFMiEyEbJa8e7ZGmBjLBn3qRcH5lZGuUj6VswS6yDbnwMecqB
CT0E8RDxC12nIsgbcxdrlsBJWEMjtFscJTJGVrCUe7eBEVTy3BXY4wIGa0ZYaWWN3XvcoS9qWE4y
O0BAOQZdg8V3Ven3ySczgAN+RBC5FhR+/YKVodpDUUAZlBUXQiSWnTQ8RHQzR0O0bcQGJm7NnphX
p6qynnzEJQcnET/ycnhBVWPfaw4pzgV1itnbSzSjgwzbut/V1kJaV223V60lV71dNfOVoRsZXHlR
vMw9gWP0MtnqFuJ8pEEin6jQhqQMVANTVnTWiD3HeIkiCp1WmFVx9lO1xs6YXdJQEW/u59wJFh20
oTN78Ytr5HdYvqxba+FCHZryN4ffLlBptzfkWoWppkxu6YjUsUtBCg3FS2tJgrAwiUY4jf29BYeN
Q7dHkr0m86tKWFwWrNqRr9vNzfHiD71rIeSRcHFIJzU/NgtSSL9zjBCaD6ceA9OEXstbOS/DzdSr
sKjIDFy7duuZ6MsN99JZA1iNJ6oSoTuOSEN8d7pj6vuzot7IDe3N9Nb3pHYOrtENd5S5C1+GQlmz
nmJPjXtUaYc8/a15DWRmp9PvjE7Wx0a1D0RoXMo5ZXlMGy9EO6BHdU15i5hOHEQ/HszKNuhWyQt5
T2ygUsdu6r3YbgrWJ1vfZ3f4EQ/JR1Upnp9KPA791a3il2pcyaWdy+S7ppnw06381GfrGibCvVt9
75tXY9jz/eqg2BwDkm7rWxybeI5K3bizrPpRAscMtU7qYT+QMxooL9Hx2VUTxzPtYXCa0QtUMa9s
CTLmctkJGkQxdRotHgzilif4+9Kmv4TCMCHiaQlSYXZtMFnYboPULt7ySgKXzDKjAKBsQm6bK5Fz
wKswaJppWz5OyCqPozY3mx9WHWSmJW1Ym62ehhVmzDfMFcj0aH5S5NTNyzR4OY3OdDxxqlZ4zNPy
YPmlFdXLmlywJjtRWw7PS7uiqK78e98b5EOZacZvO+uGy5pmzrkWXns080WdhypeIjLE22erxHzl
teY7Nby8qtKiwE/0e1w4Yzh2VXIn6NiFAwr2Ky1ja9+sEFBFheNckigYja6lRT1TjR0EGw4AJZqv
Uli7BN0gbmTmdVnXb2lri8Z4i1QkC/i9U0uxN9M8vneQCQMUWj68gjZ8YbqIdnO+MQ61hJTDzWvl
coIoimxxGm/I7zhWdClCVOV/x7eT7RrPRfdZpIhya7vkGNSuu0nx13c+bkfenYQUPR7XYooAGIGC
JIyVGYqM0krPT5wbT25RotTOizHagER7VnMSIQu73Of4yyW2F4op72mQmnWgFKbjImb5NiqffL/Y
0tWVrZpdaKJauC2df4GX5gU1NNedSUQ96btFqNHyDirDbLAYdzrekjw7doo4zLYl5hYloX7pVdOf
u0r8btbhCpOf5G1qC3PNbgar+54E++JBttzGakto9JW5N/J8CjVUZYFTZf1Ooee+TJZ8yEzEjaoq
ronjvlae3x04XzcQBnn8u3mOSkM/EOUz4g+3qWVglUaDYqKgIdxE+Nj/WqsaJWF/XejfB+0S0+EW
aIJJsmSeUYaFVpTB1KdcXk67RnQh2mJWZVuPjzDC0IOr2ubQspwn3tRw2ABp+tCzRgKWJUFg/Bhd
+ZG59smzmocZ5fUp6xZzRwl5YYl+BfZVRtYw7ym1eJLp8of92OHDMzL9RmaIefDmiTbKyqZLzxfV
tvGEU/fkyWG/jo4KmwZrM4XOWn5tLI22yTRNXmTSY2btfDKXZOGKxn6vPtOIvQm6BOVgr+lAn+pg
oCOwM+JsOqekBQS2VX6UfeU/ykTjRnr2oZmadIficH1BUfFAZkIPB88wd6LTo76D4GwR6wmorLK1
nZO7S0CBI5+LOP3lGc2tW82L8px3YZh0xd97oyBD1/vdjgshrF6G55akSmK2/V0jy9CQtdzhqvpd
9zB+c019Txst3Tdb63+zOyuTINZ89eiVrNJPdmVJLyA1Vo4t2KZlJR/alAU67IbWmZH5Wu59MYzm
WeNMXyOrJfphGinKx2Zp+UPs5AjeC/SfdbMvu7lsd2nvMtd3LnVhXDD6h46cmd3MKh8iujgocPKB
hNLVcBt26KUZIAis7cHClOsHWCTaU5Y3DEBY1fqA2WFrFxyNG0yoMyfy/lnDbdlFhYfaM2o1NbWh
YMRWXRxqhIXlwxww81u+0ZhByXdkxzU9h0Fb9LsBC8xHp2ZX9Xjv/Y6OxZ/j5v9uX9P/VY4l5rv/
vhPfdRn/gRX8j734z5/7qxeP/UhHkrHZVTeK1d+blow/GHaB1TKZ3f+tCS/417813YX+B64khH2+
iZ7QcW3vv+JO+ueJuW9vvXZ8TnABUbX+c/zUoPfgB8c0YX5Yrle9aJeDgCucBRax58ZOT9L2BwyB
5kdNjPl/wMcwXPjHfj86BJtYGpyvjhA+yqltHvB3/X5a0Y2tSGs4FZLUdjdRa6SZHe/lWiC2s/tU
B/5sw6rAq8MmaDQLweJjZZYowavlZY03BgMOBJOOvYJwH/jGwlBTxUif6CCqnUtuwdtaq3Y1g05m
w3qJM3cZeC9rcy8wAF19N9GPfEoW2CUFBn0b03L85UqPKXlDwF3UpsLH6YM85AlbiBu2MgZePk0M
I10+by3S5eCirDlX9sz35pRzecfHhPdLOln9TsraGiEOVeAdGEcuiJXZbFKL8/wxX+pkaL8YUAO0
s8cJz+B8yl36OSYicaLJdzlZ62OcZPtiSOaWbS7V7LdU97H9Y4nx+/RS9YLBfzBxnp4eGtOFHekm
3pTcVl9Lvagi6SN5IgHTQV+iisYCgV5g0zY7emY7LdUFKcvW9icTI/Xdb3Or6vJA2xQ1jaaoMpwl
ZdWMjQ47izF5q/DgeDgGoVBB4cS6i1eqTD6KdUnuR3ep9pW+5nSn3aWpA3pV3rd1mHuNFXma94y7
3cPgrLue/7VN/tsftmzGm8uRtQuVnohjjr6CGgCY0BRDWGkJgvD8/FC0hX5FvMUY2Y/qdvQkuFaH
vY4TSWM19QMZtyYPTO3qmLKJYdcWP34cnWV+YSNV3/QUGrubl2kosN2EfabsX1o5yycUPNB3/Lkh
xFrzo7Q0MpKAffEmbdo2ExPSXea25Snzy/5sxbh7DSN/SvHhP44zMnwU4GSJgSw4aMbkcPgoT7O/
PLsstFussd992JURPxUkvOxmKvSTSkjQ06e+uKDXo22OqSbEjpVzGnfKoNGM9JDMlf/DSRT9z5bk
vIcRK897MrL1cwBZ9Ju/eGxOvTS0M+xqfmrRS/2x7eiRTw20OGHmz1KrzTfHSeokNC31IwM18+p4
vFQWeKiI44R1SiiraZDPxakV068YZO37Sudy79ck7gasCf077cW9XBlnG+lkBaqeLqOV2vc5qIpI
jCvoAQf3+7FlEH7C/ONc48olld0cvJvhlhNHxqk/+VLlJzy3PhVG1T13uPvuxWRXRyUKcZkwsN1w
zTBTS2obAHtq3CDsyG9Nmco37mh+mOdBXIZqzY9DWdY3BSv4Rw14Y8uQT9xz1or1obH7kaIKcSfu
GGMM4tpzOdH0DLo1jZa9JubsSuytePRX3QEJwCtxzOc2ZnTgZdm5pPC9H2iI3I2tyL4i4ZjHQCyT
fq3VmF37VDXPA+iCL0BG6zMOrXKvzZn/RjdVvraj0196u4JBSqNckn7srmZkFGlB2rAfn6ANT4d+
JVVal74Xtc1o/7ZHECkImpavszQJhfK1U6nq4tTb8RXbU7mDUaQH0+f4rExOpl9fFltfaKkKDsbW
8HMoJyQKijQkHaVdUNpUa4bRjYc2K93ITIlxX2en+ahje7jozZRFuQWKwimt6VFWlL0psQXHqh3E
I5Lg5dsAtegH7sXxkS8kvp9RoXxlAmCAZZmKHe9Jv6uKWR4nnKeH2pIOSKqhUi8Q83N0QQZvi7ah
4l1V/xQaE4/VK+hezLEu9rMzW0FTtP2Da6DOpDO6ENpsjmngUcr/Xs2UEY6OV5NHmUKKhsdzPavx
CtrroaZPeTMrM/lmerz/q+030SwW5A/6kulXJ1P61e+Vf9OY3D0u8ziwUZDIdVdVG84nn+/zZqjz
wOBFRZqeQNygwUwm+tRzaEYCdK4rShqMAACYBlFeh4ZWkStYaui24vtE8GA2lvHFWRiuhTqYxrBr
nOUHvjuiyyfNazMOvFIeO3BFH0wqGepJdWYvQejcVOZ3Scl+yjsbZSmZFM9GK7unhMTqG7ovGmkD
krQA0mzz0pWDT6vZXa8jB9P3uhoYERvG9JRnFd1E3h73rpym5edCx28JEShBOSrt6awlxXiIO2O8
jX0rzmZubl6fpnmdoPc8zDb1x2IhMxHZnD6ys9Vvjj9UH15fur8XhEYMWvoOk6Wf/KT7Ifd40+jj
wTKa4KlclrmzdzBCexqNfM7Q1zoqBZK8p0Dv8vG9BgmT46rE0xo6q4Y+JLWaV7I++n3l4suCgZ3F
oe1I9bu00D5B0W6+eknpOHurSooPkSTeoWzm+DoYsXcZvRKsyLy2p9T3aIkr2DSLyf5GN6/Pb72l
+/fSK7qrMpZ+P5Byc24qDTJOj8ZFWopeee5SyY7l8BUWNaqlmr4yo0ONGX0npuGxTjrvbtX85Zcu
hnzYeFBs1xDlkks+9dpzmtrOGzwPlh7FcIczNzmV26JNcNO6xkQy6F51zxxV3MDNE6BJJPNOefli
BDK2vYPb06DjmZgyyDG+hgfYIFJprlzvXSFNj/RMvGM+qa5aUtpfPBrhSHxmcTf1vsUyuJgPCOf0
MInL63YDMd0I47D2AzSdMtv5sjGvIIjkKTHhKbRpWT1UiSleXK8f97Or0UJuKvugOZImJsrgPTpE
E6tYRt5mJWpswHr36NqJ9aNP27wPjL5ed8M0+l8MG0FC2XRmpKNlegael1rUqrX1oOImBhYyzv5j
npTuAcloFU66uPPiduK2F5aOioL2rOXMZ783vT1as+YXoCazB1JDGzruG/fI4KsmNrJbwjJeuod6
zWuyyOrmCKXQPM5ESoSrzWhnmlZ/PcRG637lLGA+z8KXgGts4f72Cm14KyrPjmJVf7Ob3N1r0n8U
ZttJrk/vOXcA5QNwM9FLkb2E61O32slBdoG5mpZtzKbdrD+yui1AkmbxdDaHeWdXbG9EuSQ8mhbl
lFT2Q8zZNDJI/7kMjrIkU+3WlTtBJKVkyGcNN5EMDUV3+wrBuLjHj2vVYcyo6sB+V0YjMBo6BJRl
Wma4R7PKvXvXcGd2BTd744Dm0G2WNNObJT4OtYyZYCvfDFyjNdTJzhMj5MnGFEiAcxq21ixtLFEV
x9exw61IqffktG0aTKuYTo6+4GVUDcPRHJEyD4fv0lZdU7qfyjwonWUF4Q2H6ZmTahn0pj59GfU8
edFVlb9YJmdAC7GCFTLmau5r1fuXVW15v4kdn3S3RsOSACFAZ1Gxg9Gujk/gPugUYaWUZ9kj72CU
Z2QDR0y/OlJ3Jt0vAbaw8/FgoqRHpiAa7y4ebbVDIdae7ZzJMVZ5caVBu9z8hiawrzJoHEkzn9Ny
WvcJB/9vKx12aTnPiQOwaTCzG74Cg6u0zoVyje8ZAmR6LHD3mxgpReAWOFvW0TwtJFEG45SKXTNo
3b4W63ubLrRNtEevppnop6OzyzHF00ZnMlT15XTQAYWHCibXTIlwyXKj2OckBXFbRDSAsAmpkoed
yDncaHl2P1qZuHa29WZ0DETnsR+CRKl8p5RHH7LI+WKKiTlEQWsCbVYdoBYsz0zMBbM/L0qTcjkz
8LhPF8t8FS121dCbqyLUnbKNDHxW4arNOOnVIHZrtVD/kz7t0rwJ1kyKt0UzZ5qeCCIKwH9+bLv3
s5OqsHZKtJY8fu8a8Q149+NnOATOsQbZd6Z5rl/TIs92YzJZ4eq1bHNdmp2y2sV22fVriKreDhdr
mIK66pNbiYc+8pVc7m2di5Nevs/WvqBOqNueRiQKj7+rmP835Il/LUsdE8EHM0O4Gf8aMZLGtC6y
wctOsugo67TZZTSyeqzS9qCcL5ZeUpFylirZsnX1Hwwa/ySRpyp1IOWbxDF7NkFHG5/k76tSVGRM
YdY6Oxlz1f5YJdk/dZanENp89fTvr/OfDAzbryK/jP9u1e+/+gIzVFgOgAZ+VW025Z53ZMEPviTV
r3//e/6Fz779IoT4G3EfIIrzzymTqloWVDBuchpqetYYiKyTM8zmPi+z/qFpFTaN0U+ZyC9W8V5v
uCZWlSS9J2NzK66Z6ZX7z4/0390Z+n+PeMMjBY3r/6zkRC3dp/8jfG+rPCv/Uc7554/+rYXk2n8g
yXSI2nNo4piAb/6XnNOz/hDmpvDUEUhuLxHv11+dJOcPhq0Gj7anCzK5HX7qr86S+IM/ChUHnaet
Q80R/5XOkvsvcGDfwCINQprXycOh4/6TIcJVoHjbvJNHFnssWIa/FcFrlyCzNscWcGY/1nqFmtBN
mdnSU7ZOpVlCRHPWDlu6OdEnjcQ6F2pf2VXSHLW8MtAw1DBE9IBU0e5nkdne3RLj3GWdgntp5+B7
LeYsnBihozCbFacxMxCDTzDq8kDlrJzkcnh3QFuqt7LzAN3qK0JpBExgFabS8O6M1LTeKeCNWwE2
lzC4MnGcYAAoXh/M3E1bku217Uc+NfhKZsuD2fT+64D9kV5wvVnCEerNT8Ru+K9FZsxPLV3/U6w2
u4WoZxdlvFmqipZRW3m04d3uZ+fpMGnKAkX5J2jHKD+hEhZ4FxCKNKPUBvAMasRsnGjNBOuQIYxn
eowgWjadflVpw1GMqXhZJ29+KAX2kk7oOEjoDhu3P1lBvNnx65/gDugleEJcX6JbrP21+ylbAvP+
BqMgYOhNxBulZRYtf8yaDXxClW2/Lwk/FwwJH8A2Jj7thBrgQRfAaWScsnMNAvB74PgzV21tlidP
CdwoUufagQBC0Bg4N94ci6F0iav8JpQm7zhNGEynMsQNcTaeRIUjA2APP/OnxZ75E/7vYi444/Nc
8w3/eUNzPcGwksAAfTWH7Q6PC4AfbmnXfQOICB5kYsEzdjP+imJHuaKyR60wuYSKeQdi/THln16X
Y5vAVoBDbQI+wPDx090wgUKxQ+LOkg0JWtgoZ1SR6l9bp0OinxerxhR2Wn+n8YYg0cfSf13y6alf
Ozta6M1YIfpc5K5mJx/pEfoWdU2joX0rzOeS5MW3refHU1vwoCtECXFER5C/aY1N/ummgPn5JDxE
vS7AFn1iftx+5GngtMud9UUP0+iT7YNJDqMJ6IfNmZ90PHwaCPddPJq8eng8+p/sDlhjOB9DEqFP
NO1cf+YGVzWSbEQGSYfCRtacR0pGY1mofMZ5e0KZeN4MXsu7qiYrmWhF2NyaHHHlLJPgc2frgD+p
UHCEhY6SCflVwRMTGwNOmNniV5bUhBibt+dk8fHyD9st8gRjp8KmFPWMjr+sb/TsABUARImFO3cZ
R39fW0b9xnQvfv18hDMNrM2iIEdX28sut4c0dsAyTWhYhvDTM/fpOiygE1+sFPdFtKEGaIj5fJGb
m0GEde7xwAwcoy956WxPwPZKgIbPDigk+PKQPXGzN8catLzmT5deY9cYHpwBXrM1VTEcfH2kcdRB
ag1kA403h/5EEV3hoVtNL2OQb09jAGqHy9Hx1vxJSGr0DZlFCDQPmAafE6EiEi/0JJbxPJo9V42z
yAxwcAooGuDrpir379YGiUhAIBOPRIVsEm0PPQeEAG6Xigf6p/hntLZbWE9hGu10jIdHHC06DV/p
39nwx3ZiSpGyAmXmegWJtFO0Aj1P9+gKecPMtti4NoIVqzCrKX1aurm+JhKjdrYADxcL7/InC9Yr
FWCdAlghAwJqvpNSeLhlT4Wm67Hx3MOP5htEBvxU86AjzKZv9qb0uDn6Rpcc4j6FtrSxbAAlwtzx
UtmuXzqsitZxHlgixcoFz2pDaWu+yY3KkZk9xzpDxXNSuWjJRVmAbSpiyVhZh9Q7WCZGG5TiLcnW
m701w0y/J5COZyr2LB5wDHjc1rYDuKXDXEAOUBrGM9QQEEY2na+dahHqBQVNN4q9rgcFsREnJpoG
Dj3uxrhlG9ioKAw+jyxg/e5Hf3ty0KVUy9mSLX+9mcTdz0RBAs1Sm6ebts0zDFD/FaWOIS/Iltvj
YLh6E30+85Zp8UN6zzWjS9me/4EkwduQjZgVAelwnfq2jYyT0fSPkPKxgumQnukId723y1OxPY/+
ggupbjxgT2Kz7P+5pEEzy4odXlUeJbJ42uEkva6BSEkjr93/T/bOZEtu48zCr9IvAJ0IzNgmEjln
zfMGh2SRmOcx8PT9gZK6Jblbtvfe+NiWiqxCISP+4d7v1lKTd6bNpyvPMy/1h4nHawAt+vmJK0bX
fJlKXF3+3FhtvPt5soLGwHg2xW7zIhPECS9TBPbm1fqJ68rN9ZSSI25pM+6tL94K00gHKPwyHnT4
ReVnGc/esa3r9TJgSMDlzEqD0QSt1820WBxkOfXD4LuVW0OcjZnCx7e6itWB48copi0oeUqITYSi
SYI1W7xzUXY98wgnnKFudYmX3y9p/j0VSe64Pi139MJVir+ytwp+RaXgU5MNM2ctn0kWshwxYNQn
3Up9o2ntz6osXqpIticvJK982ih3mqlDjPZJN11G2+tFhPQ3fwLNVqMQHdw7WToi5LM7Ggx0EeSj
ve5vLAE+jASgCDdEFD8nTmMxvCrDj6bXsb1WzaWD2Oq3veMLh7k4JPNCFtp06Ht17OKhRkDstUW4
Mt8q3/P617IZUPt0zU6zHe+uNkfU3KieddMSr8rOa21FX7GJOUpZFZyqK1ecVDKwwmLQSWSoMS/a
+oLWu+sxttiNmfp1pRcHKZso3iRmjZ7ZzIxdVuoj62Y2XmJAG2BheEHQ6ExqRGVeI3BQNlqog8dr
SUQqe25AyU7sQYw1l1t37p1Tl3pccwCzD8msIZ0rJvlskkF61ehmb5Mlc0+OHvL2SvBnduxWQeSm
NQT0eoYEkDnDGTmZuDrQBkHvatb8BYZn+qyc4hnvXJNf8qYz75sM9brWkz3gm0vr7dzRGGEyt97X
2GWQ2U0MUBZesqBBzIsmR7UIdVPvIMZm3Kq5R/fpwoj3TTNdEfJdenXbOFVXnpf9iYuv3C0ka3CP
JwIk4PRMkirGG5ZAeyecPsDlw5VLna9MKNRDbKlyK5Hy7YzMAfTWW+19x86U8qe0A2su5m/poD9p
OGsYSnXd1U3i5Z5lmeVXzlDsYGCZ+9AbnUvtJWYQNd1T4w1oflqbyijoiqa64n3kiEIyB3sxroOI
uuE0FK086V2rsbmsumPmDealMhgZ8tDKYMwa6xG9boU+oHEDDYkpahdbw+VQZHdmk4Lcck/akslb
LgFFyYdYBPurfczRd95HKNiM0igPukZasbveEIbC7DBH+AJY1zItgenw3oUszdK69a5Lat0PCY4G
9mHiAZi/e6lIp3zWZ127EMOWowcFj82citr1az/mHnWJri+nfi4bphd99ZauYwb2CURX8H7r2ZPe
hu4B3bJ2I1hGYnSVDhNWk0AQlIhQ4Iojgmjni5YVb7PWZIz3Uf36Y9t2Ow3DDh4xZxKoo/thL8Is
9i03a3wO/2i7MFfDDhT3x7G0PmtMnIHOPtKXtcjX00oeVdoaX8IW/cY2rLr5DTwbdCCtpRJMRLlV
ULqDvmEeBVtc3nDyt0WQVJJQjER3DqKbjT0ifLXtdIV5YUJ3fYkHzZGb2oDwP3CQuC3PrrfEA8rn
XDJgy1tFLY4qLH1IQjmjAEwLMz84SzdGnxz+0S5O9WYLMKJGNTqiBY1i0qLYfRvhnqQljYOpTWyC
oofpRcs63eXaA4KB1lbGWxRBdCBxEzgk+1yTjs9FYvTTC8rV/Liw4d2gL852C+F3AVsn/mfqJDtb
z8XzFM0urziOaFM7JdZa+HGQwg77hjEwukRNcROPffe6mkbORete7azEUkA18FgMunjDYGC3GyTR
YX/KmkYhJ7frQRyLDEPTSWvkomM2MVJvZ3jG0ExBCgR13KCTNMLbkKQlqtmxog2xksp9D5ucQz1M
06lWHN+K5RrYuXYx9k6KgsDy9RyPFikGmpgilPtiMN7duODWXZ1ZNjpu14h2wN+t4tyIlv8/Y1+N
zMEqsO+OrQ6A0BqoQeOfLJ5y6ihE7NHkbkqaOlcnIZf5QSEqfKIWBZzYIANgd0V99oeO//+Yfxlr
b/xHkgHLUgtwEyAbV9riJ532jzMoZxRMp9smPtR2xIUZVZSCLCqmqXVmDmmjKx9rFHPmUVXcoqyW
qy47jaY+PgzmiF4hHifvRQhF8c7Gl3Je9lTVP8lWBOBSTSQRFPM8ZLy8adfWs/RA4281JFbclE47
I6BjTvH5a42cFEAfh2VtSkpVw7IIE+QYY7rMd+u18iVZMR/l0rlZBoempiD7+8eh/4XpgzjJduCO
YfdBM0MO8Dov/INQJJZak6jR0fZGbPEr0asFo7g7rJVXOfPd8x56Fxw/o/ZY6gu93FzEfFsKxcfj
7Nk8rchY2S/W8jOLyeS/8rD4zxnZZIQBjwrX0Gt+vgmt5AwPkHyZQxXRkPsJIukoiNBzH35lP+Jj
p5e0MzUizqY++fz7H/YfZ3XSQo5jObhthWAf8BdVzOhFiWZobo6BZcS95al56DAAZjWlDkFQ/Mh1
gWlw7povSPXVQ9MzYfiJh02quX0oyuafPP5/yDRd30ZhmMh0TAdj7s/v+A+PX7MabRm47RGSggrY
2BrUg55B0kvHYIaHAICCJ6cDFEJpZBzrNQqtnPDx7SVzeeymXb12TrQjf/+o/mFMLHHkgLVhzqQ7
TJv+8loMcZgndZ+kh7BC7bktqgqA5WIuQ/dmqgWIj1l4FO1VacEl2+DB+mfYp//jd2W64PUZdRFs
wXexDnj/8GSm2JbVovfRwZo9F+lu2UXJdvBkqN9IZuoRPVlY7xMjiSMMq+FSBjVe1Zuo7OWTKwZ5
Y1YZzde//Vg8QpDQm9mM//5B1FUaQ1jFqRkdSm3NMpkpkoM1HMGjcYEX2Cc6DcJQgLrYamNUv//9
3/5XPNX6MPjr4Wq7Np0qRKw/P5NSORkb0YVnoiCNHVJkW+zfu8YtUn4hsbIwcRmTazxlTqgd5dql
/sqzHlHy6LemrcYMvggMgvjQr4OmuonK9MdPSOxUrjjXn9/wfybR/4wpgD+es+VvJtHfp/+6fp+T
b9WfhIy/ftlvU2gas1/gNIK7IbiSWPI/QAWk8H4RFnR1lg6/ktn/dwrt8EWgCDwXRiFAyzUP4vcp
tGR2zYHDxwrwONyDf0vfaP1lwyKIfmAECmCPthmq+19fxiY1c4gwZXppkcGqL2Zlkitcmk5vBoKb
u/Q2xtROqTokXKGFdqyYl1ntGltSHmgWxZ79pPpsWfSiXBa15c+pGpfzTJrL96bNnW0Ciq5dGlrN
CFM1M7ScqeEjn/3FHZh6Dfj6us8cQRhAEoVr3AogEKcxfpJE6537sRpGMAa13eNxfjR+JhLaE+K8
d/AaeaI2eOkRRLYo7cvilLja5JM1o7GKLyxFYR8tlIfxxR7LpnYfY91ZVuO4gEOJuh1tN0UiMoCi
e+pQYcrARciYi9ekcfpl2Jf16Opkz4gC5gLjrgz1t2i+xRT+O6ep1Z2l5yUMbDWlfKmttOWDrF4n
uf7nA/ivQT2s9UL5/z+A1OJ8Ktq/6ojXL/pdR8xHzAMiCTOVNQubzN9Cej3rF4fU81/TC37f/Zji
F3ZP1JNYoaGrojD+30+dvX6KdfSaUvJywCr9d3Y/6C7+XL9C4EJKwE6TXROLH4J//nwHtNJOm4EB
w2mxBIY1kp7ssd+YsLvR8tvm+C6iwoGHblUPSa3Km2VCAcYNIaRfekMaSFqtx7TPFhW0+pzd0tvT
rtsawGePVnz2EuNEbpmEWJDQp1kumD/WlJ6JnyTDMqhiKz6P+VRdRAR1ZFPp+YX0oezOqQx3Xwgv
3odO6OzNDFGRHxVauO3YLO+XJG6PGZXQdehW1wYRtppvDGC0GGe4+tmZq+kjK2yFhAH6tm/EA4Fd
2mpCKqvwoWpM0o4SbZqPg/iaZUv1BYexe10yI0SqM7s9agxGvhNUkR0jc/t2CmcXtJXt5cJnJSWO
WGjNQ9bq2jcKqOaHUyferZGWTKHCov0ezXrY+HFRy7skrgey/oz2wezM6cQAhbGJYklf+EaqMwur
MLtaDL4AFxi04FDmbyJRRueuXrRvCB6JOiHGCxrT0pRHlTRvIzrYh3RayeuxOz7Hdd8/MoOacStq
S/t1Rdq/YTDIUHJa2NeQl6YDrngPmqJbwruEWrbRRYJwy/IyBxOgbL804LpYV5jTK0t3DCpDmX/N
k74/eEvS7ySCuG+LGPJLItpbbYmsU9b29akNl+Vch/nol5bT7ZzZ7fRty4CeaZEadBpfPcreMNDi
zecpDfxphdahajbys5JOSJhoYfODzh5+HRkOF0nvekgtEe/JvMqfgNXGr1mfIJVApG0wkZyrKijQ
+kk8xaAKsd8bGQxz3j3oF+ZwHUx2ZP5QCYOEU0nYRLxQCeeREp0/dWWMjsRAWwPgf/qRpPqA+mNe
eY5lDhOrTuPyLgHNvzFxFl6itlq21qKIWWvd4lqTMHrRNUMi6SsmLO6ISrG8IEiKXggspYv3kC1+
bebJrBHhWlgIc0yVpJ8Wh6VeGP/jH8PS5ZbyBjC5dx+FKvYnVwvquMAjrMat3Vo3Se6N30rHyI6i
xYnOnkuLt2M3KGy/8Xym+7c7sFN9+exVafimFXaknYB8NGnglY78BCnQDZtYTMPDuLAFCUaVyfce
5Tz+MMaU93Iom48W0prv1ZP8kuEbx/2mevXQATp3DyY+v45uE3FQojPv8AoDWSg7AZJ3hlAaL8Yo
Yvry2PyKd1CUG4TpKvKdFuVvHZXuR+oI55pZsxKIrDPvaQF4AAaA6Rp4HbAH+ZbNV8VWoSy+wBXz
nvEAfGUUUG/tujVI7rTVd6tuoeV0TEvLIHTD8i2Nhk6ywEkx6SD4bN97B7co86O0Prph1W/xyCN9
6rEyXGJ9xv7at/f0kizzmoTPM4YeVh4IKgIX6J2P+w6R4Dh0uM/rZGsyFwmWqW9OWSWdkyU6rlMj
Tl2eAzraahg40Zi6Ob7m1WI/5mbyoI+ata8Skc1bzetDk1ixVrzrWcxyyeQwHXVRK98riyRFaljn
x0gZzQ2+euB6XmUw63ETkwfrFOkrQZONYjbdG0CG8Escw2iGYEEZUX+g1wchbkKxPJC4FzFKEaq7
NRkrfqssh86zk+mIFFFpHC4L4X0Vc1T6UdMcd5obNx/2pKbvTR5P78os5dVAS1cE/dS5amNYqg19
LzQapE1emG1dnUm0HU8haQEM3n0p6sco6+otqpoJZkSbEGGRNVu7dE5mrXpSKkvE/3GXo1JKwmOa
cWxW0mz2syie0E0O+65FhJVgbsEG3QKsJxRBlfBPRjtoxLx8LsY4s8GUdrOtjAHVfRUzvQLLm94y
M8jH4WzmjV32MF+mOnldNNr9g2L9mIk3V2WIJjdxa8i+fxuASqW34YxaXPdS+1amLK8WmbcPdpGL
B4aT0R3H4owyK1uOqKpesLyVDw3w0odBdqG+EQlbzAlo/JsBeA/POfL4UwzQ8MUlVpRDauJj5RI3
d8f0vbijMkYnGxXWalUwYUXCZcGuC00BVA/HNrcdIw6V3DCsGuAaOAx1ja4oblJP8O3amcYmK8fP
2YGB5KPu4V+XbWdfyCOxbyH96FfLKkMMoUsfPppuax/TJJuesIW5IANHjHbGoqlb0mOHYt9rTQXp
UYU3XlXXj8BrnGPED/4NxgeZiqq19nPPnmIOm+UDneRMNiQTg0Mkc4a1psKdDQIqaPpwIPLB4jwa
Ermc9X5xjnGCNLaY0rsmH9qN1ejGbVjBgOKQzcKHaQlXAIp+becqqvxyMddcyaG6i4gJ2a/P86mt
Znnx0gWTgqk5+7RptVvWkiPeWH2C0uUt8WfYk6bCUmLSNm0zk6xkiV6dFPL2e5aM095Tnncc2Vi/
tCFblFGy6efzZDMbH6oWyYYDkqSbIqbTi1JiCwcsxhhreM39ZIgCv0tqeD4BJjJgPiUOaZObt5hW
w+vCkv3YcTGyaNanG9Qt30TF9FR2hl5trM5q3hLoAB9iCrNjV2n1Hnyt5iKk5Kjh9Yu5pM3csNaR
qrNLxjS7A6oyfdSOM22zXtrvepW4LMtKPnnxemiy4tST/TJNhPe2ra5Xj6Xy3giRWfeWMUIcAhua
QfqidPUYJf7kvSdamD3Ccu2aO5tlWnegcWNhuNh2ZpFWIxtx0W2s4ehEZCkakn7ipF7RXzz5Sl/U
Y9tE25l5gNoZse3sEAo4fkzqSOin0XTPThucUo8UqDgMvRa/WbVhJV90epbSV3omrKCdgGTRO9mr
o/Eq5YyScl9FhDUPJ15ZvQUwM7Ku77404fJO2Tu/QoAqv6XjrL94/eA8sc2qT2hanprSUUFhNMXR
abradwbCNZ1qfrDz5Z0D8IeZxF/S3n53mPF9peejgjBbNmOdNbw7npYebMfN7xqZB5NZaBd+Oagj
2ho5CnzRH8ZijWhn64ZJJ7GjLkEbQ0KqIdLMe8OaMuUPgxk3m7qFb/Lk2kMboEZY7mP0zKsEYbIK
bfOf7ulf654clzy3v+meqrL/8hcFnfz5Nf8zuzB/Ebpho3hbcyBWwdvv/RNd0i/CxPzO+EIKBMS0
Sr8p6ExaLiH4R9C0IZQgT/2fLspEd7dO7R26K6IDCMv4d7ootHd/6aIIrbMlbblhEL3hIuT7cxdV
Y1TXQ4q5WwfgA0WKVrAbhCBt+VbD/PngkHNV4jyPYta+iYFoQydHki1X/NmFoLiwAhZ67bsibuZj
vDSYzvGQ2N+Wlh1HUSauuTGLWl0qMBP5a7KYzaXqFvGZGtHsbeSQsYliOeGotQgajX2i2dWz0/eO
fuwabxxPUGHa6doiNw5icLWUTYARAPHZ2bVG8+rLIew3WP8vYlB1siEcLMKPXS76tlHtB8MRsohA
GBzNccbbpFJim5lE44ZWRGztPBf1aYCNEo+9acfJNQd4fMSx4Ry0dmiPY1WkeJmTckYioe11dq3b
Svdep5IVXKzlPQSVqFq/KzBJr7PFcYBSCIQTE/7Yk/jaVlaRlLAOyHXcDlWe4lgC221xxZboXlHs
t52/cDwucsNvnqcsloHWS08shB9Ld9fVU2qfJ+lY33gi6pyRbBy2T4tdL0cynjrNPDttNGdB2rL/
Myd7rvety+omYDs6XSvGU8m66MM7IkW5g7RVjOQIm3HcG4cUuw7ocGRC9Tg4Z5yUJNosvqR61XFT
xtmQcsV7UUuozlEWUMdGDCxeCm+OGxc++0+qsePU21pHoj6iGX3oEArdwYnR5k+q+jr94YEL+qFC
gX3nRi87q5CPqB3kjgN/xU8DPnbe6imHdcSOZbxMyNtPNtwqHlSbhTGAlCE9JkA0jKDNs3sK6zYQ
iCzgAGXTbafgZq2Jt7yWUES2ih0LYXJSntw0QwAQiWW3JEm2z6r4Vibslnp7MBOWnLm+TTzMLX7e
9NHJdSnLfdPgaft66oYHLI/gB3JDWcdiFu2O87X7Uul1/k3vG2mgVu9soB/N6pR0QxfWTc9ad1N2
njx1LD83phHliPNhLB3McvhgXj72/sJ48E7jCVo0YXX0EbWmOJNrX+wgfmr70TAhRvLXXfGp1nu5
yPm+RIu2QmOoKk0ZOvjt3YlsZF1k5xXWNrEX6cCuZHZ5HCdBG0Z2OAVRn5sXCNvLiSoMaEIqWPIP
3EytAYhSQB9DRHJjxwwltoNpX1h2E3E3Z+EHNYG3I8ZupKs0zCBrsvKEsqh+hvx9Y5WOdb++2bc4
dsWWiQCLokayoqeh5NLufdeoLbxhIFJ4ArX4UUklbisri96iOiEzqTGJ2Rozoshz6AYqsaN9mo7Z
nsyVcAP/rPvUJ6jmtd16jxHqyI1NyOPFzZyXRRe3pZHC7oTKdWGrYSGbb+i60256tRqEZYg85glG
m6G/M7zEtDgQyLcqSIXxYOvmEEjCtn5oDitbv+dp7LIl7Y9Dn38j18ADbopHdasNqvE22Wibj7Ux
IeSAQld9M10VPUF5igRO8Nb6CrYo2ZcwOfkzau2IwZRUMKNmxjSMOdoBaGarPNl3CdEOCHpDaFxG
7mG27BAFbwm4ZrDhmyCZkbzoQ5+cpRcPTximQEjwfJ66ubnntYb0pauLh77Ot7LQO2hOXBMObjTO
yW01IrY8M3c/Z7uM77zcTQ5jWJWfzLa8bS4ofTY1zGQ7UJWJWEHIY2inDz1r9KOid9lmvN2PUqvq
AvWI0vHCGaE/9UAzBHMKNVtgNB2nIdaezIsNbkHjo8ojBM7IDbbzJM10S+aQ9U7isLc1ZL08VAzO
fNrJ6RV6EmYKI62uel4z6Rid+Zs2l8D8dKP/EUHkwQXTLEGVxx0EeN1406FW3i6ScdQ4u8udKq1q
J/Oov9MhsJxDbRKPDrv4zMcPlTW7quqioKsa8QUueLs156F6SE2t6tGNxnBuwZVvTNw9P8CyiEM5
ls67QUegbRderWDhyPFjsnntDUKqaVtWnPzuxNjDcUf7qjdL5POJNLAsSf2ZwIn67E5WfKq8tqZ4
g8yCoJRGUHmx+o42on+0QBmmfqOH8bYTCk1KLAFVIWJB3ioxCy2tUoMPMf17UYCaxPvBasDSqyvs
x9TXkIldCF6c7nNHC3BBetdm1C1EgCqJw6Nha9k1FrLZSuYlH3k3IodGn3p1alc9ikl2GD3t2Hsw
vZlRoYv1tJrDBGthaE7+GCfith3r7LXAhPgauWV7B7cnfKmzMDkPMzlwMdb7Z9maKohFle4VHI8g
RK66QVpFhh5qQqBUtHWiP5b5MgLIdIZnE4OAQuLVlVsNh6NvW2ZFaxyLuwY7vxE4zDdO5aQxAS2y
SZ0tZocZOeiIp9zKNHiO/fRmzgB4rBE6KDRMbGgALpeTTKT9TefP1/wqLJM7wpgmsCbCe1WLBZLS
XLjo3ZLB3qaLOrQkSWZfHJAZT6EzttFGQ1XM7iJkULFFancZmqrd4YVH9v+f4vhfKY4NVq/Upf9/
cfz6vev/C1YxqbbJn0wmv33l7yYT5xdWCzbLXEncFhIA/tDfVgyu/ott6WwKsEgx6v+5ffi9RGbR
AO5SOC75yayBVwnD7+s95xdJKAjdqs1mbo1f/ndKZCruP5fIbN9t0CXIABy5rp1/LqP/sICPlEmq
Qkp4ZEea4JkZqMUlz8rtDMHZBAHXU8NkODMeOqltiO9jC5fMsOGEnA5Z3Gqc/qC6dy2pfo+ey7/j
kUL5wmAv37MejACogXM8V7PV7Aa76DN8n7F17MLFAYqZDiGyPI2ybuO5Vg6TL7Ps7eixHUAxPh+a
0DyVaLJG7IlRu4kKN3rmjkO1NFrreMxOEUhNL4xqQnQ6YQfSpB8Xnx9J0etrDBrMdLiPIDie+qpM
4NCWHYnlFEfjWpU2Dxb67AtfgiysFQ4lQaXdJ2GddltwUtOhNRAQLpMqN3NniNelbcczDk71FNbK
2Km2i+90KHfNxlvWnxxcbRfohY08jCCOHewZrpV4UsVjFFvWTjfm2k87/jHTKXmmzHiussraRG4/
Xl1TIcXM8YhzEm0jNFu01InZP2Z16tyFlQQzQGgT2A8buTvKx4GfOHe1BSZzSBIl9ohAr0fYKKrJ
t3zPGQOtnpKvYvSia+C/w9l4HbKsPsgkvjhMlfZyiG8jciH6ra6EmW+dMdaBl4GqKPNoMS89FFR0
uyXlsIsIfBMWrB1QNz+bnUrTDfWODLRRb30zVUaxabvS4vdhDZfF1Q99Kt4Z5FvbgZ8lyML+JSyV
OHlT+6wyhQ8U6sbHujk+yRg4cKHceGtlIJ1lb22xjEYPnYmKktl8lV9RUTY34EcwHHt5ETvc+5VN
PEZn32UGuyctdsb3sA0BGDRVGliRPV+wIH7vdSNiCKUWG5RAEsGoT7vT7KHZSm1UmmQwX3I7C9FP
2+F2KLXwnnTpN4bgpW/1TnaMcTvDtetFPt7PRGM0X1rc5kybmoEtxSjv7aK2zmnUGI8Z7c1Ws8rh
YnXwDeCFFTyyqS7a66CLjwl7yg1QES3QJ/HdLIsPZ5qqzofx1hzH1BwIioBMh0QY9FfRKvede3t4
WjRwK0Qj5ZShYb6CfYah4H4YrHQHAp/w4RyiwUccLZXYSjUkddBpDbdltjZMC7/lwHLQ7CZlNwqW
5QtodC6wS93QhANTVlBeav1usuT70nnvAoBVSwIdadyigKdrJ7VHvRM37R7LtL4XkW6/Iop/QpXz
XegDVMKUrJqgNV0oQDm6pds4Z8vCnI6wi9jWDxFnzgN/AjJro4tvMAqfkb5MRBsC4uZlNmMyyKNu
0q+d1y3R3g3xV/hDW78XiVYPDwDuQXwLNivaEN6NQ1nRlGT1VSFb3nbrGnAQ3l6ZRoyZYhmbex0D
CXMy8KdMFKEFnTNiejMytusy38yisrAbG2HgGFV8jGnUgqamm7EdTdtKBJ2vZlsoa9MvZCg42iEi
YXcPmgBpkq1rOytEzu0JNe3INE82EXmNb7Nl0N+nzXR2E2dnloTyrJapAVeUiXG7Rd2Lr4usATuD
FzNRm7tjZlIHFA17AYOEn2Go96OJu36URXQFtoj4ckiX5anJhXW0ere9zqLXsA1s4yE/49iNtkXe
IQpKosoNCHIodml9htbzprMT3VZtpx/nJVwCi3/rDBWvusrcaJKNBcSBUK2q0cXWWnEAx8weXU6q
trk3vNZ4wvYY+7YN6Ca2gNb4ql7UPtTg0qD+zbJ3CG8DbjZnOlsmkHgOiI+c1o2R9xDPaBe9dqdb
NiaEZbzJl0j9IGMaN9joOLsYYkKO9pKt6xx23xgPs61wYsztsV1KBg+C7UpBCm5Vhe0lyYcPLhYo
Tn0Oinpp2FWscsuF4eE02T5FZv8NW5WRY3hyuotZhN5ujORjhCH6YGgFggzh1H5buumemrPYxIy4
O8xalKueG5ROpXxZauNBb0txFMqRsGGy+GhP5hwwwxRnu0cCzY3tUlkJHdib9NCtOOBV9Rxu+qLw
BESgHGqPVIGwTX4gkBlW5TRjoaLm7J0kKzXP0Jtj48li2aQwibZiNu5aCWGpmnXkzXxEr3EdJZAw
cExkGBJ8ZCne1tITeaJADXfT0JznomgCsczdp1W1M/v2GqVvnhMXZRjY3RiZHtvF++p6fXGMrPaz
8SLikbPpa1HQFgqpJFhlrhvZxke37aLDMOXGtgjdmxG6Ut9B4jAKvdy4w2jdE51eAMLrbiKVPgyi
0+6nOL2bea6ncLZABYj8JnKKZTfbGbiAOUEojMq3s3cWRNetidWJ1mgc+hW5oJ6RWKrNNPBcH5qB
zJATTalCHovQvwp0bs52oycz1n5MegrtPw4xJQI48YsISNepl8eCfk97mzp9VtCkHHfZJlYHSmbM
SgekaQaF0gycXkp1qK3k0XJAqG+XcaGU6dAn3IyZbHmtLEnINP1qtRHwyb8ruM6kUA9Lc6tXOrvc
GjPVq1EP8yvM3vnkQIg6Q8sl2khpU8+o35ltX6psPAk7mzj6c9Bk8xj3B1WIBbUQJybgcvsLc7h0
Sz0HqR0ctrGxdKd4cJchIeEH0CHTygDxybRDcBt9ghfU9l0/WXedchsQGY3cGWtSyqaA8bHJGoMH
lCkkx7GIohcTqvLWSQvSLGg7KToKwzwk7QLaWCzWsJmqQU4bbrdlWkcwBjjLoYiDXm9rOnFdDQRe
cnOJnYWwHCi+imFxdM7AZibDGKaIMkDj73bjcAT6NZwhL2tHrWlsCr9QDNkGnat3Ky0IRQAflibZ
0eZi+XK9BV+QMdjEYzXivcP/gqw6Fem9G7eoIryU3bVnQ1CqGCTDyA+JZ3CFfQAfASqqybCubNBb
O+tcTPWvued525Bp06UAVmOt4QbqbTESc2d31t5gFQYtA3uC2rgloUxNBiIHdOl4QPyLAF5L6J6N
WStuTGXjnqQCatCb47Q+mqTTv4ZhnPpRLRjARYPhZruaFSzrvqwXNHCsLDm8l8DgIZ0xr301HfYV
yrFEseE3GiLIyQTsIa/N4mDq0caTLQLcqO9tUBKMWotbKDAuXqssHgIQp9famuodhOj+MmHBOOLe
YQVd4jK/7/J2yALQ8Ss+3G4Dj18a0mzA1NscCsonuXfxh0fN/awr2zmHZlza/irmxgpFabYlVyDy
rgVCQl9XzltfGN0rWVRYlSLL3CE8gWA2W+LY6mqBr5mm9ruBDWry8W63qPYg1xa57l3zVKnvuoYm
p2+IXeE8TU7JpMlAYdV4G0cSdnycfk64Q0seu9tewASMGLbg1O0JSpCVEVj2xBwF/SpBQ4m39+Zi
wMUzjufFGSfAtNH0QETaqqibZrQ1LIgr/DBfFDaAhmFxBdQ9qfo1xaFug0ZnoFhUM4Ys2DcB7T9Z
EKNwPvVSny811oIbt1nqR7QSjuVznqc/GCV2T14p8reI9Jxoa6nUO1WKPGwSiKE612Gzc3hfz6KJ
7Htj6ScYPBCWdFR7gbYgrJWOWQcKuQa1P4MlywoHrEbgyziai3I32bW1xwkPpU78N3tnshs5km7p
V2n0ngHOQ6O7F076LMk1K6QNoQhFcJ6NRiOfvj8qMu7NTNyqrruv3CQSCcld7qTxH875DrV4i1nv
EZm2tdP0fstWK79kCUCZPK/kTY7E68whwba2SrlZPIl8B+vbtVWwrE+1jjimKmfEYkMUDguJrKKB
1kHFYOfnNqNGKXFeUEAxv0sL11mYcqfTNutG96dkE/bhVirFv1gG6pogImXtpt5udv/u//+V/t80
qUL/Wf9/8+Nb/z4Uf2n9//ihP1p/JISIt22btDD2UCy6+H1/tP6GzuLMYWeGSvdX7td/LMdWNTBC
eHp+IKX+p3Hlj84f6e3//d/f1f9KfsCjwlXR1MPf/vt/kNZ022S1GP7P/ySJ5q+dvk6Tz67JBijB
Us7hjf11GVZao4YEIZVXFgAHmaKpY7vNFMnC0TbXV9LL7BmAHgnXKdypVcdQrJIGZxU3DKvMoax8
FA81b/+6X2UQ5iqIUJ/aCLHKJMxPxYRp9cSRLNn41V4FFb2/aivkKrMIhJ/dmKv0ovhUYZCvaeKn
TYeQLBbrRqxyDWILu50u/Qo9iF7filXWgRcQhQfO0eKZ7KnpZH8qQNQqBtEpC59HPdVIp/Sb4L5M
/eq+NwWsRoQknMBISlZxids5yz2alf4e2FKMV2pVccRCbbXJwlgFvwHIuVWE0jXU1k4pKDcZ/MjH
kSiXd8+rsGQOTQxCbiHHsGOKf4tqOX3pqmKcQwaKbWQl0twFqcf2x+nSe0e5+VbqNl28ptfqCs84
U/5ueAIbhFOPBZTHAoGNUqhb7fJYi7EIdUN9K5QiCMDitCXaVmZXXVaj26xbZ3jL6oUVwOqBfyox
0Nz4k0x3mkiXU1+hIN+k7PyiUvreGptIXkSOr3gdT+RwP5ILOPJ85+WqIGIM1+5AwPlBnxrWCSkt
a60ZGXk3letvRDXNDxSeI0SFoAgFMp4LfrvhMEPYufY6fbpiIDof8F1Z76ihmxOJIOLB9c1SMQbV
ii3jI2Jn+pRnbcVI8npBALHrDE+L6ris7zTqvAcx2+IVA0/5c4am9GjKMcMRpOpLNTjajUUjRVEp
vvJZ8ZyErRswcvWrr1afyZ3ht3VUM6sFiFqQ9as72lazeoXCbhgu0NiIPVVChYEls24DXiQBzQdL
9Ltl5egKu95As6AtFs2zorzZ2mwX7tb+GIFs0AnC46nVsbPDYkeFvkGp9i5N6Z9rOIR7kv7aG7s3
6NBqHUm7uYxhOiRqpwwNJItk+XXVLrZ9KJPWxzTr4qquk/xWbymVsyJZLgWQuHaTO7H2nTABv9rE
yWAEm25ySS1C3z6eazTxeBPS9JSxV97g2MijnOTIr5lRAc9Qubpyg4Lq2B7Ga+xV6CKbtpN3vZYs
r13JshK2VqvOFMPJY8BM7eIDrmVtmuyl9FBS6oNAJcduuHAsARdOLgC3DRzZiCY7AjZTQRSaOzAB
QbVTayhyfRzSJCTER6wH/ZHn6rB60Q0gYGwA2HJTS1bPHCMtew1YpDU14BbZn7OliceSnBqgwcCS
oidB9LftSdy7VEmVXPrUNiO3c623En0l2bhEYrwMceqBWaN7f0BCYyUhrbu2XXIjPbBfqk7jgvJl
U2GujkOpdY7c1XBdL5A1yO9iBFNUNxogumfPQNQPAbyJKcq6LuYkyUD1LVXzgWFeX3dUlbq2Fq9i
yl84WRHhTdCeEzng7csNJ4iRDCSKbHMjR5KV1xiVFQobGnws0Hf4O42XfojrkUqS+rrblW6DXPsa
P4WvAPxaSQUjasdmImEYkUyzi1RZ6eOgPzCrpJx7oo3CWypWFTQRaBV3+2lpTXLzQsHIS7WRLc1i
euhzlfjf7YR9cU3CYalPzlNFOGjnbf2WWJCdNo4i/5iRORjFHnhC3/PgYrj9b4/P/8/jw2YO/9U/
3gNcADX+xd3z6wd+2wv0LzxyV60LUeGrQAaFyu/xv/3FNxi6O3gJ3M8FwH8qZIwvUJ/MdWngoer+
1NX8Hv/7X9YHOBN7y0QWaSCe+VsR8M+KAuPv038PfLhvOo5nMOsExfC3miCetARet+Mc0Y+0cWTm
SwGcuY1P1A8yZH06vASEgIKMhmtgkMF98kvRvgbgfZ+c2m9fbTcfXtiSDy+JwjHzp0/yv3DxriaH
P5t4eXemzp/PG0Rl5K52iz+bA4PR70lKDuxjLu3m3QEvfsv2rV4DCNGOd1k57xH9kizQNnDN//lr
U3P97dX9VTWEW5bizfPdz83Nn18d6Qz4qzHrkPzGX6suhjEyjVlwXQR946KIdrwrdkg0Y9balyk7
IEkUBtSbWurlw/ts4BieWaekJKircMeSyLa11eu7xr3zPhtAaMfOMV67QqO12p2ttyRikea0IeAA
vZIth+qSMpvn2DSQteh+hxiZdseLxnHh0PJH2oiNJVyFmdg1X9l8kpUGVmeDl7g5e2sPCyZtvE8J
BGFnsLa4mljbXTa+QYq+mC6Ynlp/0fpe26JCeBwBx5aQITo6SM9ta0KDcD9q6dpU92t/PeNxDgse
n5v8s/1evEkSnxoTwtimAMKrtVGvP3t2bW3fnSmP0c/T0vvEk1BX6SVjNf2z6+cLcA++Vcw70rNc
XClmBkzDZFLAuqy7X1EOd/qQZUbEiB1HV6Mz3IQb0kc+SJTtNFIP7KSlEExn3Er39MqJQmWxTisW
aCqPxtik21p403hcOeiEU5i1uFegEdPQsCYkGZlr6DvQNLG/qWMBamvjuDBetnayrKlBPTCTJMnM
CXQ8k08mRAxaWmJYDg49F5xdeKibyXG+evnsI15169ui7hXa4w6FyOhQP9ifw5xEV8ZOzwlt7NdZ
zwyYZ8+kmvlPasodidaUx1JG3KkBuVzMixaTETeKR6ZIyzpP8llIvKfo1Q8Eei7boGyZO2U4IXYC
/yzhGzkPlBBIjWJUtU6tcPwYyAp8eLK+ET/jaYEUMKUr39Rz0h/2pMuL8TkDy2qv+oF9fE0pWgh0
75yM/NUA9Q0BeZ9jNAbEjNS49x7SRMutG8JaRociJq7c6YFhWqbaTefVjQxjsGdJmKu4NjY+deBH
neN2p6zs8z3BT9MH2uJqjVrEWpFuiEmHWILyq8/eZcZA8xDUGMsvw0BawjIuFq4YK5dfXYaMGNSR
E7yT3grJNw5G1XNXdJr4XsdjXkZ9IDpG16Kxs60gc0fbNrE/X8vZqGcceowHt6PEz/swW8AcD7Nk
8BZqcb1yf+q+SqJ+TJP2DcgXJRfa2JVoPDs1rJap0A8LXiweBaK+6tMpa6MOUM370GDWXh3a1Fts
Fo6wtYp7hhHrYQiDh0iSrL7kywipemw64mDMgFfr179tTmPnAZeOMcFZGeIVOGAPLyJzcwq1TPLu
VeIth64hLJkE9RZciNO8TvRRTNEcCU4knbiRt4M+Km1DTPz4TSeaRyfbrndA3McwvcLWbJv3figD
J4IdtOw+j/KAvxw5IFq/rch9ztFCE/JGZebyXA6WBpa4mCzylBnSE66Dz8a2jfndGUeAHief8Cz+
VSQBY6oNorvEzjeNsUzya80yJBugxTv1O34vRN2kQA3npl/cm24weMfsARuNcTaG87XOa4mMN8sL
nDep1vggIskwTChQKAkm5oY95yZDeHbpnRKhEQzBxokIG5ZHQNACR4AkLu6q0iAKcyRiqNmYdBtH
2FS+JLGXKhmXNOObqB567w3mx8SuKusxX7HbXPcN+DH1DfwWv9+knTe9NiiFblJ3DqC1uwyJY18H
8o/McFtMQ/NtMMSTpSb3KCHaOHsDtsbd6JZWGWlI3eXeB++EScDPSAUwG0pH28njncGy5jq1JCND
TaPLTgl6ezRBKbng6UbnOxtiaPqSwJldM6FyNNlwhKXhqCu7zJsz7XrK4mGhJxQdsBHVUe9tfdUb
Zwt95jEAA0PRPsTaY8FzZuFPDubIDsikI+2j8kw0KwPbCeCLtNCz8Op5z7gUe5Mh3byPOMeTkBRX
G+8BB/6wDg//XTj+KwMkRj9r/Po/LhwfmvEfYEr/+NHfChL/C6s05B4uSmrnUyXyu4K0vlgOct6V
KvGHe/UP/YjlfEFATZthWqhqTUrM/9SPmOiyfYZP6Ks/FSn/PaNq8Lepkk2hqju6DUWC92Hgovhr
jQafnOddnjUHJT0OsyAtrCkkAirYpzRfO6jh9sjNm/t3WE5ZBZroaW6Q8TaRZFjjR701wpGLM+vF
HdL5tnHN+oFVUvwGihcQJaCDFo7R4hxwoHF4BnxG50yTTQQ+vlHhpAqXpHVN5Ryh2C4AqpdaelMY
DWGJJSlBNItd2W27IOPuQKI2GZBA3ZRwB5kThFixMd94wWzvCm2wLykH0G0BPnldz0ltq3eahZkS
dwjFkFOz4LdSM6VaHlpydGaEdFpPcylMoI5jZVmnafGtY6DgHBHC2GHTrXhTUVfF4gevgtOqJ0+R
TeOIUpPnI5N0fnE5/2JQ8tB0Sd/hGca+WpucQ0botLe1Fr36mfGFH5wYNp5LYgGO1yWLPxbXIcCn
AI31gid13WDyzl5spkUv9aQX9wwJ1G2ssvQyjXH92FIUXsSA9u1M0544kY0yAcNv6vkg5KrSiJlB
deRVLogw78jXmred2/JB5kaMRVC3WNrgQVYeCTNL+2Ykvn8bl6B1WPf2uhERP4y+l5l4s/MIGNg4
+JNUW7UXst+CWwdEdnqVMy09DHx+O8kjEfVF1u2XNF0RTwHddSqJlkBr1zzAV/PvNEBzNzm1AnIR
3zlUBqzIKgatH1PxH8FoWScNAfiRQrq5FH0Hv2axq5n9bW6cbExhpHMWo82+0ERWt2gVAdUj6mac
pd23aam6156j8aXVERAQJds57noaDh+GVjGlECm7CH+agzvVspgEAR08mCQMkvq+UBQHqid+05HW
G1v3AYxLqTlAvCiV34kUZZnLWOeqbS0v2Y2znpzgz9fZIfY6sRxxxJnzPotH7coESMUegpoPaCG0
KPhgzCcFJuDCoficEEFQFDrFVWopCHa+xhrT6F33qTZm+zr9xWqyPsFNqHFXipP7iXRK8HmilNL+
oD19op/mTwxUtxKhtE84VNquoKjCWMt75GErQcr3fNKM+k+yVNz0mjiJT+RUSfORvSANAzzl8A9B
0Vw+X3Fxaw/zhM7fLOJrr6rkOVuJViloK8JWkivyRDFs5b/YV+YvElZS6R5K8JWQ5VjUvtmyOpNX
fla8krT0laklLL08olOdnjNhElUcpM01rU23HRiZ5CuXK2PUxXM0Nw1yMrmGnl2X+NoDt7dGnjFk
r6bv4Tegc6hamidEXgiSEB0U8MA0YQ6gwWrew2FG0jauqIkxmoVSZw198BE5MBnGQX3fLP6VyAcs
lNIYwsBv1GnKyPnzGPFsbdy36CnUHhWo9uEsnDRlzIwxXvbKNxCaZiahVK3wbvANPAC2TSJC7Nfa
3HlmSkNJMo54wNENXCZfv8fJYm7IBOBrG6C8JTaxJbIkcM6HY7WDjsMCz6nPet0OP/LZu2EHF78i
F54OaurKhxoxxyWXyIpI0KLzQEd7i4XE2q0xCOBUidqy3eUm6/x5T7SvCFP8oTucggg2NH7KYM/M
+rNvWmBxy2sTs1hDkXRZ2v5aTEVMRZnKsACNvO9iAPu5q+nXfR9PF3cgfpIZ+TdKj25PAqC/zeI5
3sHAysmqcLBfouw9LE2ThciEcMTCdT6TrwfO2Eve1uovIkELbK4HEpBtAZGCpIC8TOhqDnqViCdG
t4ILY9L2Sa9+jr1b7me4g1vRQxOThhm/WYWDzEOtNGvK6Ap1im/qx9GlsDpYle2ca9DLuyBAV75p
E/Tt7VjYJx81YKg0zbsb25TY+YVHE9T8bC8cu+KqcBePzWXHwBGqTpZv/S4T91j94uegc7hlnSpG
pj2mBIb53Tdy2JuC7OSs+NpC1KP+kzg5MtPfVYMI9g3S4td2ivWXoE80AN4IdpupXm4wEzZn9qD9
obIq/87if1wPrtIuwzrHTLpKD42AmTwBE+5Nb8YG4n8lCuPkqDy5CorKDzaYejvYndnohYVpkXDW
udkSkT6EF16Aw5SmgcyDzfcGchEyIK0FaUY8pr/3Wq8gjzGhiyJRjRStUXsWrT68cMXVXZSNU3vW
Ldy6cd7cqUXoN1Ze1JEvVgp+yWVgTztdmQOCstQ+mMAHN5K8mGNP6uQPa7CrHxAXV/syq6dQinjC
WQKm6FSzBLPCfO6YNjuZ8dQwB71HEYTiH/jLtg06/6qLzTctQG6X1clXpmUIwedaDwfbeaptR4Pv
OBQhsAG5kQZUu2Xu4idsJ3tl5W+xO5IJ3jl7fCkCKvTCTCubv85yDiJRNmbkeRAW8E1TgevHAn/I
FvF2+yOJPYmCTmsiE7beQZrIzkKMmvZ2cWPjtkQ6sS2GqbirDfemTugKK8Y224qdBDG92FxFOKX9
hBYP2Q8yGhFvQch8YDd6JJ6JUor6IoN3sJksiXkJJnHkxLqJuHE9XFlQr8UMWcXCpvAnBtrapnWM
47MoHjXTbeARd/obrBoQa5nv/eiN/n6Uxs8YeSRpSoAaNe+1ZsQdEeuV7VWhe6dgjperVseG5Fnd
a5MQo7ME44kNSszZ2bZbADi4zBOJbUrN1dGSLWN+yNa5azxlyEmvSq75DasJY2f0Q4BbTDDx0fN9
L8v21Aj1YC/psCP3s96U0gnHNF8+gJvaobDG5iH2lQyzYeGzjisEc+WMV8JxGwHedah2uBsQkGr+
9zgxv+JFjV/1zrEuzEJRbaCSQErPdeV8r8zKOILMJo0EO84Zp0mDRsf84VUTaWbGBwg9klHxqLSI
u4bp4Lcx5nC7tdmbpzRavpvuqVi8ewM0QkQ3lu9Q1qmLWXvxLeblU8+XjmsNDLF+k84DaS5eyyVq
+Ek0pwqIhpEbN1abP6mide9jlY77dsoQ3nhm3dyP6SrXRJbj4Z1w3KTZ2DzSr1BkutHgLs8C7PJa
bJIOe6GLTZAqB2e69J9sag6dWZWbVNMv8TRc1hTAMhVD2A/eJm+rt75kgbQM6nEaxtvWEBeh1ddU
a9DhVilaKSCr4sAga1COCVZAbnPHx8IeOVbmEK3i2c4VYzn/yq06lgh018hFYDmBAF1u0cAV5383
fv9S4+fihv1njd/L3FScVX9eGrAAWH/mj47vlzoAIp/LlFM3jFX9/1s4YBircCBgNo1xwPKY5/+2
DDhfdENfhQP0Yq6OWfw/Wj6wRYilvHWjtbrcGfT/d3YGfweC0TuSikHCBfsCm5JwXSn8yTAQj2Qg
k3A03YzVRwJdIi2//enT+C+m/vzhf576639/gb/Fx/TKKqtW8QJ+7m7Y52/G4D2TN1kAtufjn7/U
Z0DqnzYM1Hw+hElCZBGtgTj7e/c6YwUtybwwrnOnnHXMsJXGPghuAeA1KMBvw+fiLeUZKfS9/msz
15TOzJ5OtxARVR9N1/heghTdTvXA25OoqO9nvx5/ZOTFZtXV+MvEqq+G1vKXudXHrEi4sNbEj3Mn
dvlqhh0Y1sKibxAVc+t2QDVQOSUY4VYvrSldjZn4JC1ynp2yIqzzoQt4zvShy0jfayLeBIrAzGWZ
vlblp95os6dZlej34o56YJFzOe1gPZUWwZnCySMECuinDFqMN42xOlPAhJGdj04QsrZjWxdb89rl
nIsg1R4moNV2vbVkEgcIPUSRCxWvFJ1s2P/71PiXTg2GPtxJ/3hc9PhDvQ9/OTN+/cRvsZH1xdED
gmeIW/oNBPx9ZugubiITiz53PsSUlfL5e07kfrEDl/8F6NJe3UTci38sGk3nC9okh5Ugxwamf7iE
/51FI+vJv97WKFoc22RcYTLMYmJloob687nBU1aTXQOga2Iz8iI12wOuMn/3lVmSqK5121RDoKqq
prj3Jv8a5Cljf5l3D3hyHoAND6dxdum1fHLY7GbUjnNsufFeNnl6CzhJex89r0Fh2qCZs/3Y4/Hn
kKB2i6N3tu5sOyvMaqNRFXlHJMe+eRPYi948DdDHSbzUQI1Ze0Lb2vYaXSRweeTF04LHtgikqKAB
xUVug3hOsAlt2qnvu6fSB48PTZhEBeOUBspFhGTGgdh6qU4CHkYIsz0Jm6hfqigkObq+QfJNxEVW
4Zs/IUA3kfMmQ0fD0BgNrBobmNneNz1M2WOGlIDSbM4Ibo9nTcMEZXiF7KIUZux7Xsf+R4KylUQg
k3FKh6aCQGAQzdCp9QfmMWiSBG9h2BeqMc+EGa34LTdIz3FuUAdPgof/TrKRktuFNEw/8puc8MSm
fVVkWoEsqy1xyMl83E6677zO0rE5jkCKZkP2kLCq4csa8+uOsueQm9Nz3mTWPhcT6aFVkBzADbH7
6qokfUG7ysBqJsST4LXrxu7P6TSOL+B56nAsh1sLHSNgZBkwU0vc7xwtE3LaCa8BbaPJ3qRQ1jFR
xTNQE1gEgZFjZ7e/JRlOeYtktwdIkRx7THf2TFXIcsAjQtU27Qcv9Xa+We/NIIC5lT27pfmT1Chx
XoZm2gQFKc+M/sNqFK9IL0+VbOoDVDME1pkVKTg9m2Fu3XPb6gYhBcttmlQN1vTiec0oikZqRSSc
8oeb1e515S7x7RQ07oblOLrskTXuYMVRQU22t6X96Ym4mLmFwU1KNPykKlH+Md+HO9Vf+2Iytxy8
+tFrsmxXq8XZjFqShgvg12/ZaMp9JZ3sG9wodVIMMrdt52j3yKNwa+XJD/ZuzcXR8OmKTD3U+Ch4
XnGio3jJDjU5hJsx45hn94XKFfrTTsD8PHIupLsemsUO8R21bqoFe+lOPzC0E6WbiiaKOTs2RTJm
NV7f7FtjrY2kAy0HsCyyqlXP3jSYv4ZarG4GzYUNJMst8F6eJqZ6NJxa3wA2eNbK+LgsNe7qoe1o
SLUXYlV1EnhVfko7h+1Ya2c/rdHp38YFDZshsLtPOGgG2bk2Vne9uKpkMZ5dV3DHj73fRZa9aIh+
3dqisvcNoAP4Ntjk5ZKKeK6UdoCOM94zd528h9Iu2lvYjkA8OtwaN61vujvaZH+7kgwZfgBieBzw
KIYCTHmyx5xunuox6atwtgSvxoUFV5fc2+9j2VmhHkt5m4O+CKXkskgCWbLyVGr+6FoO1W2Cx+7E
sqs+mALQV7AXXFqKZG1XV2HHu11X9ZP4aXTdhJVoipmWq3FMfyKuAo6G57xjhKN37XRj+s6ApJ6r
BZmfnSLFkPhb0jqo9lPmt2HaaXizzIa/rJiO3pyDuEsbTgkFKazRmTQ4TBTgMC2kLLWdtY2DhTTd
JIY36C9fFRKWZ4w5BEnn2ju31Iu5ZFhfSggTVcf8T+vsm1wnZrkvzfxca9kHJIE+ysw2e676nGUT
cojs2uxnDIgVa9toMSrjlrH3U1eahU8yrsUo1C6bkxGIHZpzeYXir72nztQeCnvw3s3KyaKkCDos
bkGfk5BFLutmUiYAE/JkdoyKCCuOSUgXsWBWJIS4KYe0QWWWIW1A2rrv17t2xU6REEGqSNwRd6OB
V6NQkbdk6mbbbB4Ok6FDJIoFYIvOX+D8x259x0rsFVSVc7BlFXzvzeHOU3Y64QdA8WD54qs75xXS
BR37niWPdmn4UcEgmQW90YqfcWPb21wT2nlm5Y+PczSiWl9IYFrl61Brmd0Bt9hAdrvJJr+4LJou
r+cMumI9jzBwawXSYkBkJj0Tw4BtJrhnbbXRJ9MPgxxMZGv0+1nDBOtb4joYObUWC19NYDJA0QmC
OIrCBiYx9fhJjel+9FHnFz6LBAIvEZCOTXDolNprc0eUjC5j5nFKZ/cQVN/nFoOmzlo9HA1ccGS2
EkxRNSXbFt9ET5/l0A/8Yo46uwyiQXRH1JSw1LX2p+q8pwrOyXYJpnGnDy35XzNiWs3GKZ/WKt1h
V1Qnreg+mJ5d06SOZ0OVqDOmdVZlevVldcFfoRlptrU+ExGbCf24sLw6aPRBm65F0YLaLyNagpQK
zedvHou8ZNlbcN517tuyMHOp/RUdVog3symKs9PG5IUgRNzEFlvfds6NK66BAdeJDdixKH6yuA12
ql3ekpbfWixM4zb5THQ4Rltoc5IMDR78yTc4oVOol6K/jSEJhSkT4JvJ9iUPd7PduHrC1tj5yZzq
hy2yclc6FAxS2S8VYgLEsEP3XPr8qqW3id1jYPezH22TAUFeRDaH6MYbpvSW1L38LjCb9qj75nIl
C8HH4BVvYxXrEYdpw6mdyRefqILQFtYaoV6HMmFknSufc93Nym/IWkykN3NzHO3K3eWwCQHBavVu
yJfqyjRMbM8z2bTSmr8NKb4iaboerDPeAxycYqszansedHPBTzs0fKALovZN6oHM4QNrefuSqv+V
274QjIJr/7HzHH4WM/QDgqUj2tUp1MoguRuHcrp1gLS8ern7AORpCoFq3NhmAxdt9BNcp2nebtlZ
80GzEbKf2G0AZXaYSMzC39oLTstwBSyswlTipZZulWeSuGSESWMyslc1g3m+543ZGs1FGos4YI0j
HFk5/htwFf0VPcT3vI3FZdEtHOpSpvKQt8K6OJUrWZ3lMI0QWwm5cVJIkAT3sAXDoa1avbrv/MC5
Jxtj0ENOTY0Sw2zN0LGH8ufQW3j7uFETvlPk/avZr3f3bWs43DL4pJsDozEUwSN6tmhOrIcWS2Do
Cf3KZ6fwFdW1/g1t7KmciB+J8iZNwi6xPkp3cBjeZ+Z3I8m1KlwwExR4mEZ1bCf4rKhT4X1ECujL
dx0WS0S0+fCwTD3iNA7PawmsaY9M/nZx6zNeTQHSlMeBOhjaknM5u9L7iNGahqk5eJdAONkLHE8b
omfmRH01lVsH+lXYNgRKR33HJqoRVnPfWzZOFYB9w40qTAKk9Bi7OhKkEYtY74sqYt0I5NDPyn1C
LPsu9iaYtB78i5b3tRe9q+1B6MbVvvPK7IXTrHjhETd+LSelP9BFwiEiKuWoOxMVb9y5p66WILoy
bYjxW7lT+ZyYWT6fpTYjSFrS/hQQy9dsUh2xBKGywcnsgKSmlTKKjbJrSKUy0YFwD/2dANP4omO7
+3DaSR7IOQ/OTZ6Li52k/VNjOX3B/dfkIrI6XGuVQwoJ1dXyHPTQb3LahwGgo8EJG9InjUG0BK21
mu7bWW6x0InizIymqrZ+XLpPE7ww92tCQtwSSR82CeI8O+BG7OEQEiPCvtAubPfGtYr0VXoTcUJE
GD2USz0b0ZDW2nVZq+w1xg++I7sH9kK1qJI9Ya2TF5wn/sa2C8CGQzVVLzoozTsA5vVBVRyvfRU8
ICKsKcK68Vtd1c1qiM93rliSc19Tkpa17ATSflk94upNN5bumfvJr4qrHILfbq5EGpEQWoattpQs
bnsgRxOa7TtW6H0Pa5f1by6zgphPY7yq6gUTsJmT3O6p5NZsrXi+9728by4qSZGOB4hBAayFPvJW
ioWKxcq8qlB+wdwpN7OV7V543WQ/EFz0yX0fZwYp/XDIg7QKNnABoMSXytZCdwCeXi5t3UM0SDlH
lY9Qvhlc6yBS13khL7AaIR4k5Pb1BffiN6jecaRreZxcZXL1AHAJ9/kWtd0UuSYydPSL3sTpI/rm
SgqtPYwoFe9VJ+gFkJTtF8cF7SsAt7KRaY8912Q0Ciu7anMnC2Nz9H5WfWN/1+t1zQY7VeR7VbWP
QxHE2SugjTGsEJKxm3Dx1A7Lsqrpff8H+WzJwUUWj9GMPXHYQV19XvJJ3zK6WextQL7mbjCH5V2n
sD5Pc7saH8ubxoNtC7x1PC1mJ+7aNmuBWdnV/TQZDorxbArNym4jJzUQMBppZW2TYiDsWke1qner
mKtAP9r3eXNj210FzMiwnwaqyC37zgAUpZFvE551FOfdjL+5F9ux9I5siGTU0LjfiyQLdn2hm++O
rewD2XAtoHBOppL8y42XNek+S3Dk9w2BslYG+3hTDOn0rQw0uS9N+2KpNPjQ6/4ieSebXkA5bk1z
PgCK7CilxuSqoKVVG6h36wra7XZtoJxtxyJzQwxHiW07z9LtFGNmDUoe47HSijcc9iSRBl510LLY
ijQiSsJ6cmsQUiWzc03XZqRulrWDE1RBJfC0i7CW+b6d0sOIwOFaEbXByr+2oItMWrkt5zT90UJY
v47jLOOg7RLCUZCDFiBVFRnz7EPTMkQjW237QkgeOtN8lwo9uJEqQcDFguRQuJmzZbfNgTk0zSnT
jVvfRxY2DANo17FN3gcPLUkN9BKCFTqHm0Lr+lBVBGMZZWxv8jKwXj+562hUidCpsrR61drhtbOw
ZKTS39uOMkB1tfJDVzxY/UxfjjNpwXx+GL3BoxCkrojAZRHMRjn3EhTLS/mOGS3dSr4tMunUV8zw
5zTxo3npkGmWX4dcrtfbqDfbUZCvu1GWtXV9lkBlFsSnPBuc92JQ8aZKdDekZjZITKtVXm57tJQw
thX8QzevuVoGb2/AMw/N3s6uyiQpbpk/6Ho0wrHytxLV9s0gqLdzHVdkt45/lD+0x6DrSnDPEvZt
7us/ppoWLRe5PJDEMEaT1pl3cKaZCLT9d5EqcfIA0G10hMsn5lpRms5Ap1u34wGsFSckFfJuKdKE
GMbuG/0apdhcZwjklrw6wuCTRYjZY35hJYnkWE7XFhqjZ0qpxwzLc+j1wjunLoKmTi0UjhAj4mlZ
l3Oj1ke1HN8Co7uejNnaEC/2XGsceUjV7R10Nz+cHMt/SZVRbWBfIYvRfRlCzHAeoVJChFoK81zP
6VWm1a+i9fBXDelD7xo/LU7S3TRTHdVJi+C2MV+t1CjZyNX2x0DUWaQnvYWis3pWeAt+tm2l/T/u
zmO5bSwLw6/i6j1cyGExXTUkJUqUqGhbtjcsmKIBECByfvr5wOAWJMvdbXChGpZXIn0BXNxw7jl/
aE/R90amhawHwXcdF9R4dTjnTS5ieuqgdpbH5uJrCYEbL7CyRAfMaqq7RJIQuQzMBTVgEhAVpHC1
8Qj+KbKpQa1NfTR672AdkoSOFS3SebyFgbJF6uboFDAHdNFPZxTPRlXrAb2GajvhVcXIjK+1+BqR
OQJrycfmV259D3EazKUw2DMDKTuBthdfyRiZQDTHthLjM/O77Mh36hpNO9/03Bngfn/WaGyuYLWX
Cz8ukikEMzg0elfHhAVPNryetZ6B06IofUrZkgBP5vgry10uMA4phFkFIm+STnlYw/Fy4UnaVNaI
hJ1MZknQ67SsztZRcWaUyVfEcGY1Ax4J0Jh6sCPMFxaIjTbQkpM1knSxVOan8ASNE8PXg1mskf5L
LBTsEf5JxkSm8niBBmjqlLf4Qj+KCBdM0EjRgAqFt4na0dY2jXEeqjCfDah7U84uJBDR3r+uZPXB
k9TsAnWieFKh1T92AiWcumLsnHjRRjqrEZyfpFqRnWOVIpK5yBEy8LHgqxbWLdxO0nCLCmJx1Hz1
HZAqco5GEWxrHAFz5dtCK6X7ytT8iV6D1hmvi6haaZlR3rP2ySNd14BTi0kxSxOSUaK0HksLAUPk
1BTIs3iefJKKvo8iTDhX8yAbL1pFLSayV6HPbjjShiKl6PozoOMAFdoIx8cmtjMpilDPU5VNhzRt
l77sUqVEQkGwI32TXhtigL4hGx4a0YZRo56wTi8NnyMSJbC1OwH1TUFWhcm/aZpvxFlMLSfe2IhO
mtdRpaAPnbvFUvD07wCWGixRsV6ZJaShb9taXYw1z6jCceyJ1Uez1oobtFLV9iqtzQircmMTTcmC
brDryxE1bVtLP5UieAQAhLx6EoNUTMcAk+JT1B6RpRAXwpUEurpEqTBDc2FRfmgc7SMRgnafLJwI
TkWTnzEPgJ+lGbV9y/xUmRBsoUXI945ISRrD4WsTPXN7U+NejDOkOab6B7gp4JAuXFQyQc1lALhn
lOSle0EMkdenDqaDYyCWeoERK+vPSM/FeD11FhV0QdSq8YUkF0ZMs0F3JeRwQ3hXRTjtQHxLP6Wx
mlwkiWmiwhIZFohnkRxfgyn0uGFd+KIjaahcUcEWP5Q0oE9MCIDoRGEFyjRekDQiQY11bNhkc6WI
i0uD0YP1blzl0yoJvcs2jmN8hknwgPEvHCKmpkL+Vc47iYq8i4RYZb7gV2h8VVMXjy9UV/Oz2MT6
ORHqhKAV4d5w5HSaXKiV1fdaEeckn0Tq6yOOYSZvQrA+BVu4luus4XA4iPBPyKk1d4hx1P64kxA/
aZO6QU4w4+BdI4k7JgTdxJNSib9XhNcnlAhuG4Gwvs10cRYDskRirKimaOMnt7VTyg/rNRE4cHcW
7DbVpJssifCkBMRp3mVayn7KWhbdBK1QPgiqV8wUNyEvA5fanKeNkD/4sSBeibBnp3JsQugsyky5
zTTTuLOEBceXVFpYF3hGyN+wdPNneWaW97KskAytsbvwYCGwrI42mhkimJ25wNu0bM2krFR2rKIi
KzhSUMVeX5Hhz9lPkOsJLtaS3GinuV5pvOkNYmx56qBa6Wc3rZOBzdebWD5RSEN9EFvDma0RshiH
gdt8D+KN9AWRUwK1VscSmUxHeuVawGRHztpLHgodecpKYNd1IpXNjCE14bDjnYhOtp7GAmi1EanR
i3RRG50wa34SZ7p/GUthiGAcxejLCCelj+iY5KD7awzTwEWqY8TLFiwnuXAb+0l8hX+0ebZxJZQu
yzaeVhnIGCWGu4myUJXPzWCjfCZ7i44cHIgPIvHdZRol1WmRE/2TzjTI0gjuHUCwEvl4B5NVahmw
MbPNvMitpVBKuINKm8WZ7mr5RGhaaW6VTA3IMC6IEOUcZ2bzJqz1+rxqtHKmCwa6KfoiQBGSU0dB
xDgm35zOMtg/c7gG/iW6Ad9Cs5ZOykUjnq7NxnaaDSqqKiaRCwRp3ZGEitEkSZtPAiIOp0YquSex
3ConAgN96pZxNi7TRj7HiJ2cTeSH6PtbaNq4Si1NYCMZeGVExLJim37xAhWVIjjeZ01KwZaNDPCH
aUTkgSX85SehJpfBXa25HugUNhs0NYCfoYPlXyJ4Mqk0yjfkWCUijcg9lQD14XCBzK3f8ndxcZsp
dXNdYW1Jjdn/ZGXyZ8VhsdaE8MRTkaYiU2JbYYo8n0PBo6pcZ5IJgTgJDSE6lSVfPUPkfao667vW
hOGB+q82tgqxhTPVXiuup4yCdfIQZ8n6RneKs4UgnxFY5dMSGtVXoaYMIivCZwVkw6nYEiHXmJ5P
Y5gdHfvX3ljr5Bb5o1swushii5HJ1i51B0E3EK5NqA5jUFPueRIiz6SWwiM162IeyWE6Sln/Rx5l
MBI9lvoZylWBfGB9WcZxfZ4GycP/V9l6z/Od2LkN3c3Lm9tilTZ3K6y08x+E0e7brXzEB3Ktv/Oj
Q4H45w29Wz0phC+jIsy7O6BKFz4ta5PufVYG397S9n5/1UJgc8fF4+o/fygWpXBFM4DHiNsPxM4g
Cp391xD9QcrAuVUsFVgMn90Fn3TRa53w6+fb9eavf9N7AvsRHNDEy/LUW+a9PkCGE6JwDwzwSi88
a+OvXlDl92y5sgpg+Ke9YGjvAReJkED2vQDMhgu+oV6QJLEDEQzqBRnyjNU5F0q7V22BOng6FtBg
VU0DNEKHjOo+jJW31QvYIj3Xofm3Q0Ex3oO9QINWsnYPydh62gno3eFrZ8gGlKVdN721TpBVxunA
oaAqTAhTN3XAdoen7PWCDFcfwrfUcfTf1hiQQAQD2hk0EwABAtjjNE3pefthaj19fNN6z2V0GNcM
uO3nrfWCoojyc4jUv54KoJqAHpFrAW3TfZ73gv4ejWYZ118UlrvPm1sPFBzN/+EO+freoAIIs5CV
ACd6eNfPxgIOLKyb1ltdFbGLlnavZieI9SPieBkn/KoXFHBtHSBt1wlMsae9QAocgW5LATKyG3Zv
aG9kmqqDF0Tjvcpqp3Ui49sP4L/e828XRL1jIwAd5vPm1kVFhe8xcF0kWkT6w6AQBfq3+zxbESQQ
16i9ykihvbkIyWAvG/r4JthwbJgAf+4en5fcGwSiBv24k6h5cyuhrBDlD3183r6mo9Gn7FfCF2sA
2FmNRD2cx23//Is58A+Wix9Hr7HrBY/bQ5e3yn52NnvtB4fjxsvv90eN80e0ADlT9X7YiR7trv3X
mezP3kK5PQg8+fJwMNheZ//f9w/48tK9ax2e6vDHM2+V2unSbbZfNPvbvLI3HN3+G9jf7I399CzE
0sPI++tO/vNH7z6fvP+/afiZViMkC6jqg9tF9yjqW6RRoGRUDm/Yt8Osj/iG5MvwG9ry2A6871H6
zLVid8wY3HYURKn92BPE2i1Sw1sOw9Uy95ZF76QMP5AZO7TxySqwKztdHVrq5oxpdueAwS3vT/fv
ou/vgDkVm299sxALxYThVzml173H/rTZHZ6H3v90FeFw0m+ZjYIAdGjLZ/S45x3a6XpcQpWU7Wxo
w+ePttsbgPtYcXC7QeCFkZcd7nB7y7uD2eCmw0fvmdEiZ7FOwHVwy1HVf3mqZRLmDW324uXahDrb
EebLBXdWLP3mcIvbTu5C0MMfuq3n97aAy6iAmfC8my0yP8Pbntte2Fs9cBA4xvYytxGPssPHwx12
3SEj33KEVzi3s8xeukW2yvPemEZHRD1Gl3hL13Psfm6XTNMRZvjcYy+gONIb2TLJqyNMmLmXZd0/
IFS9Tpe07mAwdN50rUfU8g4tbd+nBJPy8IffH97z181an6Tdfyd2+pXS9eCmS7u/b+2D+qEdfbWq
3p3Zmzhzvf62Tvsdye0Y7c9WabbqrVQysLkjNT5f1d6yt43ReJcOP8adf4lS/9DSdgju6g2Dm0bM
w303tlGU9PoxMWhn6Qi7w9X2AhPbfz738Vw7QkjympTrwEF+7QdEJP1TjUwS8giL7HW6Qga+9yp3
mfKhr/JmRZm+CUr72TEB755OJ3Vo83du9Lh6d5692NtQOTvCi7z/W2m1ga90d4GXA7FTbjvCeeQD
vb/KslUvpNinv4d2/as84oFd8jG33cPA6NaUfW5u6O1+WqUbdrZey2zFR1gIf+rdSEr8COPvwWbf
QfalPzX3OduhPfLwd8aTA1/kg5ctsZbwesvKvuow+N5fl7745V3/LNP0o1b9Mv90qMT/7L/1k2vd
L5bByk7//B8AAAD//w==</cx:binary>
              </cx:geoCache>
            </cx:geography>
          </cx:layoutPr>
        </cx:series>
      </cx:plotAreaRegion>
    </cx:plotArea>
    <cx:legend pos="r" align="ctr" overlay="0">
      <cx:spPr>
        <a:noFill/>
        <a:ln>
          <a:noFill/>
        </a:ln>
      </cx:sp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10.xml"/><Relationship Id="rId21" Type="http://schemas.openxmlformats.org/officeDocument/2006/relationships/image" Target="../media/image14.svg"/><Relationship Id="rId7" Type="http://schemas.openxmlformats.org/officeDocument/2006/relationships/chart" Target="../charts/chart14.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9.xml"/><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svg"/><Relationship Id="rId5" Type="http://schemas.openxmlformats.org/officeDocument/2006/relationships/chart" Target="../charts/chart12.xml"/><Relationship Id="rId15" Type="http://schemas.openxmlformats.org/officeDocument/2006/relationships/image" Target="../media/image8.svg"/><Relationship Id="rId23" Type="http://schemas.microsoft.com/office/2014/relationships/chartEx" Target="../charts/chartEx4.xml"/><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11.xml"/><Relationship Id="rId9" Type="http://schemas.openxmlformats.org/officeDocument/2006/relationships/image" Target="../media/image2.svg"/><Relationship Id="rId14" Type="http://schemas.openxmlformats.org/officeDocument/2006/relationships/image" Target="../media/image7.png"/><Relationship Id="rId22" Type="http://schemas.microsoft.com/office/2014/relationships/chartEx" Target="../charts/chartEx3.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3</xdr:col>
      <xdr:colOff>582083</xdr:colOff>
      <xdr:row>4</xdr:row>
      <xdr:rowOff>81844</xdr:rowOff>
    </xdr:from>
    <xdr:to>
      <xdr:col>11</xdr:col>
      <xdr:colOff>299861</xdr:colOff>
      <xdr:row>19</xdr:row>
      <xdr:rowOff>73378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515054</xdr:colOff>
      <xdr:row>4</xdr:row>
      <xdr:rowOff>124176</xdr:rowOff>
    </xdr:from>
    <xdr:to>
      <xdr:col>14</xdr:col>
      <xdr:colOff>409221</xdr:colOff>
      <xdr:row>19</xdr:row>
      <xdr:rowOff>115710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472723</xdr:colOff>
      <xdr:row>5</xdr:row>
      <xdr:rowOff>4232</xdr:rowOff>
    </xdr:from>
    <xdr:to>
      <xdr:col>14</xdr:col>
      <xdr:colOff>571500</xdr:colOff>
      <xdr:row>18</xdr:row>
      <xdr:rowOff>77611</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472723</xdr:colOff>
      <xdr:row>5</xdr:row>
      <xdr:rowOff>4232</xdr:rowOff>
    </xdr:from>
    <xdr:to>
      <xdr:col>14</xdr:col>
      <xdr:colOff>571500</xdr:colOff>
      <xdr:row>18</xdr:row>
      <xdr:rowOff>77611</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218722</xdr:colOff>
      <xdr:row>3</xdr:row>
      <xdr:rowOff>148871</xdr:rowOff>
    </xdr:from>
    <xdr:to>
      <xdr:col>13</xdr:col>
      <xdr:colOff>352778</xdr:colOff>
      <xdr:row>17</xdr:row>
      <xdr:rowOff>63500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D6F2118-D27E-A9E7-C677-90E43FF972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24072" y="701321"/>
              <a:ext cx="4401256" cy="24927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204612</xdr:colOff>
      <xdr:row>6</xdr:row>
      <xdr:rowOff>71261</xdr:rowOff>
    </xdr:from>
    <xdr:to>
      <xdr:col>12</xdr:col>
      <xdr:colOff>529167</xdr:colOff>
      <xdr:row>21</xdr:row>
      <xdr:rowOff>62795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BAD2D1A-193E-E00D-DB6A-FAD99F8C5D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96834" y="1171928"/>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529874</xdr:colOff>
      <xdr:row>7</xdr:row>
      <xdr:rowOff>120650</xdr:rowOff>
    </xdr:from>
    <xdr:to>
      <xdr:col>11</xdr:col>
      <xdr:colOff>171450</xdr:colOff>
      <xdr:row>17</xdr:row>
      <xdr:rowOff>114300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508000</xdr:colOff>
      <xdr:row>4</xdr:row>
      <xdr:rowOff>138287</xdr:rowOff>
    </xdr:from>
    <xdr:to>
      <xdr:col>13</xdr:col>
      <xdr:colOff>599722</xdr:colOff>
      <xdr:row>22</xdr:row>
      <xdr:rowOff>35277</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486834</xdr:colOff>
      <xdr:row>4</xdr:row>
      <xdr:rowOff>145343</xdr:rowOff>
    </xdr:from>
    <xdr:to>
      <xdr:col>13</xdr:col>
      <xdr:colOff>578556</xdr:colOff>
      <xdr:row>22</xdr:row>
      <xdr:rowOff>42333</xdr:rowOff>
    </xdr:to>
    <xdr:graphicFrame macro="">
      <xdr:nvGraphicFramePr>
        <xdr:cNvPr id="2" name="Chart 1">
          <a:extLst>
            <a:ext uri="{FF2B5EF4-FFF2-40B4-BE49-F238E27FC236}">
              <a16:creationId xmlns:a16="http://schemas.microsoft.com/office/drawing/2014/main" id="{4F748A43-9940-4E85-A6AB-214BFD0EB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172357</xdr:colOff>
      <xdr:row>6</xdr:row>
      <xdr:rowOff>54429</xdr:rowOff>
    </xdr:from>
    <xdr:to>
      <xdr:col>24</xdr:col>
      <xdr:colOff>536158</xdr:colOff>
      <xdr:row>15</xdr:row>
      <xdr:rowOff>18142</xdr:rowOff>
    </xdr:to>
    <xdr:sp macro="" textlink="">
      <xdr:nvSpPr>
        <xdr:cNvPr id="21" name="Rectangle: Rounded Corners 20">
          <a:extLst>
            <a:ext uri="{FF2B5EF4-FFF2-40B4-BE49-F238E27FC236}">
              <a16:creationId xmlns:a16="http://schemas.microsoft.com/office/drawing/2014/main" id="{DA9F5404-5375-EF22-4764-B164E3F769CF}"/>
            </a:ext>
          </a:extLst>
        </xdr:cNvPr>
        <xdr:cNvSpPr/>
      </xdr:nvSpPr>
      <xdr:spPr>
        <a:xfrm>
          <a:off x="9289143" y="1143000"/>
          <a:ext cx="5833872" cy="1596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25401</xdr:colOff>
      <xdr:row>0</xdr:row>
      <xdr:rowOff>25400</xdr:rowOff>
    </xdr:from>
    <xdr:to>
      <xdr:col>27</xdr:col>
      <xdr:colOff>317500</xdr:colOff>
      <xdr:row>2</xdr:row>
      <xdr:rowOff>31750</xdr:rowOff>
    </xdr:to>
    <xdr:sp macro="" textlink="">
      <xdr:nvSpPr>
        <xdr:cNvPr id="3" name="Rectangle: Rounded Corners 2">
          <a:extLst>
            <a:ext uri="{FF2B5EF4-FFF2-40B4-BE49-F238E27FC236}">
              <a16:creationId xmlns:a16="http://schemas.microsoft.com/office/drawing/2014/main" id="{4FA21FDB-5A53-C5B1-5C69-2CAEEAAB652B}"/>
            </a:ext>
          </a:extLst>
        </xdr:cNvPr>
        <xdr:cNvSpPr/>
      </xdr:nvSpPr>
      <xdr:spPr>
        <a:xfrm>
          <a:off x="25401" y="25400"/>
          <a:ext cx="16702313" cy="3692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5">
                  <a:lumMod val="50000"/>
                </a:schemeClr>
              </a:solidFill>
              <a:latin typeface="Arial Narrow" panose="020B0606020202030204" pitchFamily="34" charset="0"/>
              <a:ea typeface="Segoe UI Black" panose="020B0A02040204020203" pitchFamily="34" charset="0"/>
            </a:rPr>
            <a:t>FLUTTERCO</a:t>
          </a:r>
          <a:r>
            <a:rPr lang="en-US" sz="2000" b="1" baseline="0">
              <a:solidFill>
                <a:schemeClr val="accent5">
                  <a:lumMod val="50000"/>
                </a:schemeClr>
              </a:solidFill>
              <a:latin typeface="Arial Narrow" panose="020B0606020202030204" pitchFamily="34" charset="0"/>
              <a:ea typeface="Segoe UI Black" panose="020B0A02040204020203" pitchFamily="34" charset="0"/>
            </a:rPr>
            <a:t> GROUP OF COMPANIES SALES REPORT FOR THE YEAR 2034</a:t>
          </a:r>
          <a:endParaRPr lang="en-US" sz="2000" b="1">
            <a:solidFill>
              <a:schemeClr val="accent5">
                <a:lumMod val="50000"/>
              </a:schemeClr>
            </a:solidFill>
            <a:latin typeface="Arial Narrow" panose="020B0606020202030204" pitchFamily="34" charset="0"/>
            <a:ea typeface="Segoe UI Black" panose="020B0A02040204020203" pitchFamily="34" charset="0"/>
          </a:endParaRPr>
        </a:p>
      </xdr:txBody>
    </xdr:sp>
    <xdr:clientData/>
  </xdr:twoCellAnchor>
  <xdr:twoCellAnchor>
    <xdr:from>
      <xdr:col>0</xdr:col>
      <xdr:colOff>54654</xdr:colOff>
      <xdr:row>6</xdr:row>
      <xdr:rowOff>54429</xdr:rowOff>
    </xdr:from>
    <xdr:to>
      <xdr:col>15</xdr:col>
      <xdr:colOff>136070</xdr:colOff>
      <xdr:row>15</xdr:row>
      <xdr:rowOff>9071</xdr:rowOff>
    </xdr:to>
    <xdr:graphicFrame macro="">
      <xdr:nvGraphicFramePr>
        <xdr:cNvPr id="5" name="Chart 4">
          <a:extLst>
            <a:ext uri="{FF2B5EF4-FFF2-40B4-BE49-F238E27FC236}">
              <a16:creationId xmlns:a16="http://schemas.microsoft.com/office/drawing/2014/main" id="{CD8844CB-C1C8-4E82-8D71-CDB437458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65768</xdr:colOff>
      <xdr:row>15</xdr:row>
      <xdr:rowOff>62366</xdr:rowOff>
    </xdr:from>
    <xdr:to>
      <xdr:col>8</xdr:col>
      <xdr:colOff>272143</xdr:colOff>
      <xdr:row>25</xdr:row>
      <xdr:rowOff>54429</xdr:rowOff>
    </xdr:to>
    <xdr:graphicFrame macro="">
      <xdr:nvGraphicFramePr>
        <xdr:cNvPr id="11" name="Chart 10">
          <a:extLst>
            <a:ext uri="{FF2B5EF4-FFF2-40B4-BE49-F238E27FC236}">
              <a16:creationId xmlns:a16="http://schemas.microsoft.com/office/drawing/2014/main" id="{99B27861-B3C2-416F-858B-981E6F203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58713</xdr:colOff>
      <xdr:row>25</xdr:row>
      <xdr:rowOff>99787</xdr:rowOff>
    </xdr:from>
    <xdr:to>
      <xdr:col>8</xdr:col>
      <xdr:colOff>308428</xdr:colOff>
      <xdr:row>35</xdr:row>
      <xdr:rowOff>163286</xdr:rowOff>
    </xdr:to>
    <xdr:graphicFrame macro="">
      <xdr:nvGraphicFramePr>
        <xdr:cNvPr id="13" name="Chart 12">
          <a:extLst>
            <a:ext uri="{FF2B5EF4-FFF2-40B4-BE49-F238E27FC236}">
              <a16:creationId xmlns:a16="http://schemas.microsoft.com/office/drawing/2014/main" id="{0B7EE6BD-CB3E-4226-A146-5A02CD256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362857</xdr:colOff>
      <xdr:row>15</xdr:row>
      <xdr:rowOff>63501</xdr:rowOff>
    </xdr:from>
    <xdr:to>
      <xdr:col>15</xdr:col>
      <xdr:colOff>108856</xdr:colOff>
      <xdr:row>25</xdr:row>
      <xdr:rowOff>36286</xdr:rowOff>
    </xdr:to>
    <xdr:graphicFrame macro="">
      <xdr:nvGraphicFramePr>
        <xdr:cNvPr id="14" name="Chart 13">
          <a:extLst>
            <a:ext uri="{FF2B5EF4-FFF2-40B4-BE49-F238E27FC236}">
              <a16:creationId xmlns:a16="http://schemas.microsoft.com/office/drawing/2014/main" id="{B83D1C22-EE22-4C04-AABB-A4AE4D1D7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199571</xdr:colOff>
      <xdr:row>15</xdr:row>
      <xdr:rowOff>63498</xdr:rowOff>
    </xdr:from>
    <xdr:to>
      <xdr:col>24</xdr:col>
      <xdr:colOff>544286</xdr:colOff>
      <xdr:row>25</xdr:row>
      <xdr:rowOff>63500</xdr:rowOff>
    </xdr:to>
    <xdr:graphicFrame macro="">
      <xdr:nvGraphicFramePr>
        <xdr:cNvPr id="16" name="Chart 15">
          <a:extLst>
            <a:ext uri="{FF2B5EF4-FFF2-40B4-BE49-F238E27FC236}">
              <a16:creationId xmlns:a16="http://schemas.microsoft.com/office/drawing/2014/main" id="{AA1B2F63-A505-4E64-A6C5-51B31614F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199571</xdr:colOff>
      <xdr:row>25</xdr:row>
      <xdr:rowOff>108858</xdr:rowOff>
    </xdr:from>
    <xdr:to>
      <xdr:col>24</xdr:col>
      <xdr:colOff>562428</xdr:colOff>
      <xdr:row>35</xdr:row>
      <xdr:rowOff>145143</xdr:rowOff>
    </xdr:to>
    <xdr:graphicFrame macro="">
      <xdr:nvGraphicFramePr>
        <xdr:cNvPr id="19" name="Chart 18">
          <a:extLst>
            <a:ext uri="{FF2B5EF4-FFF2-40B4-BE49-F238E27FC236}">
              <a16:creationId xmlns:a16="http://schemas.microsoft.com/office/drawing/2014/main" id="{7EF0F3E0-18E2-42DA-8C1B-9B1A61DD9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371927</xdr:colOff>
      <xdr:row>25</xdr:row>
      <xdr:rowOff>90717</xdr:rowOff>
    </xdr:from>
    <xdr:to>
      <xdr:col>15</xdr:col>
      <xdr:colOff>90713</xdr:colOff>
      <xdr:row>35</xdr:row>
      <xdr:rowOff>154214</xdr:rowOff>
    </xdr:to>
    <xdr:graphicFrame macro="">
      <xdr:nvGraphicFramePr>
        <xdr:cNvPr id="4" name="Chart 3">
          <a:extLst>
            <a:ext uri="{FF2B5EF4-FFF2-40B4-BE49-F238E27FC236}">
              <a16:creationId xmlns:a16="http://schemas.microsoft.com/office/drawing/2014/main" id="{6028A0EB-166B-40C3-9376-0D805ED7D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45357</xdr:colOff>
      <xdr:row>2</xdr:row>
      <xdr:rowOff>45359</xdr:rowOff>
    </xdr:from>
    <xdr:to>
      <xdr:col>3</xdr:col>
      <xdr:colOff>315976</xdr:colOff>
      <xdr:row>6</xdr:row>
      <xdr:rowOff>27216</xdr:rowOff>
    </xdr:to>
    <xdr:sp macro="" textlink="">
      <xdr:nvSpPr>
        <xdr:cNvPr id="6" name="Rectangle: Rounded Corners 5">
          <a:extLst>
            <a:ext uri="{FF2B5EF4-FFF2-40B4-BE49-F238E27FC236}">
              <a16:creationId xmlns:a16="http://schemas.microsoft.com/office/drawing/2014/main" id="{C91D004E-8DC9-E0CF-3277-35E61E2D5101}"/>
            </a:ext>
          </a:extLst>
        </xdr:cNvPr>
        <xdr:cNvSpPr/>
      </xdr:nvSpPr>
      <xdr:spPr>
        <a:xfrm>
          <a:off x="45357" y="408216"/>
          <a:ext cx="2093976" cy="707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b="0" baseline="0">
              <a:solidFill>
                <a:schemeClr val="accent5">
                  <a:lumMod val="50000"/>
                </a:schemeClr>
              </a:solidFill>
              <a:latin typeface="Arial Narrow" panose="020B0606020202030204" pitchFamily="34" charset="0"/>
              <a:ea typeface="Segoe UI Black" panose="020B0A02040204020203" pitchFamily="34" charset="0"/>
            </a:rPr>
            <a:t>City with Highest Shipping Revenue  </a:t>
          </a:r>
        </a:p>
        <a:p>
          <a:pPr algn="l"/>
          <a:r>
            <a:rPr lang="en-US" sz="1100" b="0" baseline="0">
              <a:solidFill>
                <a:schemeClr val="accent5">
                  <a:lumMod val="50000"/>
                </a:schemeClr>
              </a:solidFill>
              <a:latin typeface="Arial Narrow" panose="020B0606020202030204" pitchFamily="34" charset="0"/>
              <a:ea typeface="Segoe UI Black" panose="020B0A02040204020203" pitchFamily="34" charset="0"/>
            </a:rPr>
            <a:t>                </a:t>
          </a:r>
          <a:r>
            <a:rPr lang="en-US" sz="1200" b="1" baseline="0">
              <a:solidFill>
                <a:schemeClr val="accent5">
                  <a:lumMod val="50000"/>
                </a:schemeClr>
              </a:solidFill>
              <a:latin typeface="Arial Narrow" panose="020B0606020202030204" pitchFamily="34" charset="0"/>
              <a:ea typeface="Segoe UI Black" panose="020B0A02040204020203" pitchFamily="34" charset="0"/>
            </a:rPr>
            <a:t>NEW YORK</a:t>
          </a:r>
          <a:endParaRPr lang="en-US" sz="1200" b="1">
            <a:solidFill>
              <a:schemeClr val="accent5">
                <a:lumMod val="50000"/>
              </a:schemeClr>
            </a:solidFill>
            <a:latin typeface="Arial Narrow" panose="020B0606020202030204" pitchFamily="34" charset="0"/>
            <a:ea typeface="Segoe UI Black" panose="020B0A02040204020203" pitchFamily="34" charset="0"/>
          </a:endParaRPr>
        </a:p>
      </xdr:txBody>
    </xdr:sp>
    <xdr:clientData/>
  </xdr:twoCellAnchor>
  <xdr:twoCellAnchor>
    <xdr:from>
      <xdr:col>3</xdr:col>
      <xdr:colOff>379186</xdr:colOff>
      <xdr:row>2</xdr:row>
      <xdr:rowOff>52616</xdr:rowOff>
    </xdr:from>
    <xdr:to>
      <xdr:col>7</xdr:col>
      <xdr:colOff>42019</xdr:colOff>
      <xdr:row>6</xdr:row>
      <xdr:rowOff>27215</xdr:rowOff>
    </xdr:to>
    <xdr:sp macro="" textlink="">
      <xdr:nvSpPr>
        <xdr:cNvPr id="7" name="Rectangle: Rounded Corners 6">
          <a:extLst>
            <a:ext uri="{FF2B5EF4-FFF2-40B4-BE49-F238E27FC236}">
              <a16:creationId xmlns:a16="http://schemas.microsoft.com/office/drawing/2014/main" id="{B86B1B75-97D8-C120-BAC4-6C8A0D2BDDBE}"/>
            </a:ext>
          </a:extLst>
        </xdr:cNvPr>
        <xdr:cNvSpPr/>
      </xdr:nvSpPr>
      <xdr:spPr>
        <a:xfrm>
          <a:off x="2202543" y="415473"/>
          <a:ext cx="2093976" cy="70031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50" b="0" baseline="0">
              <a:solidFill>
                <a:schemeClr val="accent5">
                  <a:lumMod val="50000"/>
                </a:schemeClr>
              </a:solidFill>
              <a:effectLst/>
              <a:latin typeface="Arial Narrow" panose="020B0606020202030204" pitchFamily="34" charset="0"/>
              <a:ea typeface="+mn-ea"/>
              <a:cs typeface="+mn-cs"/>
            </a:rPr>
            <a:t>City with Highest Overall Revenue  </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200" b="1" baseline="0">
            <a:solidFill>
              <a:schemeClr val="accent5">
                <a:lumMod val="50000"/>
              </a:schemeClr>
            </a:solidFill>
            <a:effectLst/>
            <a:latin typeface="Arial Narrow" panose="020B0606020202030204" pitchFamily="34"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baseline="0">
              <a:solidFill>
                <a:schemeClr val="accent5">
                  <a:lumMod val="50000"/>
                </a:schemeClr>
              </a:solidFill>
              <a:effectLst/>
              <a:latin typeface="Arial Narrow" panose="020B0606020202030204" pitchFamily="34" charset="0"/>
              <a:ea typeface="+mn-ea"/>
              <a:cs typeface="+mn-cs"/>
            </a:rPr>
            <a:t>NEW YORK</a:t>
          </a:r>
          <a:endParaRPr lang="en-US" sz="1200">
            <a:solidFill>
              <a:schemeClr val="accent5">
                <a:lumMod val="50000"/>
              </a:schemeClr>
            </a:solidFill>
            <a:effectLst/>
            <a:latin typeface="Arial Narrow" panose="020B0606020202030204" pitchFamily="34" charset="0"/>
          </a:endParaRPr>
        </a:p>
        <a:p>
          <a:pPr algn="ctr"/>
          <a:endParaRPr lang="en-US" sz="1100">
            <a:solidFill>
              <a:schemeClr val="accent5">
                <a:lumMod val="50000"/>
              </a:schemeClr>
            </a:solidFill>
          </a:endParaRPr>
        </a:p>
      </xdr:txBody>
    </xdr:sp>
    <xdr:clientData/>
  </xdr:twoCellAnchor>
  <xdr:twoCellAnchor>
    <xdr:from>
      <xdr:col>7</xdr:col>
      <xdr:colOff>123373</xdr:colOff>
      <xdr:row>2</xdr:row>
      <xdr:rowOff>50802</xdr:rowOff>
    </xdr:from>
    <xdr:to>
      <xdr:col>10</xdr:col>
      <xdr:colOff>393992</xdr:colOff>
      <xdr:row>6</xdr:row>
      <xdr:rowOff>18143</xdr:rowOff>
    </xdr:to>
    <xdr:sp macro="" textlink="">
      <xdr:nvSpPr>
        <xdr:cNvPr id="8" name="Rectangle: Rounded Corners 7">
          <a:extLst>
            <a:ext uri="{FF2B5EF4-FFF2-40B4-BE49-F238E27FC236}">
              <a16:creationId xmlns:a16="http://schemas.microsoft.com/office/drawing/2014/main" id="{74A29FB9-6474-427C-F617-CBE42371F971}"/>
            </a:ext>
          </a:extLst>
        </xdr:cNvPr>
        <xdr:cNvSpPr/>
      </xdr:nvSpPr>
      <xdr:spPr>
        <a:xfrm>
          <a:off x="4377873" y="413659"/>
          <a:ext cx="2093976" cy="69305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50" b="0" baseline="0">
              <a:solidFill>
                <a:schemeClr val="accent5">
                  <a:lumMod val="50000"/>
                </a:schemeClr>
              </a:solidFill>
              <a:effectLst/>
              <a:latin typeface="Arial Narrow" panose="020B0606020202030204" pitchFamily="34" charset="0"/>
              <a:ea typeface="+mn-ea"/>
              <a:cs typeface="+mn-cs"/>
            </a:rPr>
            <a:t>Largest Transation by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50" b="0" baseline="0">
              <a:solidFill>
                <a:schemeClr val="accent5">
                  <a:lumMod val="50000"/>
                </a:schemeClr>
              </a:solidFill>
              <a:effectLst/>
              <a:latin typeface="Arial Narrow" panose="020B0606020202030204" pitchFamily="34" charset="0"/>
              <a:ea typeface="+mn-ea"/>
              <a:cs typeface="+mn-cs"/>
            </a:rPr>
            <a:t> Amount</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b="1" baseline="0">
              <a:solidFill>
                <a:schemeClr val="accent5">
                  <a:lumMod val="50000"/>
                </a:schemeClr>
              </a:solidFill>
              <a:effectLst/>
              <a:latin typeface="Arial Narrow" panose="020B0606020202030204" pitchFamily="34" charset="0"/>
              <a:ea typeface="+mn-ea"/>
              <a:cs typeface="+mn-cs"/>
            </a:rPr>
            <a:t>10-1010</a:t>
          </a:r>
          <a:endParaRPr lang="en-US" sz="1200" b="1">
            <a:solidFill>
              <a:schemeClr val="accent5">
                <a:lumMod val="50000"/>
              </a:schemeClr>
            </a:solidFill>
            <a:effectLst/>
            <a:latin typeface="Arial Narrow" panose="020B0606020202030204" pitchFamily="34" charset="0"/>
          </a:endParaRPr>
        </a:p>
        <a:p>
          <a:pPr algn="ctr"/>
          <a:endParaRPr lang="en-US" sz="1100">
            <a:solidFill>
              <a:schemeClr val="accent5">
                <a:lumMod val="50000"/>
              </a:schemeClr>
            </a:solidFill>
          </a:endParaRPr>
        </a:p>
      </xdr:txBody>
    </xdr:sp>
    <xdr:clientData/>
  </xdr:twoCellAnchor>
  <xdr:twoCellAnchor>
    <xdr:from>
      <xdr:col>10</xdr:col>
      <xdr:colOff>457202</xdr:colOff>
      <xdr:row>2</xdr:row>
      <xdr:rowOff>48990</xdr:rowOff>
    </xdr:from>
    <xdr:to>
      <xdr:col>14</xdr:col>
      <xdr:colOff>120035</xdr:colOff>
      <xdr:row>6</xdr:row>
      <xdr:rowOff>30847</xdr:rowOff>
    </xdr:to>
    <xdr:sp macro="" textlink="">
      <xdr:nvSpPr>
        <xdr:cNvPr id="10" name="Rectangle: Rounded Corners 9">
          <a:extLst>
            <a:ext uri="{FF2B5EF4-FFF2-40B4-BE49-F238E27FC236}">
              <a16:creationId xmlns:a16="http://schemas.microsoft.com/office/drawing/2014/main" id="{F703B888-490B-CB59-12B9-09C7FDA1787E}"/>
            </a:ext>
          </a:extLst>
        </xdr:cNvPr>
        <xdr:cNvSpPr/>
      </xdr:nvSpPr>
      <xdr:spPr>
        <a:xfrm>
          <a:off x="6535059" y="411847"/>
          <a:ext cx="2093976" cy="707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a:solidFill>
                <a:schemeClr val="accent5">
                  <a:lumMod val="50000"/>
                </a:schemeClr>
              </a:solidFill>
              <a:latin typeface="Arial Narrow" panose="020B0606020202030204" pitchFamily="34" charset="0"/>
            </a:rPr>
            <a:t>Top Best Customer</a:t>
          </a:r>
        </a:p>
        <a:p>
          <a:pPr algn="ctr"/>
          <a:endParaRPr lang="en-US" sz="1200" b="1">
            <a:solidFill>
              <a:schemeClr val="accent5">
                <a:lumMod val="50000"/>
              </a:schemeClr>
            </a:solidFill>
            <a:latin typeface="Arial Narrow" panose="020B0606020202030204" pitchFamily="34" charset="0"/>
          </a:endParaRPr>
        </a:p>
        <a:p>
          <a:pPr algn="ctr"/>
          <a:r>
            <a:rPr lang="en-US" sz="1200" b="1">
              <a:solidFill>
                <a:schemeClr val="accent5">
                  <a:lumMod val="50000"/>
                </a:schemeClr>
              </a:solidFill>
              <a:latin typeface="Arial Narrow" panose="020B0606020202030204" pitchFamily="34" charset="0"/>
            </a:rPr>
            <a:t>COMPANY D</a:t>
          </a:r>
        </a:p>
      </xdr:txBody>
    </xdr:sp>
    <xdr:clientData/>
  </xdr:twoCellAnchor>
  <xdr:twoCellAnchor>
    <xdr:from>
      <xdr:col>14</xdr:col>
      <xdr:colOff>192320</xdr:colOff>
      <xdr:row>2</xdr:row>
      <xdr:rowOff>56245</xdr:rowOff>
    </xdr:from>
    <xdr:to>
      <xdr:col>17</xdr:col>
      <xdr:colOff>462939</xdr:colOff>
      <xdr:row>6</xdr:row>
      <xdr:rowOff>38102</xdr:rowOff>
    </xdr:to>
    <xdr:sp macro="" textlink="">
      <xdr:nvSpPr>
        <xdr:cNvPr id="12" name="Rectangle: Rounded Corners 11">
          <a:extLst>
            <a:ext uri="{FF2B5EF4-FFF2-40B4-BE49-F238E27FC236}">
              <a16:creationId xmlns:a16="http://schemas.microsoft.com/office/drawing/2014/main" id="{7AB2EBC6-1FC7-234A-0FEA-0A250FF43E3E}"/>
            </a:ext>
          </a:extLst>
        </xdr:cNvPr>
        <xdr:cNvSpPr/>
      </xdr:nvSpPr>
      <xdr:spPr>
        <a:xfrm>
          <a:off x="8701320" y="419102"/>
          <a:ext cx="2093976" cy="707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eaLnBrk="1" fontAlgn="auto" latinLnBrk="0" hangingPunct="1"/>
          <a:r>
            <a:rPr lang="en-US" sz="1150" b="0" baseline="0">
              <a:solidFill>
                <a:schemeClr val="accent5">
                  <a:lumMod val="50000"/>
                </a:schemeClr>
              </a:solidFill>
              <a:effectLst/>
              <a:latin typeface="Arial Narrow" panose="020B0606020202030204" pitchFamily="34" charset="0"/>
              <a:ea typeface="+mn-ea"/>
              <a:cs typeface="+mn-cs"/>
            </a:rPr>
            <a:t>Best Performing Product</a:t>
          </a:r>
        </a:p>
        <a:p>
          <a:pPr algn="ctr" eaLnBrk="1" fontAlgn="auto" latinLnBrk="0" hangingPunct="1"/>
          <a:endParaRPr lang="en-US" sz="1200" b="1" baseline="0">
            <a:solidFill>
              <a:schemeClr val="accent5">
                <a:lumMod val="50000"/>
              </a:schemeClr>
            </a:solidFill>
            <a:effectLst/>
            <a:latin typeface="Arial Narrow" panose="020B0606020202030204" pitchFamily="34" charset="0"/>
            <a:ea typeface="+mn-ea"/>
            <a:cs typeface="+mn-cs"/>
          </a:endParaRPr>
        </a:p>
        <a:p>
          <a:pPr algn="ctr" eaLnBrk="1" fontAlgn="auto" latinLnBrk="0" hangingPunct="1"/>
          <a:r>
            <a:rPr lang="en-US" sz="1200" b="1" baseline="0">
              <a:solidFill>
                <a:schemeClr val="accent5">
                  <a:lumMod val="50000"/>
                </a:schemeClr>
              </a:solidFill>
              <a:effectLst/>
              <a:latin typeface="Arial Narrow" panose="020B0606020202030204" pitchFamily="34" charset="0"/>
              <a:ea typeface="+mn-ea"/>
              <a:cs typeface="+mn-cs"/>
            </a:rPr>
            <a:t>BEVERAGES</a:t>
          </a:r>
          <a:endParaRPr lang="en-US" sz="1200" b="1">
            <a:solidFill>
              <a:schemeClr val="accent5">
                <a:lumMod val="50000"/>
              </a:schemeClr>
            </a:solidFill>
            <a:effectLst/>
            <a:latin typeface="Arial Narrow" panose="020B0606020202030204" pitchFamily="34" charset="0"/>
          </a:endParaRPr>
        </a:p>
        <a:p>
          <a:pPr algn="ctr"/>
          <a:endParaRPr lang="en-US" sz="1150" b="1">
            <a:solidFill>
              <a:schemeClr val="accent5">
                <a:lumMod val="50000"/>
              </a:schemeClr>
            </a:solidFill>
          </a:endParaRPr>
        </a:p>
      </xdr:txBody>
    </xdr:sp>
    <xdr:clientData/>
  </xdr:twoCellAnchor>
  <xdr:twoCellAnchor>
    <xdr:from>
      <xdr:col>17</xdr:col>
      <xdr:colOff>544291</xdr:colOff>
      <xdr:row>2</xdr:row>
      <xdr:rowOff>54432</xdr:rowOff>
    </xdr:from>
    <xdr:to>
      <xdr:col>21</xdr:col>
      <xdr:colOff>207124</xdr:colOff>
      <xdr:row>6</xdr:row>
      <xdr:rowOff>36289</xdr:rowOff>
    </xdr:to>
    <xdr:sp macro="" textlink="">
      <xdr:nvSpPr>
        <xdr:cNvPr id="15" name="Rectangle: Rounded Corners 14">
          <a:extLst>
            <a:ext uri="{FF2B5EF4-FFF2-40B4-BE49-F238E27FC236}">
              <a16:creationId xmlns:a16="http://schemas.microsoft.com/office/drawing/2014/main" id="{65C9F95E-11ED-9EF1-932D-3AFC2436B947}"/>
            </a:ext>
          </a:extLst>
        </xdr:cNvPr>
        <xdr:cNvSpPr/>
      </xdr:nvSpPr>
      <xdr:spPr>
        <a:xfrm>
          <a:off x="10876648" y="417289"/>
          <a:ext cx="2093976" cy="707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eaLnBrk="1" fontAlgn="auto" latinLnBrk="0" hangingPunct="1"/>
          <a:r>
            <a:rPr lang="en-US" sz="1100" b="0" baseline="0">
              <a:solidFill>
                <a:schemeClr val="accent5">
                  <a:lumMod val="50000"/>
                </a:schemeClr>
              </a:solidFill>
              <a:effectLst/>
              <a:latin typeface="+mn-lt"/>
              <a:ea typeface="+mn-ea"/>
              <a:cs typeface="+mn-cs"/>
            </a:rPr>
            <a:t>  </a:t>
          </a:r>
          <a:r>
            <a:rPr lang="en-US" sz="1100" b="0" baseline="0">
              <a:solidFill>
                <a:schemeClr val="accent5">
                  <a:lumMod val="50000"/>
                </a:schemeClr>
              </a:solidFill>
              <a:effectLst/>
              <a:latin typeface="Arial Narrow" panose="020B0606020202030204" pitchFamily="34" charset="0"/>
              <a:ea typeface="+mn-ea"/>
              <a:cs typeface="+mn-cs"/>
            </a:rPr>
            <a:t>Month With Highest Sales     </a:t>
          </a:r>
        </a:p>
        <a:p>
          <a:pPr algn="ctr" eaLnBrk="1" fontAlgn="auto" latinLnBrk="0" hangingPunct="1"/>
          <a:endParaRPr lang="en-US" sz="1100" b="0" baseline="0">
            <a:solidFill>
              <a:schemeClr val="accent5">
                <a:lumMod val="50000"/>
              </a:schemeClr>
            </a:solidFill>
            <a:effectLst/>
            <a:latin typeface="Arial Narrow" panose="020B0606020202030204" pitchFamily="34" charset="0"/>
            <a:ea typeface="+mn-ea"/>
            <a:cs typeface="+mn-cs"/>
          </a:endParaRPr>
        </a:p>
        <a:p>
          <a:pPr algn="ctr" eaLnBrk="1" fontAlgn="auto" latinLnBrk="0" hangingPunct="1"/>
          <a:r>
            <a:rPr lang="en-US" sz="1200" b="1" baseline="0">
              <a:solidFill>
                <a:schemeClr val="accent5">
                  <a:lumMod val="50000"/>
                </a:schemeClr>
              </a:solidFill>
              <a:effectLst/>
              <a:latin typeface="Arial Narrow" panose="020B0606020202030204" pitchFamily="34" charset="0"/>
              <a:ea typeface="+mn-ea"/>
              <a:cs typeface="+mn-cs"/>
            </a:rPr>
            <a:t>DECEMBER</a:t>
          </a:r>
          <a:endParaRPr lang="en-US" sz="1200" b="1">
            <a:solidFill>
              <a:schemeClr val="accent5">
                <a:lumMod val="50000"/>
              </a:schemeClr>
            </a:solidFill>
            <a:effectLst/>
            <a:latin typeface="Arial Narrow" panose="020B0606020202030204" pitchFamily="34" charset="0"/>
          </a:endParaRPr>
        </a:p>
        <a:p>
          <a:pPr algn="l"/>
          <a:endParaRPr lang="en-US" sz="1100" b="1">
            <a:solidFill>
              <a:schemeClr val="accent5">
                <a:lumMod val="50000"/>
              </a:schemeClr>
            </a:solidFill>
          </a:endParaRPr>
        </a:p>
      </xdr:txBody>
    </xdr:sp>
    <xdr:clientData/>
  </xdr:twoCellAnchor>
  <xdr:twoCellAnchor>
    <xdr:from>
      <xdr:col>21</xdr:col>
      <xdr:colOff>299357</xdr:colOff>
      <xdr:row>2</xdr:row>
      <xdr:rowOff>52619</xdr:rowOff>
    </xdr:from>
    <xdr:to>
      <xdr:col>24</xdr:col>
      <xdr:colOff>571500</xdr:colOff>
      <xdr:row>6</xdr:row>
      <xdr:rowOff>34476</xdr:rowOff>
    </xdr:to>
    <xdr:sp macro="" textlink="">
      <xdr:nvSpPr>
        <xdr:cNvPr id="17" name="Rectangle: Rounded Corners 16">
          <a:extLst>
            <a:ext uri="{FF2B5EF4-FFF2-40B4-BE49-F238E27FC236}">
              <a16:creationId xmlns:a16="http://schemas.microsoft.com/office/drawing/2014/main" id="{11D632DF-1ECB-4FD7-38DE-A493A8358C71}"/>
            </a:ext>
          </a:extLst>
        </xdr:cNvPr>
        <xdr:cNvSpPr/>
      </xdr:nvSpPr>
      <xdr:spPr>
        <a:xfrm>
          <a:off x="13062857" y="415476"/>
          <a:ext cx="2095500" cy="707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50">
              <a:solidFill>
                <a:schemeClr val="accent5">
                  <a:lumMod val="50000"/>
                </a:schemeClr>
              </a:solidFill>
              <a:latin typeface="Arial Narrow" panose="020B0606020202030204" pitchFamily="34" charset="0"/>
            </a:rPr>
            <a:t>Best Sales</a:t>
          </a:r>
          <a:r>
            <a:rPr lang="en-US" sz="1150" baseline="0">
              <a:solidFill>
                <a:schemeClr val="accent5">
                  <a:lumMod val="50000"/>
                </a:schemeClr>
              </a:solidFill>
              <a:latin typeface="Arial Narrow" panose="020B0606020202030204" pitchFamily="34" charset="0"/>
            </a:rPr>
            <a:t> Performance</a:t>
          </a:r>
        </a:p>
        <a:p>
          <a:pPr algn="ctr"/>
          <a:endParaRPr lang="en-US" sz="1200" b="1">
            <a:solidFill>
              <a:schemeClr val="accent5">
                <a:lumMod val="50000"/>
              </a:schemeClr>
            </a:solidFill>
            <a:effectLst/>
            <a:latin typeface="Arial Narrow" panose="020B0606020202030204" pitchFamily="34" charset="0"/>
          </a:endParaRPr>
        </a:p>
        <a:p>
          <a:pPr algn="ctr"/>
          <a:r>
            <a:rPr lang="en-US" sz="1200" b="1">
              <a:solidFill>
                <a:schemeClr val="accent5">
                  <a:lumMod val="50000"/>
                </a:schemeClr>
              </a:solidFill>
              <a:effectLst/>
              <a:latin typeface="Arial Narrow" panose="020B0606020202030204" pitchFamily="34" charset="0"/>
            </a:rPr>
            <a:t>NANCY FREEHAFER</a:t>
          </a:r>
        </a:p>
        <a:p>
          <a:pPr algn="ctr"/>
          <a:endParaRPr lang="en-US" sz="1150">
            <a:solidFill>
              <a:schemeClr val="accent5">
                <a:lumMod val="50000"/>
              </a:schemeClr>
            </a:solidFill>
          </a:endParaRPr>
        </a:p>
      </xdr:txBody>
    </xdr:sp>
    <xdr:clientData/>
  </xdr:twoCellAnchor>
  <xdr:twoCellAnchor editAs="oneCell">
    <xdr:from>
      <xdr:col>21</xdr:col>
      <xdr:colOff>308428</xdr:colOff>
      <xdr:row>3</xdr:row>
      <xdr:rowOff>154209</xdr:rowOff>
    </xdr:from>
    <xdr:to>
      <xdr:col>22</xdr:col>
      <xdr:colOff>157842</xdr:colOff>
      <xdr:row>6</xdr:row>
      <xdr:rowOff>67124</xdr:rowOff>
    </xdr:to>
    <xdr:pic>
      <xdr:nvPicPr>
        <xdr:cNvPr id="23" name="Graphic 22" descr="Call center with solid fill">
          <a:extLst>
            <a:ext uri="{FF2B5EF4-FFF2-40B4-BE49-F238E27FC236}">
              <a16:creationId xmlns:a16="http://schemas.microsoft.com/office/drawing/2014/main" id="{F4184DD3-44DA-64A0-7493-5689BDC0265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071928" y="698495"/>
          <a:ext cx="457200" cy="457200"/>
        </a:xfrm>
        <a:prstGeom prst="rect">
          <a:avLst/>
        </a:prstGeom>
      </xdr:spPr>
    </xdr:pic>
    <xdr:clientData/>
  </xdr:twoCellAnchor>
  <xdr:twoCellAnchor editAs="oneCell">
    <xdr:from>
      <xdr:col>0</xdr:col>
      <xdr:colOff>136074</xdr:colOff>
      <xdr:row>4</xdr:row>
      <xdr:rowOff>27212</xdr:rowOff>
    </xdr:from>
    <xdr:to>
      <xdr:col>0</xdr:col>
      <xdr:colOff>593274</xdr:colOff>
      <xdr:row>6</xdr:row>
      <xdr:rowOff>121555</xdr:rowOff>
    </xdr:to>
    <xdr:pic>
      <xdr:nvPicPr>
        <xdr:cNvPr id="27" name="Graphic 26" descr="Truck with solid fill">
          <a:extLst>
            <a:ext uri="{FF2B5EF4-FFF2-40B4-BE49-F238E27FC236}">
              <a16:creationId xmlns:a16="http://schemas.microsoft.com/office/drawing/2014/main" id="{E3E6189E-A25F-7532-DC61-6A62AA74119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6074" y="752926"/>
          <a:ext cx="457200" cy="457200"/>
        </a:xfrm>
        <a:prstGeom prst="rect">
          <a:avLst/>
        </a:prstGeom>
      </xdr:spPr>
    </xdr:pic>
    <xdr:clientData/>
  </xdr:twoCellAnchor>
  <xdr:twoCellAnchor editAs="oneCell">
    <xdr:from>
      <xdr:col>3</xdr:col>
      <xdr:colOff>444503</xdr:colOff>
      <xdr:row>3</xdr:row>
      <xdr:rowOff>172355</xdr:rowOff>
    </xdr:from>
    <xdr:to>
      <xdr:col>4</xdr:col>
      <xdr:colOff>293917</xdr:colOff>
      <xdr:row>6</xdr:row>
      <xdr:rowOff>85270</xdr:rowOff>
    </xdr:to>
    <xdr:pic>
      <xdr:nvPicPr>
        <xdr:cNvPr id="29" name="Graphic 28" descr="City with solid fill">
          <a:extLst>
            <a:ext uri="{FF2B5EF4-FFF2-40B4-BE49-F238E27FC236}">
              <a16:creationId xmlns:a16="http://schemas.microsoft.com/office/drawing/2014/main" id="{0A742826-C3D9-DBAF-1F90-82CD308A016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267860" y="716641"/>
          <a:ext cx="457200" cy="457200"/>
        </a:xfrm>
        <a:prstGeom prst="rect">
          <a:avLst/>
        </a:prstGeom>
      </xdr:spPr>
    </xdr:pic>
    <xdr:clientData/>
  </xdr:twoCellAnchor>
  <xdr:twoCellAnchor editAs="oneCell">
    <xdr:from>
      <xdr:col>10</xdr:col>
      <xdr:colOff>508006</xdr:colOff>
      <xdr:row>3</xdr:row>
      <xdr:rowOff>108854</xdr:rowOff>
    </xdr:from>
    <xdr:to>
      <xdr:col>11</xdr:col>
      <xdr:colOff>357420</xdr:colOff>
      <xdr:row>6</xdr:row>
      <xdr:rowOff>21769</xdr:rowOff>
    </xdr:to>
    <xdr:pic>
      <xdr:nvPicPr>
        <xdr:cNvPr id="33" name="Graphic 32" descr="Building with solid fill">
          <a:extLst>
            <a:ext uri="{FF2B5EF4-FFF2-40B4-BE49-F238E27FC236}">
              <a16:creationId xmlns:a16="http://schemas.microsoft.com/office/drawing/2014/main" id="{9BA975C7-D585-1841-FA9C-AF0B5F9B4FB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585863" y="653140"/>
          <a:ext cx="457200" cy="457200"/>
        </a:xfrm>
        <a:prstGeom prst="rect">
          <a:avLst/>
        </a:prstGeom>
      </xdr:spPr>
    </xdr:pic>
    <xdr:clientData/>
  </xdr:twoCellAnchor>
  <xdr:twoCellAnchor editAs="oneCell">
    <xdr:from>
      <xdr:col>14</xdr:col>
      <xdr:colOff>254003</xdr:colOff>
      <xdr:row>3</xdr:row>
      <xdr:rowOff>126996</xdr:rowOff>
    </xdr:from>
    <xdr:to>
      <xdr:col>15</xdr:col>
      <xdr:colOff>103417</xdr:colOff>
      <xdr:row>6</xdr:row>
      <xdr:rowOff>39911</xdr:rowOff>
    </xdr:to>
    <xdr:pic>
      <xdr:nvPicPr>
        <xdr:cNvPr id="35" name="Graphic 34" descr="Coffee with solid fill">
          <a:extLst>
            <a:ext uri="{FF2B5EF4-FFF2-40B4-BE49-F238E27FC236}">
              <a16:creationId xmlns:a16="http://schemas.microsoft.com/office/drawing/2014/main" id="{87CC9A96-06BF-7048-F3BF-F6EB83E96B6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763003" y="671282"/>
          <a:ext cx="457200" cy="457200"/>
        </a:xfrm>
        <a:prstGeom prst="rect">
          <a:avLst/>
        </a:prstGeom>
      </xdr:spPr>
    </xdr:pic>
    <xdr:clientData/>
  </xdr:twoCellAnchor>
  <xdr:twoCellAnchor editAs="oneCell">
    <xdr:from>
      <xdr:col>18</xdr:col>
      <xdr:colOff>36287</xdr:colOff>
      <xdr:row>3</xdr:row>
      <xdr:rowOff>172355</xdr:rowOff>
    </xdr:from>
    <xdr:to>
      <xdr:col>18</xdr:col>
      <xdr:colOff>493487</xdr:colOff>
      <xdr:row>6</xdr:row>
      <xdr:rowOff>85270</xdr:rowOff>
    </xdr:to>
    <xdr:pic>
      <xdr:nvPicPr>
        <xdr:cNvPr id="37" name="Graphic 36" descr="Daily calendar with solid fill">
          <a:extLst>
            <a:ext uri="{FF2B5EF4-FFF2-40B4-BE49-F238E27FC236}">
              <a16:creationId xmlns:a16="http://schemas.microsoft.com/office/drawing/2014/main" id="{070DE057-9F90-502C-06C1-8C88F1A3E29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976430" y="716641"/>
          <a:ext cx="457200" cy="457200"/>
        </a:xfrm>
        <a:prstGeom prst="rect">
          <a:avLst/>
        </a:prstGeom>
      </xdr:spPr>
    </xdr:pic>
    <xdr:clientData/>
  </xdr:twoCellAnchor>
  <xdr:twoCellAnchor editAs="oneCell">
    <xdr:from>
      <xdr:col>24</xdr:col>
      <xdr:colOff>603251</xdr:colOff>
      <xdr:row>2</xdr:row>
      <xdr:rowOff>78923</xdr:rowOff>
    </xdr:from>
    <xdr:to>
      <xdr:col>27</xdr:col>
      <xdr:colOff>326572</xdr:colOff>
      <xdr:row>13</xdr:row>
      <xdr:rowOff>145143</xdr:rowOff>
    </xdr:to>
    <mc:AlternateContent xmlns:mc="http://schemas.openxmlformats.org/markup-compatibility/2006">
      <mc:Choice xmlns:a14="http://schemas.microsoft.com/office/drawing/2010/main" Requires="a14">
        <xdr:graphicFrame macro="">
          <xdr:nvGraphicFramePr>
            <xdr:cNvPr id="39" name="Customer Name">
              <a:extLst>
                <a:ext uri="{FF2B5EF4-FFF2-40B4-BE49-F238E27FC236}">
                  <a16:creationId xmlns:a16="http://schemas.microsoft.com/office/drawing/2014/main" id="{411E9570-2D66-CB21-9809-CF5E7FC4AE44}"/>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15190108" y="441780"/>
              <a:ext cx="1546678" cy="2061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603252</xdr:colOff>
      <xdr:row>13</xdr:row>
      <xdr:rowOff>160566</xdr:rowOff>
    </xdr:from>
    <xdr:to>
      <xdr:col>27</xdr:col>
      <xdr:colOff>344715</xdr:colOff>
      <xdr:row>23</xdr:row>
      <xdr:rowOff>145143</xdr:rowOff>
    </xdr:to>
    <mc:AlternateContent xmlns:mc="http://schemas.openxmlformats.org/markup-compatibility/2006">
      <mc:Choice xmlns:a14="http://schemas.microsoft.com/office/drawing/2010/main" Requires="a14">
        <xdr:graphicFrame macro="">
          <xdr:nvGraphicFramePr>
            <xdr:cNvPr id="40" name="Salesperson">
              <a:extLst>
                <a:ext uri="{FF2B5EF4-FFF2-40B4-BE49-F238E27FC236}">
                  <a16:creationId xmlns:a16="http://schemas.microsoft.com/office/drawing/2014/main" id="{E32D23EB-5A0A-5CEC-69B2-927E3BD1478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5190109" y="2519137"/>
              <a:ext cx="1564820" cy="1798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4535</xdr:colOff>
      <xdr:row>23</xdr:row>
      <xdr:rowOff>158751</xdr:rowOff>
    </xdr:from>
    <xdr:to>
      <xdr:col>27</xdr:col>
      <xdr:colOff>353785</xdr:colOff>
      <xdr:row>32</xdr:row>
      <xdr:rowOff>9072</xdr:rowOff>
    </xdr:to>
    <mc:AlternateContent xmlns:mc="http://schemas.openxmlformats.org/markup-compatibility/2006">
      <mc:Choice xmlns:a14="http://schemas.microsoft.com/office/drawing/2010/main" Requires="a14">
        <xdr:graphicFrame macro="">
          <xdr:nvGraphicFramePr>
            <xdr:cNvPr id="41" name="City">
              <a:extLst>
                <a:ext uri="{FF2B5EF4-FFF2-40B4-BE49-F238E27FC236}">
                  <a16:creationId xmlns:a16="http://schemas.microsoft.com/office/drawing/2014/main" id="{490A3735-AC88-BDDA-762D-87D5FE44908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199178" y="4331608"/>
              <a:ext cx="1564821" cy="1483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199574</xdr:colOff>
      <xdr:row>3</xdr:row>
      <xdr:rowOff>154212</xdr:rowOff>
    </xdr:from>
    <xdr:to>
      <xdr:col>8</xdr:col>
      <xdr:colOff>48988</xdr:colOff>
      <xdr:row>6</xdr:row>
      <xdr:rowOff>67127</xdr:rowOff>
    </xdr:to>
    <xdr:pic>
      <xdr:nvPicPr>
        <xdr:cNvPr id="18" name="Graphic 17" descr="Coins with solid fill">
          <a:extLst>
            <a:ext uri="{FF2B5EF4-FFF2-40B4-BE49-F238E27FC236}">
              <a16:creationId xmlns:a16="http://schemas.microsoft.com/office/drawing/2014/main" id="{ED6C7198-13DB-4B3D-40E9-33BEE80DAFC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454074" y="698498"/>
          <a:ext cx="457200" cy="457200"/>
        </a:xfrm>
        <a:prstGeom prst="rect">
          <a:avLst/>
        </a:prstGeom>
      </xdr:spPr>
    </xdr:pic>
    <xdr:clientData/>
  </xdr:twoCellAnchor>
  <xdr:twoCellAnchor>
    <xdr:from>
      <xdr:col>15</xdr:col>
      <xdr:colOff>254000</xdr:colOff>
      <xdr:row>5</xdr:row>
      <xdr:rowOff>145144</xdr:rowOff>
    </xdr:from>
    <xdr:to>
      <xdr:col>24</xdr:col>
      <xdr:colOff>190500</xdr:colOff>
      <xdr:row>15</xdr:row>
      <xdr:rowOff>50944</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7A642BB2-60E0-4540-A1C8-55A2BF5843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9370786" y="1052287"/>
              <a:ext cx="5406571" cy="17200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190499</xdr:colOff>
      <xdr:row>6</xdr:row>
      <xdr:rowOff>63500</xdr:rowOff>
    </xdr:from>
    <xdr:to>
      <xdr:col>22</xdr:col>
      <xdr:colOff>435428</xdr:colOff>
      <xdr:row>7</xdr:row>
      <xdr:rowOff>108857</xdr:rowOff>
    </xdr:to>
    <xdr:sp macro="" textlink="">
      <xdr:nvSpPr>
        <xdr:cNvPr id="22" name="TextBox 21">
          <a:extLst>
            <a:ext uri="{FF2B5EF4-FFF2-40B4-BE49-F238E27FC236}">
              <a16:creationId xmlns:a16="http://schemas.microsoft.com/office/drawing/2014/main" id="{D27A521A-CCB6-A65E-4C1B-E2186F44EDBB}"/>
            </a:ext>
          </a:extLst>
        </xdr:cNvPr>
        <xdr:cNvSpPr txBox="1"/>
      </xdr:nvSpPr>
      <xdr:spPr>
        <a:xfrm>
          <a:off x="11738428" y="1152071"/>
          <a:ext cx="2068286" cy="2267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3">
                  <a:lumMod val="50000"/>
                </a:schemeClr>
              </a:solidFill>
              <a:latin typeface="Arial Narrow" panose="020B0606020202030204" pitchFamily="34" charset="0"/>
            </a:rPr>
            <a:t>Performance</a:t>
          </a:r>
          <a:r>
            <a:rPr lang="en-US" sz="1400" baseline="0">
              <a:solidFill>
                <a:schemeClr val="accent3">
                  <a:lumMod val="50000"/>
                </a:schemeClr>
              </a:solidFill>
              <a:latin typeface="Arial Narrow" panose="020B0606020202030204" pitchFamily="34" charset="0"/>
            </a:rPr>
            <a:t> by State</a:t>
          </a:r>
          <a:endParaRPr lang="en-US" sz="1400">
            <a:solidFill>
              <a:schemeClr val="accent3">
                <a:lumMod val="50000"/>
              </a:schemeClr>
            </a:solidFill>
            <a:latin typeface="Arial Narrow" panose="020B0606020202030204" pitchFamily="34" charset="0"/>
          </a:endParaRPr>
        </a:p>
      </xdr:txBody>
    </xdr:sp>
    <xdr:clientData/>
  </xdr:twoCellAnchor>
  <xdr:twoCellAnchor editAs="oneCell">
    <xdr:from>
      <xdr:col>25</xdr:col>
      <xdr:colOff>13607</xdr:colOff>
      <xdr:row>32</xdr:row>
      <xdr:rowOff>42638</xdr:rowOff>
    </xdr:from>
    <xdr:to>
      <xdr:col>27</xdr:col>
      <xdr:colOff>353786</xdr:colOff>
      <xdr:row>35</xdr:row>
      <xdr:rowOff>163286</xdr:rowOff>
    </xdr:to>
    <mc:AlternateContent xmlns:mc="http://schemas.openxmlformats.org/markup-compatibility/2006">
      <mc:Choice xmlns:a14="http://schemas.microsoft.com/office/drawing/2010/main" Requires="a14">
        <xdr:graphicFrame macro="">
          <xdr:nvGraphicFramePr>
            <xdr:cNvPr id="24" name="Region">
              <a:extLst>
                <a:ext uri="{FF2B5EF4-FFF2-40B4-BE49-F238E27FC236}">
                  <a16:creationId xmlns:a16="http://schemas.microsoft.com/office/drawing/2014/main" id="{E79A6344-53FA-156B-39EC-E023263ED6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08250" y="5848352"/>
              <a:ext cx="1555750" cy="664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371928</xdr:colOff>
      <xdr:row>6</xdr:row>
      <xdr:rowOff>18144</xdr:rowOff>
    </xdr:from>
    <xdr:to>
      <xdr:col>24</xdr:col>
      <xdr:colOff>0</xdr:colOff>
      <xdr:row>15</xdr:row>
      <xdr:rowOff>27214</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DEB155FF-6D44-444F-8ADD-9909ABB036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9488714" y="1106715"/>
              <a:ext cx="5098143" cy="16419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38100</xdr:colOff>
      <xdr:row>0</xdr:row>
      <xdr:rowOff>137584</xdr:rowOff>
    </xdr:from>
    <xdr:to>
      <xdr:col>7</xdr:col>
      <xdr:colOff>152400</xdr:colOff>
      <xdr:row>12</xdr:row>
      <xdr:rowOff>131234</xdr:rowOff>
    </xdr:to>
    <xdr:sp macro="" textlink="">
      <xdr:nvSpPr>
        <xdr:cNvPr id="2" name="Rounded Rectangle 1">
          <a:extLst>
            <a:ext uri="{FF2B5EF4-FFF2-40B4-BE49-F238E27FC236}">
              <a16:creationId xmlns:a16="http://schemas.microsoft.com/office/drawing/2014/main" id="{00000000-0008-0000-0900-000002000000}"/>
            </a:ext>
          </a:extLst>
        </xdr:cNvPr>
        <xdr:cNvSpPr/>
      </xdr:nvSpPr>
      <xdr:spPr>
        <a:xfrm>
          <a:off x="38100" y="137584"/>
          <a:ext cx="4381500" cy="220345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r>
            <a:rPr lang="en-US" sz="1000" b="1" baseline="0"/>
            <a:t>ANALYSIS- Sales by Reps</a:t>
          </a:r>
        </a:p>
        <a:p>
          <a:pPr algn="l"/>
          <a:r>
            <a:rPr lang="en-US" sz="1000" b="0"/>
            <a:t>OBERVATION</a:t>
          </a:r>
        </a:p>
        <a:p>
          <a:pPr algn="l"/>
          <a:r>
            <a:rPr lang="en-US" sz="800" b="0"/>
            <a:t>Nancy is the top-performing sales representative, contributing the highest sales amount of $104,252.32</a:t>
          </a:r>
        </a:p>
        <a:p>
          <a:pPr algn="l"/>
          <a:r>
            <a:rPr lang="en-US" sz="800" b="0"/>
            <a:t>Nancy and Anne stand out significantly and account for a large share of total sales</a:t>
          </a:r>
        </a:p>
        <a:p>
          <a:pPr algn="l"/>
          <a:r>
            <a:rPr lang="en-US" sz="800" b="0"/>
            <a:t>Andrew, Mariya, Laura, and Micheal form the middle tier with moderate performance</a:t>
          </a:r>
        </a:p>
        <a:p>
          <a:r>
            <a:rPr lang="en-US" sz="800" b="0"/>
            <a:t>Robert and Jan are in the bottom tier, contributing significantly less than others.</a:t>
          </a:r>
        </a:p>
        <a:p>
          <a:r>
            <a:rPr lang="en-US" sz="800" b="0"/>
            <a:t>The</a:t>
          </a:r>
          <a:r>
            <a:rPr lang="en-US" sz="800" b="0" baseline="0"/>
            <a:t> least performing is Jan with $16,350.50</a:t>
          </a:r>
        </a:p>
        <a:p>
          <a:r>
            <a:rPr lang="en-US" sz="800" b="0"/>
            <a:t>There is a large performance gap between the top (Nancy) and bottom (Jan) performers, highlighting a possible need for training, motivation, or performance review</a:t>
          </a:r>
        </a:p>
        <a:p>
          <a:pPr algn="l"/>
          <a:r>
            <a:rPr lang="en-US" sz="1000" b="1" baseline="0"/>
            <a:t>PRE-INSIGHT</a:t>
          </a:r>
        </a:p>
        <a:p>
          <a:pPr algn="l"/>
          <a:r>
            <a:rPr lang="en-US" sz="800"/>
            <a:t>Acknowledge high performers like Nancy and Anne to sustain momentum.</a:t>
          </a:r>
        </a:p>
        <a:p>
          <a:pPr algn="l"/>
          <a:r>
            <a:rPr lang="en-US" sz="800"/>
            <a:t>Provide coaching or mentoring to lower-performing reps like Jan and Robert.</a:t>
          </a:r>
        </a:p>
        <a:p>
          <a:pPr algn="l"/>
          <a:r>
            <a:rPr lang="en-US" sz="800"/>
            <a:t>Consider whether sales targets are realistic and fairly distributed</a:t>
          </a:r>
          <a:endParaRPr lang="en-US" sz="800" b="1" baseline="0"/>
        </a:p>
      </xdr:txBody>
    </xdr:sp>
    <xdr:clientData/>
  </xdr:twoCellAnchor>
  <xdr:twoCellAnchor>
    <xdr:from>
      <xdr:col>0</xdr:col>
      <xdr:colOff>52918</xdr:colOff>
      <xdr:row>13</xdr:row>
      <xdr:rowOff>28222</xdr:rowOff>
    </xdr:from>
    <xdr:to>
      <xdr:col>7</xdr:col>
      <xdr:colOff>167218</xdr:colOff>
      <xdr:row>26</xdr:row>
      <xdr:rowOff>155222</xdr:rowOff>
    </xdr:to>
    <xdr:sp macro="" textlink="">
      <xdr:nvSpPr>
        <xdr:cNvPr id="3" name="Rounded Rectangle 2">
          <a:extLst>
            <a:ext uri="{FF2B5EF4-FFF2-40B4-BE49-F238E27FC236}">
              <a16:creationId xmlns:a16="http://schemas.microsoft.com/office/drawing/2014/main" id="{00000000-0008-0000-0900-000003000000}"/>
            </a:ext>
          </a:extLst>
        </xdr:cNvPr>
        <xdr:cNvSpPr/>
      </xdr:nvSpPr>
      <xdr:spPr>
        <a:xfrm>
          <a:off x="52918" y="2422172"/>
          <a:ext cx="4381500" cy="25209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0" baseline="0">
              <a:solidFill>
                <a:schemeClr val="accent5">
                  <a:lumMod val="50000"/>
                </a:schemeClr>
              </a:solidFill>
            </a:rPr>
            <a:t>                                        </a:t>
          </a:r>
          <a:r>
            <a:rPr lang="en-US" sz="1000" b="1" baseline="0">
              <a:solidFill>
                <a:schemeClr val="accent5">
                  <a:lumMod val="50000"/>
                </a:schemeClr>
              </a:solidFill>
            </a:rPr>
            <a:t>ANALYSIS- Sales by Region</a:t>
          </a:r>
        </a:p>
        <a:p>
          <a:pPr algn="l"/>
          <a:r>
            <a:rPr lang="en-US" sz="1000" b="1" baseline="0">
              <a:solidFill>
                <a:schemeClr val="accent5">
                  <a:lumMod val="50000"/>
                </a:schemeClr>
              </a:solidFill>
            </a:rPr>
            <a:t>OBSERVATION</a:t>
          </a:r>
        </a:p>
        <a:p>
          <a:pPr algn="l"/>
          <a:r>
            <a:rPr lang="en-US" sz="1000" b="0">
              <a:solidFill>
                <a:schemeClr val="accent5">
                  <a:lumMod val="50000"/>
                </a:schemeClr>
              </a:solidFill>
            </a:rPr>
            <a:t>The North region leads in sales with $141,680.34, making up the highest share of total sales</a:t>
          </a:r>
        </a:p>
        <a:p>
          <a:r>
            <a:rPr lang="en-US" sz="1000" b="0">
              <a:solidFill>
                <a:schemeClr val="accent5">
                  <a:lumMod val="50000"/>
                </a:schemeClr>
              </a:solidFill>
            </a:rPr>
            <a:t>East comes second with $108,275.51, showing healthy sales figures.</a:t>
          </a:r>
        </a:p>
        <a:p>
          <a:r>
            <a:rPr lang="en-US" sz="1000" b="0">
              <a:solidFill>
                <a:schemeClr val="accent5">
                  <a:lumMod val="50000"/>
                </a:schemeClr>
              </a:solidFill>
            </a:rPr>
            <a:t>South, with $93,858.33, performs moderately and may have room for growth with targeted marketing or sales campaigns</a:t>
          </a:r>
        </a:p>
        <a:p>
          <a:pPr algn="l"/>
          <a:r>
            <a:rPr lang="en-US" sz="1000" b="0">
              <a:solidFill>
                <a:schemeClr val="accent5">
                  <a:lumMod val="50000"/>
                </a:schemeClr>
              </a:solidFill>
            </a:rPr>
            <a:t>The West region is the lowest, contributing $91,251.98.</a:t>
          </a:r>
        </a:p>
        <a:p>
          <a:pPr algn="l"/>
          <a:r>
            <a:rPr lang="en-US" sz="1000" b="0">
              <a:solidFill>
                <a:schemeClr val="accent5">
                  <a:lumMod val="50000"/>
                </a:schemeClr>
              </a:solidFill>
            </a:rPr>
            <a:t>The data shows a geographic imbalance in sales, suggesting that strategies may need to be regionalized or adjusted per market conditions</a:t>
          </a:r>
        </a:p>
        <a:p>
          <a:pPr algn="l"/>
          <a:r>
            <a:rPr lang="en-US" sz="1000" b="1">
              <a:solidFill>
                <a:schemeClr val="accent5">
                  <a:lumMod val="50000"/>
                </a:schemeClr>
              </a:solidFill>
            </a:rPr>
            <a:t>PRE-INSIGHT</a:t>
          </a:r>
        </a:p>
        <a:p>
          <a:pPr algn="l"/>
          <a:r>
            <a:rPr lang="en-US" sz="1000">
              <a:solidFill>
                <a:schemeClr val="accent5">
                  <a:lumMod val="50000"/>
                </a:schemeClr>
              </a:solidFill>
            </a:rPr>
            <a:t>Gather customer insights from lower-performing regions to understand local market needs better</a:t>
          </a:r>
        </a:p>
        <a:p>
          <a:pPr algn="l"/>
          <a:r>
            <a:rPr lang="en-US" sz="1000">
              <a:solidFill>
                <a:schemeClr val="accent5">
                  <a:lumMod val="50000"/>
                </a:schemeClr>
              </a:solidFill>
            </a:rPr>
            <a:t>Analyze what’s working in the North and replicate successful strategies in the West and South</a:t>
          </a:r>
          <a:endParaRPr lang="en-US" sz="1000" b="0">
            <a:solidFill>
              <a:schemeClr val="accent5">
                <a:lumMod val="50000"/>
              </a:schemeClr>
            </a:solidFill>
          </a:endParaRPr>
        </a:p>
      </xdr:txBody>
    </xdr:sp>
    <xdr:clientData/>
  </xdr:twoCellAnchor>
  <xdr:twoCellAnchor>
    <xdr:from>
      <xdr:col>7</xdr:col>
      <xdr:colOff>395110</xdr:colOff>
      <xdr:row>13</xdr:row>
      <xdr:rowOff>43039</xdr:rowOff>
    </xdr:from>
    <xdr:to>
      <xdr:col>15</xdr:col>
      <xdr:colOff>225776</xdr:colOff>
      <xdr:row>27</xdr:row>
      <xdr:rowOff>77612</xdr:rowOff>
    </xdr:to>
    <xdr:sp macro="" textlink="">
      <xdr:nvSpPr>
        <xdr:cNvPr id="4" name="Rounded Rectangle 3">
          <a:extLst>
            <a:ext uri="{FF2B5EF4-FFF2-40B4-BE49-F238E27FC236}">
              <a16:creationId xmlns:a16="http://schemas.microsoft.com/office/drawing/2014/main" id="{00000000-0008-0000-0900-000004000000}"/>
            </a:ext>
          </a:extLst>
        </xdr:cNvPr>
        <xdr:cNvSpPr/>
      </xdr:nvSpPr>
      <xdr:spPr>
        <a:xfrm>
          <a:off x="4642554" y="2427817"/>
          <a:ext cx="4684889" cy="2602795"/>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b="1" baseline="0">
              <a:solidFill>
                <a:schemeClr val="lt1"/>
              </a:solidFill>
              <a:effectLst/>
              <a:latin typeface="+mn-lt"/>
              <a:ea typeface="+mn-ea"/>
              <a:cs typeface="+mn-cs"/>
            </a:rPr>
            <a:t>                              ANALYSIS- Transation Distribution by Amount</a:t>
          </a:r>
          <a:endParaRPr lang="en-US" sz="1000">
            <a:effectLst/>
          </a:endParaRPr>
        </a:p>
        <a:p>
          <a:r>
            <a:rPr lang="en-US" sz="1000" b="1" baseline="0">
              <a:solidFill>
                <a:schemeClr val="lt1"/>
              </a:solidFill>
              <a:effectLst/>
              <a:latin typeface="+mn-lt"/>
              <a:ea typeface="+mn-ea"/>
              <a:cs typeface="+mn-cs"/>
            </a:rPr>
            <a:t>OBSERVATION</a:t>
          </a:r>
        </a:p>
        <a:p>
          <a:r>
            <a:rPr lang="en-US" sz="800"/>
            <a:t>The majority of transactions (</a:t>
          </a:r>
          <a:r>
            <a:rPr lang="en-US" sz="800" b="1"/>
            <a:t>221 transactions</a:t>
          </a:r>
          <a:r>
            <a:rPr lang="en-US" sz="800"/>
            <a:t>) fall in the </a:t>
          </a:r>
          <a:r>
            <a:rPr lang="en-US" sz="800" b="1"/>
            <a:t>lowest amount range ($10–1,010)</a:t>
          </a:r>
        </a:p>
        <a:p>
          <a:r>
            <a:rPr lang="en-US" sz="800"/>
            <a:t>Transactions above </a:t>
          </a:r>
          <a:r>
            <a:rPr lang="en-US" sz="800" b="1"/>
            <a:t>$4,010</a:t>
          </a:r>
          <a:r>
            <a:rPr lang="en-US" sz="800"/>
            <a:t> are very rare (only </a:t>
          </a:r>
          <a:r>
            <a:rPr lang="en-US" sz="800" b="1"/>
            <a:t>11 transactions combined</a:t>
          </a:r>
          <a:r>
            <a:rPr lang="en-US" sz="800"/>
            <a:t> across the 4,010+ ranges)</a:t>
          </a:r>
        </a:p>
        <a:p>
          <a:r>
            <a:rPr lang="en-US" sz="800"/>
            <a:t>The next tier (1,010–2,010) sees only </a:t>
          </a:r>
          <a:r>
            <a:rPr lang="en-US" sz="800" b="1"/>
            <a:t>82 transactions</a:t>
          </a:r>
          <a:endParaRPr lang="en-US" sz="800">
            <a:effectLst/>
          </a:endParaRPr>
        </a:p>
        <a:p>
          <a:pPr eaLnBrk="1" fontAlgn="auto" latinLnBrk="0" hangingPunct="1"/>
          <a:endParaRPr lang="en-US" sz="1000" b="1">
            <a:solidFill>
              <a:schemeClr val="lt1"/>
            </a:solidFill>
            <a:effectLst/>
            <a:latin typeface="+mn-lt"/>
            <a:ea typeface="+mn-ea"/>
            <a:cs typeface="+mn-cs"/>
          </a:endParaRPr>
        </a:p>
        <a:p>
          <a:pPr eaLnBrk="1" fontAlgn="auto" latinLnBrk="0" hangingPunct="1"/>
          <a:r>
            <a:rPr lang="en-US" sz="1000" b="1">
              <a:solidFill>
                <a:schemeClr val="lt1"/>
              </a:solidFill>
              <a:effectLst/>
              <a:latin typeface="+mn-lt"/>
              <a:ea typeface="+mn-ea"/>
              <a:cs typeface="+mn-cs"/>
            </a:rPr>
            <a:t>PRE-INSIGHT</a:t>
          </a:r>
        </a:p>
        <a:p>
          <a:pPr eaLnBrk="1" fontAlgn="auto" latinLnBrk="0" hangingPunct="1"/>
          <a:r>
            <a:rPr lang="en-US" sz="800"/>
            <a:t>To Offer bundles, upselling, and loyalty incentives to push customers to spend more per transaction.</a:t>
          </a:r>
        </a:p>
        <a:p>
          <a:pPr eaLnBrk="1" fontAlgn="auto" latinLnBrk="0" hangingPunct="1"/>
          <a:r>
            <a:rPr lang="en-US" sz="800"/>
            <a:t>Identify the few customers making larger transactions and </a:t>
          </a:r>
          <a:r>
            <a:rPr lang="en-US" sz="800" b="1"/>
            <a:t>create personalized offers</a:t>
          </a:r>
          <a:r>
            <a:rPr lang="en-US" sz="800"/>
            <a:t> to retain them.</a:t>
          </a:r>
        </a:p>
        <a:p>
          <a:pPr eaLnBrk="1" fontAlgn="auto" latinLnBrk="0" hangingPunct="1"/>
          <a:r>
            <a:rPr lang="en-US" sz="800"/>
            <a:t>Target customers in the lowest bracket to transition into the $1,010–2,010 range</a:t>
          </a:r>
          <a:endParaRPr lang="en-US" sz="8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n-US" sz="1000">
            <a:effectLst/>
          </a:endParaRPr>
        </a:p>
      </xdr:txBody>
    </xdr:sp>
    <xdr:clientData/>
  </xdr:twoCellAnchor>
  <xdr:twoCellAnchor>
    <xdr:from>
      <xdr:col>7</xdr:col>
      <xdr:colOff>476957</xdr:colOff>
      <xdr:row>0</xdr:row>
      <xdr:rowOff>153106</xdr:rowOff>
    </xdr:from>
    <xdr:to>
      <xdr:col>14</xdr:col>
      <xdr:colOff>591256</xdr:colOff>
      <xdr:row>12</xdr:row>
      <xdr:rowOff>146756</xdr:rowOff>
    </xdr:to>
    <xdr:sp macro="" textlink="">
      <xdr:nvSpPr>
        <xdr:cNvPr id="5" name="Rounded Rectangle 4">
          <a:extLst>
            <a:ext uri="{FF2B5EF4-FFF2-40B4-BE49-F238E27FC236}">
              <a16:creationId xmlns:a16="http://schemas.microsoft.com/office/drawing/2014/main" id="{00000000-0008-0000-0900-000005000000}"/>
            </a:ext>
          </a:extLst>
        </xdr:cNvPr>
        <xdr:cNvSpPr/>
      </xdr:nvSpPr>
      <xdr:spPr>
        <a:xfrm>
          <a:off x="4744157" y="153106"/>
          <a:ext cx="4381499" cy="22034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aseline="0">
              <a:solidFill>
                <a:schemeClr val="accent5">
                  <a:lumMod val="50000"/>
                </a:schemeClr>
              </a:solidFill>
            </a:rPr>
            <a:t>                     </a:t>
          </a:r>
          <a:r>
            <a:rPr lang="en-US" sz="1100" b="0" baseline="0">
              <a:solidFill>
                <a:schemeClr val="accent5">
                  <a:lumMod val="50000"/>
                </a:schemeClr>
              </a:solidFill>
              <a:effectLst/>
              <a:latin typeface="+mn-lt"/>
              <a:ea typeface="+mn-ea"/>
              <a:cs typeface="+mn-cs"/>
            </a:rPr>
            <a:t>      </a:t>
          </a:r>
          <a:r>
            <a:rPr lang="en-US" sz="1100" b="1" baseline="0">
              <a:solidFill>
                <a:schemeClr val="accent5">
                  <a:lumMod val="50000"/>
                </a:schemeClr>
              </a:solidFill>
              <a:effectLst/>
              <a:latin typeface="+mn-lt"/>
              <a:ea typeface="+mn-ea"/>
              <a:cs typeface="+mn-cs"/>
            </a:rPr>
            <a:t>ANALYSIS- Top 10 Customers</a:t>
          </a:r>
          <a:endParaRPr lang="en-US" sz="800">
            <a:solidFill>
              <a:schemeClr val="accent5">
                <a:lumMod val="50000"/>
              </a:schemeClr>
            </a:solidFill>
            <a:effectLst/>
          </a:endParaRPr>
        </a:p>
        <a:p>
          <a:r>
            <a:rPr lang="en-US" sz="1000" b="1" baseline="0">
              <a:solidFill>
                <a:schemeClr val="accent5">
                  <a:lumMod val="50000"/>
                </a:schemeClr>
              </a:solidFill>
              <a:effectLst/>
              <a:latin typeface="+mn-lt"/>
              <a:ea typeface="+mn-ea"/>
              <a:cs typeface="+mn-cs"/>
            </a:rPr>
            <a:t>OBSERVATION</a:t>
          </a:r>
          <a:endParaRPr lang="en-US" sz="1000">
            <a:solidFill>
              <a:schemeClr val="accent5">
                <a:lumMod val="50000"/>
              </a:schemeClr>
            </a:solidFill>
            <a:effectLst/>
          </a:endParaRPr>
        </a:p>
        <a:p>
          <a:pPr algn="l"/>
          <a:r>
            <a:rPr lang="en-US" sz="800" b="0">
              <a:solidFill>
                <a:schemeClr val="accent5">
                  <a:lumMod val="50000"/>
                </a:schemeClr>
              </a:solidFill>
            </a:rPr>
            <a:t>Company D is the highest-value customer, contributing $67,180.50.</a:t>
          </a:r>
        </a:p>
        <a:p>
          <a:pPr algn="l"/>
          <a:r>
            <a:rPr lang="en-US" sz="800" b="0">
              <a:solidFill>
                <a:schemeClr val="accent5">
                  <a:lumMod val="50000"/>
                </a:schemeClr>
              </a:solidFill>
            </a:rPr>
            <a:t>Company D, H, and BB contribute a significant portion of overall top 10 sales</a:t>
          </a:r>
        </a:p>
        <a:p>
          <a:pPr algn="l"/>
          <a:r>
            <a:rPr lang="en-US" sz="800" b="0">
              <a:solidFill>
                <a:schemeClr val="accent5">
                  <a:lumMod val="50000"/>
                </a:schemeClr>
              </a:solidFill>
            </a:rPr>
            <a:t>Companies F to I fall in the $32K–$37K range, representing a stable middle-tier</a:t>
          </a:r>
        </a:p>
        <a:p>
          <a:pPr algn="l"/>
          <a:r>
            <a:rPr lang="en-US" sz="800" b="0">
              <a:solidFill>
                <a:schemeClr val="accent5">
                  <a:lumMod val="50000"/>
                </a:schemeClr>
              </a:solidFill>
            </a:rPr>
            <a:t>Company K being the lowest at $21,937.08.</a:t>
          </a:r>
        </a:p>
        <a:p>
          <a:pPr algn="l"/>
          <a:r>
            <a:rPr lang="en-US" sz="800" b="0">
              <a:solidFill>
                <a:schemeClr val="accent5">
                  <a:lumMod val="50000"/>
                </a:schemeClr>
              </a:solidFill>
            </a:rPr>
            <a:t>Revenue concentration risk exists if too much reliance is placed on top clients like Company D or H.</a:t>
          </a:r>
        </a:p>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accent5">
                  <a:lumMod val="50000"/>
                </a:schemeClr>
              </a:solidFill>
              <a:effectLst/>
              <a:latin typeface="+mn-lt"/>
              <a:ea typeface="+mn-ea"/>
              <a:cs typeface="+mn-cs"/>
            </a:rPr>
            <a:t>PRE-INSIGHT</a:t>
          </a:r>
          <a:endParaRPr lang="en-US" sz="800">
            <a:solidFill>
              <a:schemeClr val="accent5">
                <a:lumMod val="50000"/>
              </a:schemeClr>
            </a:solidFill>
            <a:effectLst/>
          </a:endParaRPr>
        </a:p>
        <a:p>
          <a:pPr algn="l"/>
          <a:r>
            <a:rPr lang="en-US" sz="800">
              <a:solidFill>
                <a:schemeClr val="accent5">
                  <a:lumMod val="50000"/>
                </a:schemeClr>
              </a:solidFill>
            </a:rPr>
            <a:t>Ensure dedicated account management for Company D, H, and BB to maintain and grow their business</a:t>
          </a:r>
        </a:p>
        <a:p>
          <a:pPr algn="l"/>
          <a:r>
            <a:rPr lang="en-US" sz="800">
              <a:solidFill>
                <a:schemeClr val="accent5">
                  <a:lumMod val="50000"/>
                </a:schemeClr>
              </a:solidFill>
            </a:rPr>
            <a:t>Re-engage or analyze Companies J to K to uncover reasons for lower spend and possible improvements.</a:t>
          </a:r>
        </a:p>
        <a:p>
          <a:pPr algn="l"/>
          <a:r>
            <a:rPr lang="en-US" sz="800">
              <a:solidFill>
                <a:schemeClr val="accent5">
                  <a:lumMod val="50000"/>
                </a:schemeClr>
              </a:solidFill>
            </a:rPr>
            <a:t>Reduce reliance on top 1–2 clients by expanding customer base or increasing sales to lower-tier customers.</a:t>
          </a:r>
          <a:endParaRPr lang="en-US" sz="800" b="1" baseline="0">
            <a:solidFill>
              <a:schemeClr val="accent5">
                <a:lumMod val="50000"/>
              </a:schemeClr>
            </a:solidFill>
          </a:endParaRPr>
        </a:p>
        <a:p>
          <a:pPr algn="l"/>
          <a:endParaRPr lang="en-US" sz="800" b="1">
            <a:solidFill>
              <a:schemeClr val="accent5">
                <a:lumMod val="50000"/>
              </a:schemeClr>
            </a:solidFill>
          </a:endParaRPr>
        </a:p>
      </xdr:txBody>
    </xdr:sp>
    <xdr:clientData/>
  </xdr:twoCellAnchor>
  <xdr:twoCellAnchor>
    <xdr:from>
      <xdr:col>15</xdr:col>
      <xdr:colOff>364065</xdr:colOff>
      <xdr:row>0</xdr:row>
      <xdr:rowOff>70556</xdr:rowOff>
    </xdr:from>
    <xdr:to>
      <xdr:col>22</xdr:col>
      <xdr:colOff>508000</xdr:colOff>
      <xdr:row>13</xdr:row>
      <xdr:rowOff>112889</xdr:rowOff>
    </xdr:to>
    <xdr:sp macro="" textlink="">
      <xdr:nvSpPr>
        <xdr:cNvPr id="7" name="Rounded Rectangle 6">
          <a:extLst>
            <a:ext uri="{FF2B5EF4-FFF2-40B4-BE49-F238E27FC236}">
              <a16:creationId xmlns:a16="http://schemas.microsoft.com/office/drawing/2014/main" id="{00000000-0008-0000-0900-000007000000}"/>
            </a:ext>
          </a:extLst>
        </xdr:cNvPr>
        <xdr:cNvSpPr/>
      </xdr:nvSpPr>
      <xdr:spPr>
        <a:xfrm>
          <a:off x="9465732" y="70556"/>
          <a:ext cx="4391379" cy="2427111"/>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b="1" baseline="0">
              <a:solidFill>
                <a:schemeClr val="lt1"/>
              </a:solidFill>
              <a:effectLst/>
              <a:latin typeface="+mn-lt"/>
              <a:ea typeface="+mn-ea"/>
              <a:cs typeface="+mn-cs"/>
            </a:rPr>
            <a:t>                                    ANALYSIS- Sales By Product Category</a:t>
          </a:r>
          <a:endParaRPr lang="en-US" sz="1000">
            <a:effectLst/>
          </a:endParaRPr>
        </a:p>
        <a:p>
          <a:r>
            <a:rPr lang="en-US" sz="1000" b="1" baseline="0">
              <a:solidFill>
                <a:schemeClr val="lt1"/>
              </a:solidFill>
              <a:effectLst/>
              <a:latin typeface="+mn-lt"/>
              <a:ea typeface="+mn-ea"/>
              <a:cs typeface="+mn-cs"/>
            </a:rPr>
            <a:t>OBSERVATION</a:t>
          </a:r>
        </a:p>
        <a:p>
          <a:pPr eaLnBrk="1" fontAlgn="auto" latinLnBrk="0" hangingPunct="1"/>
          <a:r>
            <a:rPr lang="en-US" sz="800" b="0"/>
            <a:t>Beverages lead sales with $110,577.11, accounting for the largest share</a:t>
          </a:r>
        </a:p>
        <a:p>
          <a:pPr eaLnBrk="1" fontAlgn="auto" latinLnBrk="0" hangingPunct="1"/>
          <a:r>
            <a:rPr lang="en-US" sz="800" b="0"/>
            <a:t>This category alone contributes over 2x the sales of the lowest category (Canned Meat).</a:t>
          </a:r>
        </a:p>
        <a:p>
          <a:pPr eaLnBrk="1" fontAlgn="auto" latinLnBrk="0" hangingPunct="1"/>
          <a:r>
            <a:rPr lang="en-US" sz="800" b="0"/>
            <a:t>Beverages and Sauces combined contribute majority of overall sales.</a:t>
          </a:r>
        </a:p>
        <a:p>
          <a:pPr eaLnBrk="1" fontAlgn="auto" latinLnBrk="0" hangingPunct="1"/>
          <a:r>
            <a:rPr lang="en-US" sz="800" b="0"/>
            <a:t>Jams &amp; Preserves and Dairy Products  represent steady performers but have potential for growth through cross-selling with higher-performing categories</a:t>
          </a:r>
        </a:p>
        <a:p>
          <a:pPr eaLnBrk="1" fontAlgn="auto" latinLnBrk="0" hangingPunct="1"/>
          <a:r>
            <a:rPr lang="en-US" sz="800" b="0"/>
            <a:t>Dried Fruit &amp; Nuts and Canned Meat are at the bottom of the list, generating under $28K each</a:t>
          </a:r>
          <a:endParaRPr lang="en-US" sz="800" b="0">
            <a:solidFill>
              <a:schemeClr val="lt1"/>
            </a:solidFill>
            <a:effectLst/>
            <a:latin typeface="+mn-lt"/>
            <a:ea typeface="+mn-ea"/>
            <a:cs typeface="+mn-cs"/>
          </a:endParaRPr>
        </a:p>
        <a:p>
          <a:pPr eaLnBrk="1" fontAlgn="auto" latinLnBrk="0" hangingPunct="1"/>
          <a:r>
            <a:rPr lang="en-US" sz="1000" b="1">
              <a:solidFill>
                <a:schemeClr val="lt1"/>
              </a:solidFill>
              <a:effectLst/>
              <a:latin typeface="+mn-lt"/>
              <a:ea typeface="+mn-ea"/>
              <a:cs typeface="+mn-cs"/>
            </a:rPr>
            <a:t>PRE-INSIGHT</a:t>
          </a:r>
        </a:p>
        <a:p>
          <a:pPr marL="0" marR="0" indent="0" algn="l" defTabSz="914400" eaLnBrk="1" fontAlgn="auto" latinLnBrk="0" hangingPunct="1">
            <a:lnSpc>
              <a:spcPct val="100000"/>
            </a:lnSpc>
            <a:spcBef>
              <a:spcPts val="0"/>
            </a:spcBef>
            <a:spcAft>
              <a:spcPts val="0"/>
            </a:spcAft>
            <a:buClrTx/>
            <a:buSzTx/>
            <a:buFontTx/>
            <a:buNone/>
            <a:tabLst/>
            <a:defRPr/>
          </a:pPr>
          <a:r>
            <a:rPr lang="en-US" sz="800" b="0"/>
            <a:t>Continue prioritizing Beverages and Sauces; consider expanding product variety or bundling.</a:t>
          </a:r>
        </a:p>
        <a:p>
          <a:pPr marL="0" marR="0" indent="0" algn="l" defTabSz="914400" eaLnBrk="1" fontAlgn="auto" latinLnBrk="0" hangingPunct="1">
            <a:lnSpc>
              <a:spcPct val="100000"/>
            </a:lnSpc>
            <a:spcBef>
              <a:spcPts val="0"/>
            </a:spcBef>
            <a:spcAft>
              <a:spcPts val="0"/>
            </a:spcAft>
            <a:buClrTx/>
            <a:buSzTx/>
            <a:buFontTx/>
            <a:buNone/>
            <a:tabLst/>
            <a:defRPr/>
          </a:pPr>
          <a:r>
            <a:rPr lang="en-US" sz="800" b="0"/>
            <a:t>Target Canned Meat and Dried Fruit &amp; Nuts with discounts, advertising, or better positioning</a:t>
          </a:r>
        </a:p>
        <a:p>
          <a:pPr marL="0" marR="0" indent="0" algn="l" defTabSz="914400" eaLnBrk="1" fontAlgn="auto" latinLnBrk="0" hangingPunct="1">
            <a:lnSpc>
              <a:spcPct val="100000"/>
            </a:lnSpc>
            <a:spcBef>
              <a:spcPts val="0"/>
            </a:spcBef>
            <a:spcAft>
              <a:spcPts val="0"/>
            </a:spcAft>
            <a:buClrTx/>
            <a:buSzTx/>
            <a:buFontTx/>
            <a:buNone/>
            <a:tabLst/>
            <a:defRPr/>
          </a:pPr>
          <a:r>
            <a:rPr lang="en-US" sz="800" b="0"/>
            <a:t>Avoid overreliance on Beverages by increasing focus on underperforming categories.</a:t>
          </a:r>
          <a:endParaRPr lang="en-US" sz="800" b="0">
            <a:effectLst/>
          </a:endParaRPr>
        </a:p>
      </xdr:txBody>
    </xdr:sp>
    <xdr:clientData/>
  </xdr:twoCellAnchor>
  <xdr:twoCellAnchor>
    <xdr:from>
      <xdr:col>15</xdr:col>
      <xdr:colOff>481190</xdr:colOff>
      <xdr:row>14</xdr:row>
      <xdr:rowOff>37396</xdr:rowOff>
    </xdr:from>
    <xdr:to>
      <xdr:col>22</xdr:col>
      <xdr:colOff>595490</xdr:colOff>
      <xdr:row>27</xdr:row>
      <xdr:rowOff>28222</xdr:rowOff>
    </xdr:to>
    <xdr:sp macro="" textlink="">
      <xdr:nvSpPr>
        <xdr:cNvPr id="8" name="Rounded Rectangle 7">
          <a:extLst>
            <a:ext uri="{FF2B5EF4-FFF2-40B4-BE49-F238E27FC236}">
              <a16:creationId xmlns:a16="http://schemas.microsoft.com/office/drawing/2014/main" id="{00000000-0008-0000-0900-000008000000}"/>
            </a:ext>
          </a:extLst>
        </xdr:cNvPr>
        <xdr:cNvSpPr/>
      </xdr:nvSpPr>
      <xdr:spPr>
        <a:xfrm>
          <a:off x="9582857" y="2605618"/>
          <a:ext cx="4361744" cy="237560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aseline="0">
              <a:solidFill>
                <a:schemeClr val="accent5">
                  <a:lumMod val="50000"/>
                </a:schemeClr>
              </a:solidFill>
            </a:rPr>
            <a:t>               </a:t>
          </a:r>
          <a:r>
            <a:rPr lang="en-US" sz="1100" b="1" baseline="0">
              <a:solidFill>
                <a:schemeClr val="accent5">
                  <a:lumMod val="50000"/>
                </a:schemeClr>
              </a:solidFill>
              <a:effectLst/>
              <a:latin typeface="+mn-lt"/>
              <a:ea typeface="+mn-ea"/>
              <a:cs typeface="+mn-cs"/>
            </a:rPr>
            <a:t>ANALYSIS- Sales Trend Report</a:t>
          </a:r>
          <a:endParaRPr lang="en-US" sz="800">
            <a:solidFill>
              <a:schemeClr val="accent5">
                <a:lumMod val="50000"/>
              </a:schemeClr>
            </a:solidFill>
            <a:effectLst/>
          </a:endParaRPr>
        </a:p>
        <a:p>
          <a:r>
            <a:rPr lang="en-US" sz="1000" b="1" baseline="0">
              <a:solidFill>
                <a:schemeClr val="accent5">
                  <a:lumMod val="50000"/>
                </a:schemeClr>
              </a:solidFill>
              <a:effectLst/>
              <a:latin typeface="+mn-lt"/>
              <a:ea typeface="+mn-ea"/>
              <a:cs typeface="+mn-cs"/>
            </a:rPr>
            <a:t>OBSERVATION</a:t>
          </a:r>
        </a:p>
        <a:p>
          <a:r>
            <a:rPr lang="en-US" sz="1000" b="0">
              <a:solidFill>
                <a:schemeClr val="accent5">
                  <a:lumMod val="50000"/>
                </a:schemeClr>
              </a:solidFill>
            </a:rPr>
            <a:t>December tops the chart with $66,642.78, the highest monthly sales.</a:t>
          </a:r>
        </a:p>
        <a:p>
          <a:r>
            <a:rPr lang="en-US" sz="1000" b="0">
              <a:solidFill>
                <a:schemeClr val="accent5">
                  <a:lumMod val="50000"/>
                </a:schemeClr>
              </a:solidFill>
            </a:rPr>
            <a:t>It outperforms the lowest month (February) showing a strong end-of-year sales surge</a:t>
          </a:r>
        </a:p>
        <a:p>
          <a:r>
            <a:rPr lang="en-US" sz="1000" b="0">
              <a:solidFill>
                <a:schemeClr val="accent5">
                  <a:lumMod val="50000"/>
                </a:schemeClr>
              </a:solidFill>
            </a:rPr>
            <a:t>February ($19,985.50) is the lowest sales month, followed closely by April ($20,771.79).</a:t>
          </a:r>
        </a:p>
        <a:p>
          <a:r>
            <a:rPr lang="en-US" sz="1000" b="0">
              <a:solidFill>
                <a:schemeClr val="accent5">
                  <a:lumMod val="50000"/>
                </a:schemeClr>
              </a:solidFill>
            </a:rPr>
            <a:t>Most other months (Jan, Mar, May, Jul, Aug, Sep, Nov) are clustered between $27K</a:t>
          </a:r>
          <a:r>
            <a:rPr lang="en-US" sz="1000" b="1">
              <a:solidFill>
                <a:schemeClr val="accent5">
                  <a:lumMod val="50000"/>
                </a:schemeClr>
              </a:solidFill>
            </a:rPr>
            <a:t>–$34K</a:t>
          </a:r>
          <a:r>
            <a:rPr lang="en-US" sz="1000">
              <a:solidFill>
                <a:schemeClr val="accent5">
                  <a:lumMod val="50000"/>
                </a:schemeClr>
              </a:solidFill>
            </a:rPr>
            <a:t>, showing consistent but moderate performance</a:t>
          </a:r>
          <a:endParaRPr lang="en-US" sz="1000">
            <a:solidFill>
              <a:schemeClr val="accent5">
                <a:lumMod val="50000"/>
              </a:schemeClr>
            </a:solidFill>
            <a:effectLst/>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accent5">
                  <a:lumMod val="50000"/>
                </a:schemeClr>
              </a:solidFill>
              <a:effectLst/>
              <a:latin typeface="+mn-lt"/>
              <a:ea typeface="+mn-ea"/>
              <a:cs typeface="+mn-cs"/>
            </a:rPr>
            <a:t>PRE-INSIGHT</a:t>
          </a:r>
        </a:p>
        <a:p>
          <a:pPr marL="0" marR="0" indent="0" algn="l" defTabSz="914400" eaLnBrk="1" fontAlgn="auto" latinLnBrk="0" hangingPunct="1">
            <a:lnSpc>
              <a:spcPct val="100000"/>
            </a:lnSpc>
            <a:spcBef>
              <a:spcPts val="0"/>
            </a:spcBef>
            <a:spcAft>
              <a:spcPts val="0"/>
            </a:spcAft>
            <a:buClrTx/>
            <a:buSzTx/>
            <a:buFontTx/>
            <a:buNone/>
            <a:tabLst/>
            <a:defRPr/>
          </a:pPr>
          <a:r>
            <a:rPr lang="en-US" sz="800">
              <a:solidFill>
                <a:schemeClr val="accent5">
                  <a:lumMod val="50000"/>
                </a:schemeClr>
              </a:solidFill>
            </a:rPr>
            <a:t>Strengthen marketing and inventory in </a:t>
          </a:r>
          <a:r>
            <a:rPr lang="en-US" sz="800" b="1">
              <a:solidFill>
                <a:schemeClr val="accent5">
                  <a:lumMod val="50000"/>
                </a:schemeClr>
              </a:solidFill>
            </a:rPr>
            <a:t>Dec, Jun, and Oct</a:t>
          </a:r>
          <a:r>
            <a:rPr lang="en-US" sz="800">
              <a:solidFill>
                <a:schemeClr val="accent5">
                  <a:lumMod val="50000"/>
                </a:schemeClr>
              </a:solidFill>
            </a:rPr>
            <a:t> to maximize revenue.</a:t>
          </a:r>
        </a:p>
        <a:p>
          <a:pPr marL="0" marR="0" indent="0" algn="l" defTabSz="914400" eaLnBrk="1" fontAlgn="auto" latinLnBrk="0" hangingPunct="1">
            <a:lnSpc>
              <a:spcPct val="100000"/>
            </a:lnSpc>
            <a:spcBef>
              <a:spcPts val="0"/>
            </a:spcBef>
            <a:spcAft>
              <a:spcPts val="0"/>
            </a:spcAft>
            <a:buClrTx/>
            <a:buSzTx/>
            <a:buFontTx/>
            <a:buNone/>
            <a:tabLst/>
            <a:defRPr/>
          </a:pPr>
          <a:r>
            <a:rPr lang="en-US" sz="800">
              <a:solidFill>
                <a:schemeClr val="accent5">
                  <a:lumMod val="50000"/>
                </a:schemeClr>
              </a:solidFill>
            </a:rPr>
            <a:t>Develop special promotions or incentives for </a:t>
          </a:r>
          <a:r>
            <a:rPr lang="en-US" sz="800" b="1">
              <a:solidFill>
                <a:schemeClr val="accent5">
                  <a:lumMod val="50000"/>
                </a:schemeClr>
              </a:solidFill>
            </a:rPr>
            <a:t>Feb and Apr</a:t>
          </a:r>
          <a:r>
            <a:rPr lang="en-US" sz="800">
              <a:solidFill>
                <a:schemeClr val="accent5">
                  <a:lumMod val="50000"/>
                </a:schemeClr>
              </a:solidFill>
            </a:rPr>
            <a:t> to balance performance.</a:t>
          </a:r>
        </a:p>
        <a:p>
          <a:pPr marL="0" marR="0" indent="0" algn="l" defTabSz="914400" eaLnBrk="1" fontAlgn="auto" latinLnBrk="0" hangingPunct="1">
            <a:lnSpc>
              <a:spcPct val="100000"/>
            </a:lnSpc>
            <a:spcBef>
              <a:spcPts val="0"/>
            </a:spcBef>
            <a:spcAft>
              <a:spcPts val="0"/>
            </a:spcAft>
            <a:buClrTx/>
            <a:buSzTx/>
            <a:buFontTx/>
            <a:buNone/>
            <a:tabLst/>
            <a:defRPr/>
          </a:pPr>
          <a:r>
            <a:rPr lang="en-US" sz="800">
              <a:solidFill>
                <a:schemeClr val="accent5">
                  <a:lumMod val="50000"/>
                </a:schemeClr>
              </a:solidFill>
            </a:rPr>
            <a:t>Implement consistent engagement campaigns to reduce sales dips.</a:t>
          </a:r>
          <a:endParaRPr lang="en-US" sz="800">
            <a:solidFill>
              <a:schemeClr val="accent5">
                <a:lumMod val="50000"/>
              </a:schemeClr>
            </a:solidFill>
            <a:effectLst/>
          </a:endParaRPr>
        </a:p>
        <a:p>
          <a:pPr algn="l"/>
          <a:endParaRPr lang="en-US" sz="800" b="1">
            <a:solidFill>
              <a:schemeClr val="accent5">
                <a:lumMod val="50000"/>
              </a:schemeClr>
            </a:solidFill>
          </a:endParaRPr>
        </a:p>
      </xdr:txBody>
    </xdr:sp>
    <xdr:clientData/>
  </xdr:twoCellAnchor>
  <xdr:twoCellAnchor>
    <xdr:from>
      <xdr:col>23</xdr:col>
      <xdr:colOff>36690</xdr:colOff>
      <xdr:row>0</xdr:row>
      <xdr:rowOff>63500</xdr:rowOff>
    </xdr:from>
    <xdr:to>
      <xdr:col>30</xdr:col>
      <xdr:colOff>150990</xdr:colOff>
      <xdr:row>12</xdr:row>
      <xdr:rowOff>57150</xdr:rowOff>
    </xdr:to>
    <xdr:sp macro="" textlink="">
      <xdr:nvSpPr>
        <xdr:cNvPr id="6" name="Rounded Rectangle 4">
          <a:extLst>
            <a:ext uri="{FF2B5EF4-FFF2-40B4-BE49-F238E27FC236}">
              <a16:creationId xmlns:a16="http://schemas.microsoft.com/office/drawing/2014/main" id="{C0AFD648-107D-CE97-F6AA-3281E2872E93}"/>
            </a:ext>
          </a:extLst>
        </xdr:cNvPr>
        <xdr:cNvSpPr/>
      </xdr:nvSpPr>
      <xdr:spPr>
        <a:xfrm>
          <a:off x="13992579" y="63500"/>
          <a:ext cx="4361744" cy="219498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aseline="0">
              <a:solidFill>
                <a:schemeClr val="accent5">
                  <a:lumMod val="50000"/>
                </a:schemeClr>
              </a:solidFill>
            </a:rPr>
            <a:t>                     </a:t>
          </a:r>
          <a:r>
            <a:rPr lang="en-US" sz="1100" b="0" baseline="0">
              <a:solidFill>
                <a:schemeClr val="accent5">
                  <a:lumMod val="50000"/>
                </a:schemeClr>
              </a:solidFill>
              <a:effectLst/>
              <a:latin typeface="+mn-lt"/>
              <a:ea typeface="+mn-ea"/>
              <a:cs typeface="+mn-cs"/>
            </a:rPr>
            <a:t>      </a:t>
          </a:r>
          <a:r>
            <a:rPr lang="en-US" sz="1100" b="1" baseline="0">
              <a:solidFill>
                <a:schemeClr val="accent5">
                  <a:lumMod val="50000"/>
                </a:schemeClr>
              </a:solidFill>
              <a:effectLst/>
              <a:latin typeface="+mn-lt"/>
              <a:ea typeface="+mn-ea"/>
              <a:cs typeface="+mn-cs"/>
            </a:rPr>
            <a:t>ANALYSIS- Performance by State</a:t>
          </a:r>
          <a:endParaRPr lang="en-US" sz="800">
            <a:solidFill>
              <a:schemeClr val="accent5">
                <a:lumMod val="50000"/>
              </a:schemeClr>
            </a:solidFill>
            <a:effectLst/>
          </a:endParaRPr>
        </a:p>
        <a:p>
          <a:r>
            <a:rPr lang="en-US" sz="1000" b="1" baseline="0">
              <a:solidFill>
                <a:schemeClr val="accent5">
                  <a:lumMod val="50000"/>
                </a:schemeClr>
              </a:solidFill>
              <a:effectLst/>
              <a:latin typeface="+mn-lt"/>
              <a:ea typeface="+mn-ea"/>
              <a:cs typeface="+mn-cs"/>
            </a:rPr>
            <a:t>OBSERVATION</a:t>
          </a:r>
          <a:endParaRPr lang="en-US" sz="1000">
            <a:solidFill>
              <a:schemeClr val="accent5">
                <a:lumMod val="50000"/>
              </a:schemeClr>
            </a:solidFill>
            <a:effectLst/>
          </a:endParaRPr>
        </a:p>
        <a:p>
          <a:r>
            <a:rPr lang="en-US" sz="800" b="1">
              <a:solidFill>
                <a:schemeClr val="accent5">
                  <a:lumMod val="50000"/>
                </a:schemeClr>
              </a:solidFill>
            </a:rPr>
            <a:t>New York (NY)</a:t>
          </a:r>
          <a:r>
            <a:rPr lang="en-US" sz="800">
              <a:solidFill>
                <a:schemeClr val="accent5">
                  <a:lumMod val="50000"/>
                </a:schemeClr>
              </a:solidFill>
            </a:rPr>
            <a:t> has the highest revenue at </a:t>
          </a:r>
          <a:r>
            <a:rPr lang="en-US" sz="800" b="1">
              <a:solidFill>
                <a:schemeClr val="accent5">
                  <a:lumMod val="50000"/>
                </a:schemeClr>
              </a:solidFill>
            </a:rPr>
            <a:t>$67,180.50</a:t>
          </a:r>
          <a:r>
            <a:rPr lang="en-US" sz="800">
              <a:solidFill>
                <a:schemeClr val="accent5">
                  <a:lumMod val="50000"/>
                </a:schemeClr>
              </a:solidFill>
            </a:rPr>
            <a:t>.</a:t>
          </a:r>
          <a:r>
            <a:rPr lang="en-US" sz="800" baseline="0">
              <a:solidFill>
                <a:schemeClr val="accent5">
                  <a:lumMod val="50000"/>
                </a:schemeClr>
              </a:solidFill>
            </a:rPr>
            <a:t> </a:t>
          </a:r>
          <a:r>
            <a:rPr lang="en-US" sz="800">
              <a:solidFill>
                <a:schemeClr val="accent5">
                  <a:lumMod val="50000"/>
                </a:schemeClr>
              </a:solidFill>
            </a:rPr>
            <a:t>Followed by </a:t>
          </a:r>
          <a:r>
            <a:rPr lang="en-US" sz="800" b="1">
              <a:solidFill>
                <a:schemeClr val="accent5">
                  <a:lumMod val="50000"/>
                </a:schemeClr>
              </a:solidFill>
            </a:rPr>
            <a:t>Oregon (OR) - $50,208.35</a:t>
          </a:r>
          <a:r>
            <a:rPr lang="en-US" sz="800">
              <a:solidFill>
                <a:schemeClr val="accent5">
                  <a:lumMod val="50000"/>
                </a:schemeClr>
              </a:solidFill>
            </a:rPr>
            <a:t> and </a:t>
          </a:r>
          <a:r>
            <a:rPr lang="en-US" sz="800" b="1">
              <a:solidFill>
                <a:schemeClr val="accent5">
                  <a:lumMod val="50000"/>
                </a:schemeClr>
              </a:solidFill>
            </a:rPr>
            <a:t>Florida (FL) - $50,145.33</a:t>
          </a:r>
          <a:r>
            <a:rPr lang="en-US" sz="800">
              <a:solidFill>
                <a:schemeClr val="accent5">
                  <a:lumMod val="50000"/>
                </a:schemeClr>
              </a:solidFill>
            </a:rPr>
            <a:t>.</a:t>
          </a:r>
        </a:p>
        <a:p>
          <a:r>
            <a:rPr lang="en-US" sz="800" b="1">
              <a:solidFill>
                <a:schemeClr val="accent5">
                  <a:lumMod val="50000"/>
                </a:schemeClr>
              </a:solidFill>
            </a:rPr>
            <a:t>Nevada (NV)</a:t>
          </a:r>
          <a:r>
            <a:rPr lang="en-US" sz="800">
              <a:solidFill>
                <a:schemeClr val="accent5">
                  <a:lumMod val="50000"/>
                </a:schemeClr>
              </a:solidFill>
            </a:rPr>
            <a:t> has the lowest revenue at </a:t>
          </a:r>
          <a:r>
            <a:rPr lang="en-US" sz="800" b="1">
              <a:solidFill>
                <a:schemeClr val="accent5">
                  <a:lumMod val="50000"/>
                </a:schemeClr>
              </a:solidFill>
            </a:rPr>
            <a:t>$15,365.50</a:t>
          </a:r>
        </a:p>
        <a:p>
          <a:r>
            <a:rPr lang="en-US" sz="800" b="1">
              <a:solidFill>
                <a:schemeClr val="accent5">
                  <a:lumMod val="50000"/>
                </a:schemeClr>
              </a:solidFill>
            </a:rPr>
            <a:t>Colorado (CO) - $16,350.50</a:t>
          </a:r>
          <a:r>
            <a:rPr lang="en-US" sz="800">
              <a:solidFill>
                <a:schemeClr val="accent5">
                  <a:lumMod val="50000"/>
                </a:schemeClr>
              </a:solidFill>
            </a:rPr>
            <a:t> and </a:t>
          </a:r>
          <a:r>
            <a:rPr lang="en-US" sz="800" b="1">
              <a:solidFill>
                <a:schemeClr val="accent5">
                  <a:lumMod val="50000"/>
                </a:schemeClr>
              </a:solidFill>
            </a:rPr>
            <a:t>Idaho (ID) - $17,204.00</a:t>
          </a:r>
          <a:r>
            <a:rPr lang="en-US" sz="800">
              <a:solidFill>
                <a:schemeClr val="accent5">
                  <a:lumMod val="50000"/>
                </a:schemeClr>
              </a:solidFill>
            </a:rPr>
            <a:t> are also among the lowest.</a:t>
          </a:r>
        </a:p>
        <a:p>
          <a:endParaRPr lang="en-US" sz="800">
            <a:solidFill>
              <a:schemeClr val="accent5">
                <a:lumMod val="50000"/>
              </a:schemeClr>
            </a:solidFill>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accent5">
                  <a:lumMod val="50000"/>
                </a:schemeClr>
              </a:solidFill>
              <a:effectLst/>
              <a:latin typeface="+mn-lt"/>
              <a:ea typeface="+mn-ea"/>
              <a:cs typeface="+mn-cs"/>
            </a:rPr>
            <a:t>PRE-INSIGHT</a:t>
          </a:r>
          <a:endParaRPr lang="en-US" sz="800">
            <a:solidFill>
              <a:schemeClr val="accent5">
                <a:lumMod val="50000"/>
              </a:schemeClr>
            </a:solidFill>
            <a:effectLst/>
          </a:endParaRPr>
        </a:p>
        <a:p>
          <a:pPr algn="l"/>
          <a:r>
            <a:rPr lang="en-US" sz="800" b="0">
              <a:solidFill>
                <a:schemeClr val="accent5">
                  <a:lumMod val="50000"/>
                </a:schemeClr>
              </a:solidFill>
            </a:rPr>
            <a:t>The East Coast (NY, FL) and Pacific Northwest (OR, WA) appear to be strong revenue contributors, possibly due to higher population, economic activity, or market penetration</a:t>
          </a:r>
        </a:p>
        <a:p>
          <a:pPr algn="l"/>
          <a:r>
            <a:rPr lang="en-US" sz="800" b="0">
              <a:solidFill>
                <a:schemeClr val="accent5">
                  <a:lumMod val="50000"/>
                </a:schemeClr>
              </a:solidFill>
            </a:rPr>
            <a:t>Low-performing states like NV, CO, and ID may represent areas for targeted marketing or business development to increase revenue</a:t>
          </a:r>
        </a:p>
        <a:p>
          <a:pPr algn="l"/>
          <a:r>
            <a:rPr lang="en-US" sz="800" b="0">
              <a:solidFill>
                <a:schemeClr val="accent5">
                  <a:lumMod val="50000"/>
                </a:schemeClr>
              </a:solidFill>
            </a:rPr>
            <a:t>States like NY and OR, already performing well, may be ideal for scaling operations, launching new products, or increasing investment due to their proven performance.</a:t>
          </a:r>
        </a:p>
      </xdr:txBody>
    </xdr:sp>
    <xdr:clientData/>
  </xdr:twoCellAnchor>
  <xdr:twoCellAnchor>
    <xdr:from>
      <xdr:col>23</xdr:col>
      <xdr:colOff>121355</xdr:colOff>
      <xdr:row>13</xdr:row>
      <xdr:rowOff>53622</xdr:rowOff>
    </xdr:from>
    <xdr:to>
      <xdr:col>30</xdr:col>
      <xdr:colOff>265290</xdr:colOff>
      <xdr:row>26</xdr:row>
      <xdr:rowOff>95955</xdr:rowOff>
    </xdr:to>
    <xdr:sp macro="" textlink="">
      <xdr:nvSpPr>
        <xdr:cNvPr id="9" name="Rounded Rectangle 6">
          <a:extLst>
            <a:ext uri="{FF2B5EF4-FFF2-40B4-BE49-F238E27FC236}">
              <a16:creationId xmlns:a16="http://schemas.microsoft.com/office/drawing/2014/main" id="{00A77C72-F2E4-8E5C-5484-C59D750413BF}"/>
            </a:ext>
          </a:extLst>
        </xdr:cNvPr>
        <xdr:cNvSpPr/>
      </xdr:nvSpPr>
      <xdr:spPr>
        <a:xfrm>
          <a:off x="14077244" y="2438400"/>
          <a:ext cx="4391379" cy="2427111"/>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b="1" baseline="0">
              <a:solidFill>
                <a:schemeClr val="lt1"/>
              </a:solidFill>
              <a:effectLst/>
              <a:latin typeface="+mn-lt"/>
              <a:ea typeface="+mn-ea"/>
              <a:cs typeface="+mn-cs"/>
            </a:rPr>
            <a:t>                                    ANALYSIS- Top 5 Cities by Revenue</a:t>
          </a:r>
          <a:endParaRPr lang="en-US" sz="1000">
            <a:effectLst/>
          </a:endParaRPr>
        </a:p>
        <a:p>
          <a:r>
            <a:rPr lang="en-US" sz="1000" b="1" baseline="0">
              <a:solidFill>
                <a:schemeClr val="lt1"/>
              </a:solidFill>
              <a:effectLst/>
              <a:latin typeface="+mn-lt"/>
              <a:ea typeface="+mn-ea"/>
              <a:cs typeface="+mn-cs"/>
            </a:rPr>
            <a:t>OBSERVATION</a:t>
          </a:r>
        </a:p>
        <a:p>
          <a:pPr eaLnBrk="1" fontAlgn="auto" latinLnBrk="0" hangingPunct="1"/>
          <a:r>
            <a:rPr lang="en-US" sz="800" b="0"/>
            <a:t>New York City leads significantly with $67,180.50, outperforming the next highest (Portland)</a:t>
          </a:r>
          <a:r>
            <a:rPr lang="en-US" sz="800" b="0" baseline="0"/>
            <a:t> </a:t>
          </a:r>
          <a:r>
            <a:rPr lang="en-US" sz="800" b="0"/>
            <a:t>$50,208.35</a:t>
          </a:r>
        </a:p>
        <a:p>
          <a:pPr eaLnBrk="1" fontAlgn="auto" latinLnBrk="0" hangingPunct="1"/>
          <a:r>
            <a:rPr lang="en-US" sz="800" b="0"/>
            <a:t>Portland ($50,208.35) and Miami ($50,145.33) have almost identical revenue, differing by just $63.02, suggesting comparable performance or market strength</a:t>
          </a:r>
          <a:endParaRPr lang="en-US" sz="800" b="0">
            <a:solidFill>
              <a:schemeClr val="lt1"/>
            </a:solidFill>
            <a:effectLst/>
            <a:latin typeface="+mn-lt"/>
            <a:ea typeface="+mn-ea"/>
            <a:cs typeface="+mn-cs"/>
          </a:endParaRPr>
        </a:p>
        <a:p>
          <a:pPr eaLnBrk="1" fontAlgn="auto" latinLnBrk="0" hangingPunct="1"/>
          <a:r>
            <a:rPr lang="en-US" sz="1000" b="1">
              <a:solidFill>
                <a:schemeClr val="lt1"/>
              </a:solidFill>
              <a:effectLst/>
              <a:latin typeface="+mn-lt"/>
              <a:ea typeface="+mn-ea"/>
              <a:cs typeface="+mn-cs"/>
            </a:rPr>
            <a:t>PRE-INSIGHT</a:t>
          </a:r>
        </a:p>
        <a:p>
          <a:pPr eaLnBrk="1" fontAlgn="auto" latinLnBrk="0" hangingPunct="1"/>
          <a:r>
            <a:rPr lang="en-US" sz="800" b="0"/>
            <a:t>New York’s dominance suggests a large customer base, high economic activity, and effective business strategies. It’s likely the most mature and penetrated market in the list.</a:t>
          </a:r>
        </a:p>
        <a:p>
          <a:pPr eaLnBrk="1" fontAlgn="auto" latinLnBrk="0" hangingPunct="1"/>
          <a:r>
            <a:rPr lang="en-US" sz="800" b="0"/>
            <a:t>Portland and Miami show competitive strength, indicating that mid-sized cities can also drive significant revenue—possibly due to concentrated demand, tech presence, or strong urban economies.</a:t>
          </a:r>
        </a:p>
        <a:p>
          <a:pPr eaLnBrk="1" fontAlgn="auto" latinLnBrk="0" hangingPunct="1"/>
          <a:r>
            <a:rPr lang="en-US" sz="800" b="0"/>
            <a:t>The top cities are geographically diverse (East Coast, West Coast, South, Midwest), showing that revenue generation is not limited by region, and success can be achieved across different markets.</a:t>
          </a:r>
          <a:endParaRPr lang="en-US" sz="800" b="0">
            <a:solidFill>
              <a:schemeClr val="lt1"/>
            </a:solidFill>
            <a:effectLst/>
            <a:latin typeface="+mn-lt"/>
            <a:ea typeface="+mn-ea"/>
            <a:cs typeface="+mn-cs"/>
          </a:endParaRPr>
        </a:p>
      </xdr:txBody>
    </xdr:sp>
    <xdr:clientData/>
  </xdr:twoCellAnchor>
  <xdr:twoCellAnchor>
    <xdr:from>
      <xdr:col>30</xdr:col>
      <xdr:colOff>290688</xdr:colOff>
      <xdr:row>0</xdr:row>
      <xdr:rowOff>56445</xdr:rowOff>
    </xdr:from>
    <xdr:to>
      <xdr:col>37</xdr:col>
      <xdr:colOff>434622</xdr:colOff>
      <xdr:row>13</xdr:row>
      <xdr:rowOff>35278</xdr:rowOff>
    </xdr:to>
    <xdr:sp macro="" textlink="">
      <xdr:nvSpPr>
        <xdr:cNvPr id="10" name="Rounded Rectangle 6">
          <a:extLst>
            <a:ext uri="{FF2B5EF4-FFF2-40B4-BE49-F238E27FC236}">
              <a16:creationId xmlns:a16="http://schemas.microsoft.com/office/drawing/2014/main" id="{9267EA19-7105-403D-2886-939E8D8BC677}"/>
            </a:ext>
          </a:extLst>
        </xdr:cNvPr>
        <xdr:cNvSpPr/>
      </xdr:nvSpPr>
      <xdr:spPr>
        <a:xfrm>
          <a:off x="18494021" y="56445"/>
          <a:ext cx="4391379" cy="2363611"/>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000" b="1" baseline="0">
              <a:solidFill>
                <a:schemeClr val="lt1"/>
              </a:solidFill>
              <a:effectLst/>
              <a:latin typeface="+mn-lt"/>
              <a:ea typeface="+mn-ea"/>
              <a:cs typeface="+mn-cs"/>
            </a:rPr>
            <a:t>                                    ANALYSIS- Top 6 Ship Cities by Region</a:t>
          </a:r>
          <a:endParaRPr lang="en-US" sz="1000">
            <a:effectLst/>
          </a:endParaRPr>
        </a:p>
        <a:p>
          <a:r>
            <a:rPr lang="en-US" sz="1000" b="1" baseline="0">
              <a:solidFill>
                <a:schemeClr val="lt1"/>
              </a:solidFill>
              <a:effectLst/>
              <a:latin typeface="+mn-lt"/>
              <a:ea typeface="+mn-ea"/>
              <a:cs typeface="+mn-cs"/>
            </a:rPr>
            <a:t>OBSERVATION</a:t>
          </a:r>
        </a:p>
        <a:p>
          <a:pPr eaLnBrk="1" fontAlgn="auto" latinLnBrk="0" hangingPunct="1"/>
          <a:r>
            <a:rPr lang="en-US" sz="800" b="1"/>
            <a:t>New York</a:t>
          </a:r>
          <a:r>
            <a:rPr lang="en-US" sz="800"/>
            <a:t> stands out as the highest revenue city at </a:t>
          </a:r>
          <a:r>
            <a:rPr lang="en-US" sz="800" b="1"/>
            <a:t>$67,180.50</a:t>
          </a:r>
          <a:r>
            <a:rPr lang="en-US" sz="800"/>
            <a:t>, with a substantial lead over the second-highest city (Portland)</a:t>
          </a:r>
        </a:p>
        <a:p>
          <a:pPr eaLnBrk="1" fontAlgn="auto" latinLnBrk="0" hangingPunct="1"/>
          <a:r>
            <a:rPr lang="en-US" sz="800" b="1"/>
            <a:t>Portland ($50,208.35)</a:t>
          </a:r>
          <a:r>
            <a:rPr lang="en-US" sz="800"/>
            <a:t> and </a:t>
          </a:r>
          <a:r>
            <a:rPr lang="en-US" sz="800" b="1"/>
            <a:t>Miami ($50,145.33)</a:t>
          </a:r>
          <a:r>
            <a:rPr lang="en-US" sz="800"/>
            <a:t> are virtually tied, showing comparable shipping revenue strength</a:t>
          </a:r>
        </a:p>
        <a:p>
          <a:pPr eaLnBrk="1" fontAlgn="auto" latinLnBrk="0" hangingPunct="1"/>
          <a:endParaRPr lang="en-US" sz="1000" b="1">
            <a:solidFill>
              <a:schemeClr val="lt1"/>
            </a:solidFill>
            <a:effectLst/>
            <a:latin typeface="+mn-lt"/>
            <a:ea typeface="+mn-ea"/>
            <a:cs typeface="+mn-cs"/>
          </a:endParaRPr>
        </a:p>
        <a:p>
          <a:pPr eaLnBrk="1" fontAlgn="auto" latinLnBrk="0" hangingPunct="1"/>
          <a:r>
            <a:rPr lang="en-US" sz="1000" b="1">
              <a:solidFill>
                <a:schemeClr val="lt1"/>
              </a:solidFill>
              <a:effectLst/>
              <a:latin typeface="+mn-lt"/>
              <a:ea typeface="+mn-ea"/>
              <a:cs typeface="+mn-cs"/>
            </a:rPr>
            <a:t>PRE-INSIGHT</a:t>
          </a:r>
        </a:p>
        <a:p>
          <a:pPr eaLnBrk="1" fontAlgn="auto" latinLnBrk="0" hangingPunct="1"/>
          <a:r>
            <a:rPr lang="en-US" sz="800" b="0"/>
            <a:t>The geographic diversity suggests a balanced national logistics strategy, with key revenue contributions from each major U.S. region</a:t>
          </a:r>
        </a:p>
        <a:p>
          <a:pPr eaLnBrk="1" fontAlgn="auto" latinLnBrk="0" hangingPunct="1"/>
          <a:r>
            <a:rPr lang="en-US" sz="800" b="0"/>
            <a:t>With Chicago and Milwaukee both in the top 6, the Midwest shows strong shipping capacity, suggesting this region should not be underestimated for fulfillment and logistics planning</a:t>
          </a:r>
        </a:p>
        <a:p>
          <a:pPr eaLnBrk="1" fontAlgn="auto" latinLnBrk="0" hangingPunct="1"/>
          <a:r>
            <a:rPr lang="en-US" sz="800" b="0"/>
            <a:t>With cities already performing well, there is potential to further optimize distribution routes, invest in regional warehouses, or strengthen last-mile delivery networks to maximize shipping efficiency.</a:t>
          </a:r>
        </a:p>
        <a:p>
          <a:pPr eaLnBrk="1" fontAlgn="auto" latinLnBrk="0" hangingPunct="1"/>
          <a:endParaRPr lang="en-US" sz="1000" b="1">
            <a:solidFill>
              <a:schemeClr val="lt1"/>
            </a:solidFill>
            <a:effectLst/>
            <a:latin typeface="+mn-lt"/>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38100</xdr:colOff>
      <xdr:row>0</xdr:row>
      <xdr:rowOff>137584</xdr:rowOff>
    </xdr:from>
    <xdr:to>
      <xdr:col>7</xdr:col>
      <xdr:colOff>152400</xdr:colOff>
      <xdr:row>12</xdr:row>
      <xdr:rowOff>131234</xdr:rowOff>
    </xdr:to>
    <xdr:sp macro="" textlink="">
      <xdr:nvSpPr>
        <xdr:cNvPr id="2" name="Rounded Rectangle 1">
          <a:extLst>
            <a:ext uri="{FF2B5EF4-FFF2-40B4-BE49-F238E27FC236}">
              <a16:creationId xmlns:a16="http://schemas.microsoft.com/office/drawing/2014/main" id="{00000000-0008-0000-0C00-000002000000}"/>
            </a:ext>
          </a:extLst>
        </xdr:cNvPr>
        <xdr:cNvSpPr/>
      </xdr:nvSpPr>
      <xdr:spPr>
        <a:xfrm>
          <a:off x="38100" y="137584"/>
          <a:ext cx="4361744" cy="2194983"/>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r>
            <a:rPr lang="en-US" sz="1000" b="1" baseline="0"/>
            <a:t>PROJECT SPLIT</a:t>
          </a:r>
        </a:p>
        <a:p>
          <a:pPr algn="l"/>
          <a:r>
            <a:rPr lang="en-US" sz="1000" b="1" baseline="0"/>
            <a:t>1 Category One -Independent Variable</a:t>
          </a:r>
        </a:p>
        <a:p>
          <a:pPr algn="l"/>
          <a:r>
            <a:rPr lang="en-US" sz="800" b="0" baseline="0"/>
            <a:t>Customer Name</a:t>
          </a:r>
        </a:p>
        <a:p>
          <a:pPr algn="l"/>
          <a:r>
            <a:rPr lang="en-US" sz="800" b="0" baseline="0"/>
            <a:t>Salespersons</a:t>
          </a:r>
        </a:p>
        <a:p>
          <a:pPr algn="l"/>
          <a:r>
            <a:rPr lang="en-US" sz="800" b="0" baseline="0"/>
            <a:t>Region</a:t>
          </a:r>
        </a:p>
        <a:p>
          <a:pPr algn="l"/>
          <a:r>
            <a:rPr lang="en-US" sz="800" b="0" baseline="0"/>
            <a:t>Ship Name</a:t>
          </a:r>
        </a:p>
        <a:p>
          <a:pPr algn="l"/>
          <a:r>
            <a:rPr lang="en-US" sz="800" b="0" baseline="0"/>
            <a:t>Payment Type</a:t>
          </a:r>
        </a:p>
        <a:p>
          <a:pPr algn="l"/>
          <a:r>
            <a:rPr lang="en-US" sz="800" b="0" baseline="0"/>
            <a:t>Product Name</a:t>
          </a:r>
        </a:p>
        <a:p>
          <a:pPr algn="l"/>
          <a:r>
            <a:rPr lang="en-US" sz="800" b="0" baseline="0"/>
            <a:t>Category Name</a:t>
          </a:r>
        </a:p>
        <a:p>
          <a:pPr algn="l"/>
          <a:r>
            <a:rPr lang="en-US" sz="800" b="0" baseline="0"/>
            <a:t>Category</a:t>
          </a:r>
        </a:p>
        <a:p>
          <a:pPr marL="0" marR="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lt1"/>
              </a:solidFill>
              <a:effectLst/>
              <a:latin typeface="+mn-lt"/>
              <a:ea typeface="+mn-ea"/>
              <a:cs typeface="+mn-cs"/>
            </a:rPr>
            <a:t>2 Category Two - Dependent Variable</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Quantity</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Revenue</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Unit Price</a:t>
          </a:r>
          <a:endParaRPr lang="en-US" sz="800" b="0">
            <a:effectLst/>
          </a:endParaRPr>
        </a:p>
        <a:p>
          <a:pPr algn="l"/>
          <a:endParaRPr lang="en-US" sz="1000" b="1"/>
        </a:p>
      </xdr:txBody>
    </xdr:sp>
    <xdr:clientData/>
  </xdr:twoCellAnchor>
  <xdr:twoCellAnchor>
    <xdr:from>
      <xdr:col>0</xdr:col>
      <xdr:colOff>31751</xdr:colOff>
      <xdr:row>13</xdr:row>
      <xdr:rowOff>28222</xdr:rowOff>
    </xdr:from>
    <xdr:to>
      <xdr:col>7</xdr:col>
      <xdr:colOff>146051</xdr:colOff>
      <xdr:row>25</xdr:row>
      <xdr:rowOff>22578</xdr:rowOff>
    </xdr:to>
    <xdr:sp macro="" textlink="">
      <xdr:nvSpPr>
        <xdr:cNvPr id="3" name="Rounded Rectangle 2">
          <a:extLst>
            <a:ext uri="{FF2B5EF4-FFF2-40B4-BE49-F238E27FC236}">
              <a16:creationId xmlns:a16="http://schemas.microsoft.com/office/drawing/2014/main" id="{00000000-0008-0000-0C00-000003000000}"/>
            </a:ext>
          </a:extLst>
        </xdr:cNvPr>
        <xdr:cNvSpPr/>
      </xdr:nvSpPr>
      <xdr:spPr>
        <a:xfrm>
          <a:off x="31751" y="2413000"/>
          <a:ext cx="4361744" cy="2195689"/>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accent5">
                  <a:lumMod val="50000"/>
                </a:schemeClr>
              </a:solidFill>
            </a:rPr>
            <a:t>                                                 </a:t>
          </a:r>
          <a:r>
            <a:rPr lang="en-US" sz="1000" b="1" baseline="0">
              <a:solidFill>
                <a:schemeClr val="accent5">
                  <a:lumMod val="50000"/>
                </a:schemeClr>
              </a:solidFill>
            </a:rPr>
            <a:t>INDUSTARY TYPE</a:t>
          </a:r>
        </a:p>
        <a:p>
          <a:pPr algn="l"/>
          <a:r>
            <a:rPr lang="en-US" sz="800" b="0" baseline="0">
              <a:solidFill>
                <a:schemeClr val="accent5">
                  <a:lumMod val="50000"/>
                </a:schemeClr>
              </a:solidFill>
            </a:rPr>
            <a:t>Geocery with Revenue Means</a:t>
          </a:r>
        </a:p>
        <a:p>
          <a:pPr algn="l"/>
          <a:endParaRPr lang="en-US" sz="1000" b="1">
            <a:solidFill>
              <a:schemeClr val="accent5">
                <a:lumMod val="50000"/>
              </a:schemeClr>
            </a:solidFill>
          </a:endParaRPr>
        </a:p>
        <a:p>
          <a:pPr algn="l"/>
          <a:r>
            <a:rPr lang="en-US" sz="1000" b="1" baseline="0">
              <a:solidFill>
                <a:schemeClr val="accent5">
                  <a:lumMod val="50000"/>
                </a:schemeClr>
              </a:solidFill>
            </a:rPr>
            <a:t>                                                      STORY OF DATA</a:t>
          </a:r>
        </a:p>
        <a:p>
          <a:pPr algn="l"/>
          <a:r>
            <a:rPr lang="en-US" sz="800" b="0" baseline="0">
              <a:solidFill>
                <a:schemeClr val="accent5">
                  <a:lumMod val="50000"/>
                </a:schemeClr>
              </a:solidFill>
            </a:rPr>
            <a:t>This data is telling a story around goods sold by the firm in different countries. It also highlight different quantity purchas, the ship use for  shipping, also includ salespersons for each sale made</a:t>
          </a:r>
        </a:p>
        <a:p>
          <a:pPr marL="0" marR="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accent5">
                  <a:lumMod val="50000"/>
                </a:schemeClr>
              </a:solidFill>
              <a:effectLst/>
              <a:latin typeface="+mn-lt"/>
              <a:ea typeface="+mn-ea"/>
              <a:cs typeface="+mn-cs"/>
            </a:rPr>
            <a:t>                                    </a:t>
          </a:r>
          <a:r>
            <a:rPr lang="en-US" sz="1000" b="1" baseline="0">
              <a:solidFill>
                <a:schemeClr val="accent5">
                  <a:lumMod val="50000"/>
                </a:schemeClr>
              </a:solidFill>
              <a:effectLst/>
              <a:latin typeface="+mn-lt"/>
              <a:ea typeface="+mn-ea"/>
              <a:cs typeface="+mn-cs"/>
            </a:rPr>
            <a:t>STAKEHOLDERS FOR PROJECT</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accent5">
                  <a:lumMod val="50000"/>
                </a:schemeClr>
              </a:solidFill>
              <a:effectLst/>
              <a:latin typeface="+mn-lt"/>
              <a:ea typeface="+mn-ea"/>
              <a:cs typeface="+mn-cs"/>
            </a:rPr>
            <a:t>The chief excutives and marketing team</a:t>
          </a:r>
          <a:endParaRPr lang="en-US" sz="800" b="0">
            <a:solidFill>
              <a:schemeClr val="accent5">
                <a:lumMod val="50000"/>
              </a:schemeClr>
            </a:solidFill>
            <a:effectLst/>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accent5">
                  <a:lumMod val="50000"/>
                </a:schemeClr>
              </a:solidFill>
              <a:effectLst/>
              <a:latin typeface="+mn-lt"/>
              <a:ea typeface="+mn-ea"/>
              <a:cs typeface="+mn-cs"/>
            </a:rPr>
            <a:t>                               </a:t>
          </a:r>
        </a:p>
        <a:p>
          <a:pPr marL="0" marR="0" indent="0" algn="l" defTabSz="914400" eaLnBrk="1" fontAlgn="auto" latinLnBrk="0" hangingPunct="1">
            <a:lnSpc>
              <a:spcPct val="100000"/>
            </a:lnSpc>
            <a:spcBef>
              <a:spcPts val="0"/>
            </a:spcBef>
            <a:spcAft>
              <a:spcPts val="0"/>
            </a:spcAft>
            <a:buClrTx/>
            <a:buSzTx/>
            <a:buFontTx/>
            <a:buNone/>
            <a:tabLst/>
            <a:defRPr/>
          </a:pPr>
          <a:r>
            <a:rPr lang="en-US" sz="800" b="1" baseline="0">
              <a:solidFill>
                <a:schemeClr val="accent5">
                  <a:lumMod val="50000"/>
                </a:schemeClr>
              </a:solidFill>
              <a:effectLst/>
              <a:latin typeface="+mn-lt"/>
              <a:ea typeface="+mn-ea"/>
              <a:cs typeface="+mn-cs"/>
            </a:rPr>
            <a:t>                    WHAT SUCCESS MEANS TO THE INDUSTARY</a:t>
          </a:r>
        </a:p>
        <a:p>
          <a:pPr marL="0" marR="0" indent="0" algn="l" defTabSz="914400" eaLnBrk="1" fontAlgn="auto" latinLnBrk="0" hangingPunct="1">
            <a:lnSpc>
              <a:spcPct val="100000"/>
            </a:lnSpc>
            <a:spcBef>
              <a:spcPts val="0"/>
            </a:spcBef>
            <a:spcAft>
              <a:spcPts val="0"/>
            </a:spcAft>
            <a:buClrTx/>
            <a:buSzTx/>
            <a:buFontTx/>
            <a:buNone/>
            <a:tabLst/>
            <a:defRPr/>
          </a:pPr>
          <a:r>
            <a:rPr lang="en-US" sz="800" b="1" baseline="0">
              <a:solidFill>
                <a:schemeClr val="accent5">
                  <a:lumMod val="50000"/>
                </a:schemeClr>
              </a:solidFill>
              <a:effectLst/>
              <a:latin typeface="+mn-lt"/>
              <a:ea typeface="+mn-ea"/>
              <a:cs typeface="+mn-cs"/>
            </a:rPr>
            <a:t>Generating more revenue, this is what they consider as value</a:t>
          </a:r>
          <a:endParaRPr lang="en-US" sz="800">
            <a:solidFill>
              <a:schemeClr val="accent5">
                <a:lumMod val="50000"/>
              </a:schemeClr>
            </a:solidFill>
            <a:effectLst/>
          </a:endParaRPr>
        </a:p>
        <a:p>
          <a:pPr algn="l"/>
          <a:endParaRPr lang="en-US" sz="1000" b="0"/>
        </a:p>
      </xdr:txBody>
    </xdr:sp>
    <xdr:clientData/>
  </xdr:twoCellAnchor>
  <xdr:twoCellAnchor>
    <xdr:from>
      <xdr:col>7</xdr:col>
      <xdr:colOff>479778</xdr:colOff>
      <xdr:row>13</xdr:row>
      <xdr:rowOff>35983</xdr:rowOff>
    </xdr:from>
    <xdr:to>
      <xdr:col>14</xdr:col>
      <xdr:colOff>594077</xdr:colOff>
      <xdr:row>25</xdr:row>
      <xdr:rowOff>29633</xdr:rowOff>
    </xdr:to>
    <xdr:sp macro="" textlink="">
      <xdr:nvSpPr>
        <xdr:cNvPr id="4" name="Rounded Rectangle 3">
          <a:extLst>
            <a:ext uri="{FF2B5EF4-FFF2-40B4-BE49-F238E27FC236}">
              <a16:creationId xmlns:a16="http://schemas.microsoft.com/office/drawing/2014/main" id="{00000000-0008-0000-0C00-000004000000}"/>
            </a:ext>
          </a:extLst>
        </xdr:cNvPr>
        <xdr:cNvSpPr/>
      </xdr:nvSpPr>
      <xdr:spPr>
        <a:xfrm>
          <a:off x="4727222" y="2420761"/>
          <a:ext cx="4361744" cy="2194983"/>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r>
            <a:rPr lang="en-US" sz="1000" b="1" baseline="0"/>
            <a:t>P0TENTIAL INSIGHT</a:t>
          </a:r>
        </a:p>
        <a:p>
          <a:pPr algn="l"/>
          <a:r>
            <a:rPr lang="en-US" sz="800" b="0" baseline="0">
              <a:effectLst/>
            </a:rPr>
            <a:t>1. Finetune the best region for the yea and explore more measures to gain grounds against </a:t>
          </a:r>
        </a:p>
        <a:p>
          <a:pPr algn="l"/>
          <a:r>
            <a:rPr lang="en-US" sz="800" b="0" baseline="0">
              <a:effectLst/>
            </a:rPr>
            <a:t>     Compertitors eg more ads.</a:t>
          </a:r>
        </a:p>
        <a:p>
          <a:pPr algn="l"/>
          <a:r>
            <a:rPr lang="en-US" sz="800" b="0" baseline="0">
              <a:effectLst/>
            </a:rPr>
            <a:t>2. Finetune out the best performing product and ensure this product never diminishs, hence  </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effectLst/>
            </a:rPr>
            <a:t>     </a:t>
          </a:r>
          <a:r>
            <a:rPr lang="en-US" sz="800" b="0" baseline="0">
              <a:solidFill>
                <a:schemeClr val="lt1"/>
              </a:solidFill>
              <a:effectLst/>
              <a:latin typeface="+mn-lt"/>
              <a:ea typeface="+mn-ea"/>
              <a:cs typeface="+mn-cs"/>
            </a:rPr>
            <a:t>preventing its customers from firm switching.</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3. Finetune least performing and implementing methodologies used at the top performance </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     region measure more revenue means</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4. Finetune performance of each sales person and transfer top performance sales person that </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    seems to be low performing</a:t>
          </a:r>
        </a:p>
        <a:p>
          <a:pPr marL="0" marR="0" indent="0" algn="l" defTabSz="914400" eaLnBrk="1" fontAlgn="auto" latinLnBrk="0" hangingPunct="1">
            <a:lnSpc>
              <a:spcPct val="100000"/>
            </a:lnSpc>
            <a:spcBef>
              <a:spcPts val="0"/>
            </a:spcBef>
            <a:spcAft>
              <a:spcPts val="0"/>
            </a:spcAft>
            <a:buClrTx/>
            <a:buSzTx/>
            <a:buFontTx/>
            <a:buNone/>
            <a:tabLst/>
            <a:defRPr/>
          </a:pPr>
          <a:r>
            <a:rPr lang="en-US" sz="800" b="0" baseline="0">
              <a:solidFill>
                <a:schemeClr val="lt1"/>
              </a:solidFill>
              <a:effectLst/>
              <a:latin typeface="+mn-lt"/>
              <a:ea typeface="+mn-ea"/>
              <a:cs typeface="+mn-cs"/>
            </a:rPr>
            <a:t>5. Finetune if possibe the lowest sale product could be splash by 10% to boost sales</a:t>
          </a:r>
        </a:p>
        <a:p>
          <a:pPr marL="0" marR="0" indent="0" algn="l" defTabSz="914400" eaLnBrk="1" fontAlgn="auto" latinLnBrk="0" hangingPunct="1">
            <a:lnSpc>
              <a:spcPct val="100000"/>
            </a:lnSpc>
            <a:spcBef>
              <a:spcPts val="0"/>
            </a:spcBef>
            <a:spcAft>
              <a:spcPts val="0"/>
            </a:spcAft>
            <a:buClrTx/>
            <a:buSzTx/>
            <a:buFontTx/>
            <a:buNone/>
            <a:tabLst/>
            <a:defRPr/>
          </a:pPr>
          <a:endParaRPr lang="en-US" sz="800">
            <a:effectLst/>
          </a:endParaRPr>
        </a:p>
        <a:p>
          <a:pPr algn="l"/>
          <a:endParaRPr lang="en-US" sz="1000" b="1"/>
        </a:p>
      </xdr:txBody>
    </xdr:sp>
    <xdr:clientData/>
  </xdr:twoCellAnchor>
  <xdr:twoCellAnchor>
    <xdr:from>
      <xdr:col>7</xdr:col>
      <xdr:colOff>448734</xdr:colOff>
      <xdr:row>0</xdr:row>
      <xdr:rowOff>153106</xdr:rowOff>
    </xdr:from>
    <xdr:to>
      <xdr:col>14</xdr:col>
      <xdr:colOff>563033</xdr:colOff>
      <xdr:row>12</xdr:row>
      <xdr:rowOff>146756</xdr:rowOff>
    </xdr:to>
    <xdr:sp macro="" textlink="">
      <xdr:nvSpPr>
        <xdr:cNvPr id="5" name="Rounded Rectangle 4">
          <a:extLst>
            <a:ext uri="{FF2B5EF4-FFF2-40B4-BE49-F238E27FC236}">
              <a16:creationId xmlns:a16="http://schemas.microsoft.com/office/drawing/2014/main" id="{00000000-0008-0000-0C00-000005000000}"/>
            </a:ext>
          </a:extLst>
        </xdr:cNvPr>
        <xdr:cNvSpPr/>
      </xdr:nvSpPr>
      <xdr:spPr>
        <a:xfrm>
          <a:off x="4696178" y="153106"/>
          <a:ext cx="4361744" cy="219498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accent5">
                  <a:lumMod val="50000"/>
                </a:schemeClr>
              </a:solidFill>
            </a:rPr>
            <a:t>                         </a:t>
          </a:r>
          <a:r>
            <a:rPr lang="en-US" sz="1000" b="1" baseline="0">
              <a:solidFill>
                <a:schemeClr val="accent5">
                  <a:lumMod val="50000"/>
                </a:schemeClr>
              </a:solidFill>
            </a:rPr>
            <a:t>POTENTIAL ANALYSIS/QUESTION</a:t>
          </a:r>
        </a:p>
        <a:p>
          <a:pPr algn="l"/>
          <a:r>
            <a:rPr lang="en-US" sz="800" b="1">
              <a:solidFill>
                <a:schemeClr val="accent5">
                  <a:lumMod val="50000"/>
                </a:schemeClr>
              </a:solidFill>
            </a:rPr>
            <a:t>1 Regional performance by revenue generated</a:t>
          </a:r>
        </a:p>
        <a:p>
          <a:pPr algn="l"/>
          <a:r>
            <a:rPr lang="en-US" sz="800" b="1">
              <a:solidFill>
                <a:schemeClr val="accent5">
                  <a:lumMod val="50000"/>
                </a:schemeClr>
              </a:solidFill>
            </a:rPr>
            <a:t>2 performance analysis of each salesperson by revenue generated</a:t>
          </a:r>
        </a:p>
        <a:p>
          <a:pPr algn="l"/>
          <a:r>
            <a:rPr lang="en-US" sz="800" b="1">
              <a:solidFill>
                <a:schemeClr val="accent5">
                  <a:lumMod val="50000"/>
                </a:schemeClr>
              </a:solidFill>
            </a:rPr>
            <a:t>3. Customer performance by quantity purchase</a:t>
          </a:r>
        </a:p>
        <a:p>
          <a:pPr algn="l"/>
          <a:r>
            <a:rPr lang="en-US" sz="800" b="1">
              <a:solidFill>
                <a:schemeClr val="accent5">
                  <a:lumMod val="50000"/>
                </a:schemeClr>
              </a:solidFill>
            </a:rPr>
            <a:t>4. Payment</a:t>
          </a:r>
          <a:r>
            <a:rPr lang="en-US" sz="800" b="1" baseline="0">
              <a:solidFill>
                <a:schemeClr val="accent5">
                  <a:lumMod val="50000"/>
                </a:schemeClr>
              </a:solidFill>
            </a:rPr>
            <a:t> usage over time by quantity use by payment</a:t>
          </a:r>
        </a:p>
        <a:p>
          <a:pPr algn="l"/>
          <a:r>
            <a:rPr lang="en-US" sz="800" b="1" baseline="0">
              <a:solidFill>
                <a:schemeClr val="accent5">
                  <a:lumMod val="50000"/>
                </a:schemeClr>
              </a:solidFill>
            </a:rPr>
            <a:t>5. Best performaning product for the year by quantity purchased</a:t>
          </a:r>
        </a:p>
        <a:p>
          <a:pPr algn="l"/>
          <a:r>
            <a:rPr lang="en-US" sz="800" b="1" baseline="0">
              <a:solidFill>
                <a:schemeClr val="accent5">
                  <a:lumMod val="50000"/>
                </a:schemeClr>
              </a:solidFill>
            </a:rPr>
            <a:t>6. Performance analysis for shipping contribute with reference to quantity and revenue</a:t>
          </a:r>
        </a:p>
        <a:p>
          <a:pPr algn="l"/>
          <a:r>
            <a:rPr lang="en-US" sz="800" b="1" baseline="0">
              <a:solidFill>
                <a:schemeClr val="accent5">
                  <a:lumMod val="50000"/>
                </a:schemeClr>
              </a:solidFill>
            </a:rPr>
            <a:t>7. Product category performance quantity</a:t>
          </a:r>
        </a:p>
        <a:p>
          <a:pPr algn="l"/>
          <a:r>
            <a:rPr lang="en-US" sz="800" b="1" baseline="0">
              <a:solidFill>
                <a:schemeClr val="accent5">
                  <a:lumMod val="50000"/>
                </a:schemeClr>
              </a:solidFill>
            </a:rPr>
            <a:t>8. Sales person performance per region by revenue</a:t>
          </a:r>
        </a:p>
        <a:p>
          <a:pPr algn="l"/>
          <a:r>
            <a:rPr lang="en-US" sz="800" b="1" baseline="0">
              <a:solidFill>
                <a:schemeClr val="accent5">
                  <a:lumMod val="50000"/>
                </a:schemeClr>
              </a:solidFill>
            </a:rPr>
            <a:t>9. Payment type across different regions</a:t>
          </a:r>
        </a:p>
        <a:p>
          <a:pPr algn="l"/>
          <a:r>
            <a:rPr lang="en-US" sz="800" b="1" baseline="0">
              <a:solidFill>
                <a:schemeClr val="accent5">
                  <a:lumMod val="50000"/>
                </a:schemeClr>
              </a:solidFill>
            </a:rPr>
            <a:t>10. Distribution of unit across product categories</a:t>
          </a:r>
        </a:p>
        <a:p>
          <a:pPr algn="l"/>
          <a:endParaRPr lang="en-US" sz="800" b="1" baseline="0">
            <a:solidFill>
              <a:schemeClr val="accent5">
                <a:lumMod val="50000"/>
              </a:schemeClr>
            </a:solidFill>
          </a:endParaRPr>
        </a:p>
        <a:p>
          <a:pPr marL="0" marR="0" indent="0" algn="l" defTabSz="914400" eaLnBrk="1" fontAlgn="auto" latinLnBrk="0" hangingPunct="1">
            <a:lnSpc>
              <a:spcPct val="100000"/>
            </a:lnSpc>
            <a:spcBef>
              <a:spcPts val="0"/>
            </a:spcBef>
            <a:spcAft>
              <a:spcPts val="0"/>
            </a:spcAft>
            <a:buClrTx/>
            <a:buSzTx/>
            <a:buFontTx/>
            <a:buNone/>
            <a:tabLst/>
            <a:defRPr/>
          </a:pPr>
          <a:r>
            <a:rPr lang="en-US" sz="800" b="1" baseline="0">
              <a:solidFill>
                <a:schemeClr val="accent5">
                  <a:lumMod val="50000"/>
                </a:schemeClr>
              </a:solidFill>
            </a:rPr>
            <a:t>                    </a:t>
          </a:r>
          <a:r>
            <a:rPr lang="en-US" sz="1000" b="1" baseline="0">
              <a:solidFill>
                <a:schemeClr val="accent5">
                  <a:lumMod val="50000"/>
                </a:schemeClr>
              </a:solidFill>
            </a:rPr>
            <a:t>     </a:t>
          </a:r>
          <a:r>
            <a:rPr lang="en-US" sz="1000" b="1" baseline="0">
              <a:solidFill>
                <a:schemeClr val="accent5">
                  <a:lumMod val="50000"/>
                </a:schemeClr>
              </a:solidFill>
              <a:effectLst/>
              <a:latin typeface="+mn-lt"/>
              <a:ea typeface="+mn-ea"/>
              <a:cs typeface="+mn-cs"/>
            </a:rPr>
            <a:t>POTENTIAL ANALYSIS/QUESTION</a:t>
          </a:r>
        </a:p>
        <a:p>
          <a:pPr marL="0" marR="0" indent="0" algn="l" defTabSz="914400" eaLnBrk="1" fontAlgn="auto" latinLnBrk="0" hangingPunct="1">
            <a:lnSpc>
              <a:spcPct val="100000"/>
            </a:lnSpc>
            <a:spcBef>
              <a:spcPts val="0"/>
            </a:spcBef>
            <a:spcAft>
              <a:spcPts val="0"/>
            </a:spcAft>
            <a:buClrTx/>
            <a:buSzTx/>
            <a:buFontTx/>
            <a:buNone/>
            <a:tabLst/>
            <a:defRPr/>
          </a:pPr>
          <a:r>
            <a:rPr lang="en-US" sz="1000" b="1" baseline="0">
              <a:solidFill>
                <a:schemeClr val="accent5">
                  <a:lumMod val="50000"/>
                </a:schemeClr>
              </a:solidFill>
              <a:effectLst/>
              <a:latin typeface="+mn-lt"/>
              <a:ea typeface="+mn-ea"/>
              <a:cs typeface="+mn-cs"/>
            </a:rPr>
            <a:t>     </a:t>
          </a:r>
          <a:r>
            <a:rPr lang="en-US" sz="800" b="1" baseline="0">
              <a:solidFill>
                <a:schemeClr val="accent5">
                  <a:lumMod val="50000"/>
                </a:schemeClr>
              </a:solidFill>
              <a:effectLst/>
              <a:latin typeface="+mn-lt"/>
              <a:ea typeface="+mn-ea"/>
              <a:cs typeface="+mn-cs"/>
            </a:rPr>
            <a:t>Profit</a:t>
          </a:r>
          <a:endParaRPr lang="en-US" sz="800">
            <a:solidFill>
              <a:schemeClr val="accent5">
                <a:lumMod val="50000"/>
              </a:schemeClr>
            </a:solidFill>
            <a:effectLst/>
          </a:endParaRPr>
        </a:p>
        <a:p>
          <a:pPr algn="l"/>
          <a:endParaRPr lang="en-US" sz="800" b="1" baseline="0"/>
        </a:p>
        <a:p>
          <a:pPr algn="l"/>
          <a:endParaRPr lang="en-US" sz="800" b="1"/>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38100</xdr:colOff>
      <xdr:row>0</xdr:row>
      <xdr:rowOff>137584</xdr:rowOff>
    </xdr:from>
    <xdr:to>
      <xdr:col>7</xdr:col>
      <xdr:colOff>152400</xdr:colOff>
      <xdr:row>12</xdr:row>
      <xdr:rowOff>131234</xdr:rowOff>
    </xdr:to>
    <xdr:sp macro="" textlink="">
      <xdr:nvSpPr>
        <xdr:cNvPr id="2" name="Rounded Rectangle 1">
          <a:extLst>
            <a:ext uri="{FF2B5EF4-FFF2-40B4-BE49-F238E27FC236}">
              <a16:creationId xmlns:a16="http://schemas.microsoft.com/office/drawing/2014/main" id="{66FDBE9E-9B6D-4D18-B044-4F54F57B23D6}"/>
            </a:ext>
          </a:extLst>
        </xdr:cNvPr>
        <xdr:cNvSpPr/>
      </xdr:nvSpPr>
      <xdr:spPr>
        <a:xfrm>
          <a:off x="38100" y="137584"/>
          <a:ext cx="4381500" cy="220345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baseline="0"/>
            <a:t>                                   GENERAL OBSERAVATIONS</a:t>
          </a:r>
        </a:p>
        <a:p>
          <a:pPr algn="l"/>
          <a:r>
            <a:rPr lang="en-US" sz="1000"/>
            <a:t>New York is the clear leader in shipping revenue, overall revenue, and top city performance ($67,180.50).</a:t>
          </a:r>
          <a:r>
            <a:rPr lang="en-US" sz="1000" baseline="0"/>
            <a:t> </a:t>
          </a:r>
          <a:r>
            <a:rPr lang="en-US" sz="1000"/>
            <a:t>This suggests either a concentrated</a:t>
          </a:r>
          <a:r>
            <a:rPr lang="en-US" sz="1000" baseline="0"/>
            <a:t> </a:t>
          </a:r>
          <a:r>
            <a:rPr lang="en-US" sz="1000"/>
            <a:t>customer base in New York or a high-value sales environment there</a:t>
          </a:r>
        </a:p>
        <a:p>
          <a:pPr algn="l"/>
          <a:r>
            <a:rPr lang="en-US" sz="1000"/>
            <a:t>Company D is the top customer, aligning closely with New York’s dominance, which may indicate a geographical concentration.</a:t>
          </a:r>
        </a:p>
        <a:p>
          <a:pPr algn="l"/>
          <a:r>
            <a:rPr lang="en-US" sz="1000"/>
            <a:t>Beverages is the best-performing product, though the product category chart shows “Jams” with the highest revenue ($41,391). This discrepancy suggests a need for clearer categorization between "product type" and "product category.</a:t>
          </a:r>
        </a:p>
        <a:p>
          <a:pPr algn="l"/>
          <a:r>
            <a:rPr lang="en-US" sz="1000"/>
            <a:t>Sales fluctuate significantly throughout the year, with notable peaks in June ($11,595) and December ($11,026).</a:t>
          </a:r>
        </a:p>
        <a:p>
          <a:endParaRPr lang="en-US" sz="1000"/>
        </a:p>
        <a:p>
          <a:endParaRPr lang="en-US" sz="1000"/>
        </a:p>
        <a:p>
          <a:pPr algn="l"/>
          <a:endParaRPr lang="en-US" sz="1000" b="1"/>
        </a:p>
      </xdr:txBody>
    </xdr:sp>
    <xdr:clientData/>
  </xdr:twoCellAnchor>
  <xdr:twoCellAnchor>
    <xdr:from>
      <xdr:col>0</xdr:col>
      <xdr:colOff>31751</xdr:colOff>
      <xdr:row>13</xdr:row>
      <xdr:rowOff>28222</xdr:rowOff>
    </xdr:from>
    <xdr:to>
      <xdr:col>7</xdr:col>
      <xdr:colOff>146051</xdr:colOff>
      <xdr:row>25</xdr:row>
      <xdr:rowOff>22578</xdr:rowOff>
    </xdr:to>
    <xdr:sp macro="" textlink="">
      <xdr:nvSpPr>
        <xdr:cNvPr id="3" name="Rounded Rectangle 2">
          <a:extLst>
            <a:ext uri="{FF2B5EF4-FFF2-40B4-BE49-F238E27FC236}">
              <a16:creationId xmlns:a16="http://schemas.microsoft.com/office/drawing/2014/main" id="{C80E9F1E-C49F-4DB8-8456-6B8EB367F86D}"/>
            </a:ext>
          </a:extLst>
        </xdr:cNvPr>
        <xdr:cNvSpPr/>
      </xdr:nvSpPr>
      <xdr:spPr>
        <a:xfrm>
          <a:off x="31751" y="2422172"/>
          <a:ext cx="4381500" cy="2204156"/>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accent5">
                  <a:lumMod val="50000"/>
                </a:schemeClr>
              </a:solidFill>
            </a:rPr>
            <a:t>                                            </a:t>
          </a:r>
          <a:r>
            <a:rPr lang="en-US" sz="1000" b="1" baseline="0">
              <a:solidFill>
                <a:schemeClr val="accent5">
                  <a:lumMod val="50000"/>
                </a:schemeClr>
              </a:solidFill>
            </a:rPr>
            <a:t>GENERAL OBSERVATION</a:t>
          </a:r>
        </a:p>
        <a:p>
          <a:pPr algn="l"/>
          <a:r>
            <a:rPr lang="en-US" sz="1000">
              <a:solidFill>
                <a:schemeClr val="accent5">
                  <a:lumMod val="50000"/>
                </a:schemeClr>
              </a:solidFill>
            </a:rPr>
            <a:t>December is the highest sales month, indicating strong year-end demand, possibly due to seasonal or holiday sales.</a:t>
          </a:r>
        </a:p>
        <a:p>
          <a:pPr algn="l"/>
          <a:r>
            <a:rPr lang="en-US" sz="1000">
              <a:solidFill>
                <a:schemeClr val="accent5">
                  <a:lumMod val="50000"/>
                </a:schemeClr>
              </a:solidFill>
            </a:rPr>
            <a:t>April has the lowest performance ($738.40), suggesting either a market slowdown or operational issues in that period.</a:t>
          </a:r>
        </a:p>
        <a:p>
          <a:pPr algn="l"/>
          <a:r>
            <a:rPr lang="en-US" sz="1000">
              <a:solidFill>
                <a:schemeClr val="accent5">
                  <a:lumMod val="50000"/>
                </a:schemeClr>
              </a:solidFill>
            </a:rPr>
            <a:t>Andrew Cencini appears to account for the entire visible sales performance figure ($67,180.50). If accurate, this indicates either heavy reliance on one salesperson or filtered data showing only Andrew’s performance.</a:t>
          </a:r>
        </a:p>
        <a:p>
          <a:r>
            <a:rPr lang="en-US" sz="1000">
              <a:solidFill>
                <a:schemeClr val="accent5">
                  <a:lumMod val="50000"/>
                </a:schemeClr>
              </a:solidFill>
            </a:rPr>
            <a:t>The performance by state map shows significant revenue concentration in a few states, with many states underperforming.</a:t>
          </a:r>
        </a:p>
        <a:p>
          <a:r>
            <a:rPr lang="en-US" sz="1000">
              <a:solidFill>
                <a:schemeClr val="accent5">
                  <a:lumMod val="50000"/>
                </a:schemeClr>
              </a:solidFill>
            </a:rPr>
            <a:t>This may indicate untapped potential in underrepresented regions.</a:t>
          </a:r>
        </a:p>
        <a:p>
          <a:pPr algn="l"/>
          <a:endParaRPr lang="en-US" sz="1000" b="1" baseline="0">
            <a:solidFill>
              <a:schemeClr val="accent5">
                <a:lumMod val="50000"/>
              </a:schemeClr>
            </a:solidFill>
          </a:endParaRPr>
        </a:p>
        <a:p>
          <a:pPr algn="l"/>
          <a:endParaRPr lang="en-US" sz="1000" b="0">
            <a:solidFill>
              <a:schemeClr val="accent5">
                <a:lumMod val="50000"/>
              </a:schemeClr>
            </a:solidFill>
          </a:endParaRPr>
        </a:p>
      </xdr:txBody>
    </xdr:sp>
    <xdr:clientData/>
  </xdr:twoCellAnchor>
  <xdr:twoCellAnchor>
    <xdr:from>
      <xdr:col>7</xdr:col>
      <xdr:colOff>479778</xdr:colOff>
      <xdr:row>13</xdr:row>
      <xdr:rowOff>35983</xdr:rowOff>
    </xdr:from>
    <xdr:to>
      <xdr:col>14</xdr:col>
      <xdr:colOff>594077</xdr:colOff>
      <xdr:row>25</xdr:row>
      <xdr:rowOff>29633</xdr:rowOff>
    </xdr:to>
    <xdr:sp macro="" textlink="">
      <xdr:nvSpPr>
        <xdr:cNvPr id="4" name="Rounded Rectangle 3">
          <a:extLst>
            <a:ext uri="{FF2B5EF4-FFF2-40B4-BE49-F238E27FC236}">
              <a16:creationId xmlns:a16="http://schemas.microsoft.com/office/drawing/2014/main" id="{84823674-E06C-41C1-8F01-816214637551}"/>
            </a:ext>
          </a:extLst>
        </xdr:cNvPr>
        <xdr:cNvSpPr/>
      </xdr:nvSpPr>
      <xdr:spPr>
        <a:xfrm>
          <a:off x="4746978" y="2429933"/>
          <a:ext cx="4381499" cy="220345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endParaRPr lang="en-US" sz="800">
            <a:effectLst/>
          </a:endParaRPr>
        </a:p>
        <a:p>
          <a:pPr algn="l"/>
          <a:endParaRPr lang="en-US" sz="1000" b="1"/>
        </a:p>
      </xdr:txBody>
    </xdr:sp>
    <xdr:clientData/>
  </xdr:twoCellAnchor>
  <xdr:twoCellAnchor>
    <xdr:from>
      <xdr:col>7</xdr:col>
      <xdr:colOff>448734</xdr:colOff>
      <xdr:row>0</xdr:row>
      <xdr:rowOff>153106</xdr:rowOff>
    </xdr:from>
    <xdr:to>
      <xdr:col>14</xdr:col>
      <xdr:colOff>563033</xdr:colOff>
      <xdr:row>12</xdr:row>
      <xdr:rowOff>146756</xdr:rowOff>
    </xdr:to>
    <xdr:sp macro="" textlink="">
      <xdr:nvSpPr>
        <xdr:cNvPr id="5" name="Rounded Rectangle 4">
          <a:extLst>
            <a:ext uri="{FF2B5EF4-FFF2-40B4-BE49-F238E27FC236}">
              <a16:creationId xmlns:a16="http://schemas.microsoft.com/office/drawing/2014/main" id="{9CC3811B-90C2-4A03-895A-0FA007851293}"/>
            </a:ext>
          </a:extLst>
        </xdr:cNvPr>
        <xdr:cNvSpPr/>
      </xdr:nvSpPr>
      <xdr:spPr>
        <a:xfrm>
          <a:off x="4715934" y="153106"/>
          <a:ext cx="4381499" cy="22034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accent5">
                  <a:lumMod val="50000"/>
                </a:schemeClr>
              </a:solidFill>
            </a:rPr>
            <a:t>                                 </a:t>
          </a:r>
          <a:r>
            <a:rPr lang="en-US" sz="1000" b="1" baseline="0">
              <a:solidFill>
                <a:schemeClr val="accent5">
                  <a:lumMod val="50000"/>
                </a:schemeClr>
              </a:solidFill>
            </a:rPr>
            <a:t>GENERAL OBSERVATIONS</a:t>
          </a:r>
        </a:p>
        <a:p>
          <a:pPr algn="l"/>
          <a:r>
            <a:rPr lang="en-US" sz="1000">
              <a:solidFill>
                <a:schemeClr val="accent5">
                  <a:lumMod val="50000"/>
                </a:schemeClr>
              </a:solidFill>
            </a:rPr>
            <a:t>The bulk of transactions are in the smallest bracket (10-1010) with 15 transactions, but the largest single transaction is also from this same bracket ID (10-1010), indicating a possible need to clarify transaction categorization or review high-volume low-value sales patterns.</a:t>
          </a:r>
        </a:p>
        <a:p>
          <a:r>
            <a:rPr lang="en-US" sz="1000">
              <a:solidFill>
                <a:schemeClr val="accent5">
                  <a:lumMod val="50000"/>
                </a:schemeClr>
              </a:solidFill>
            </a:rPr>
            <a:t>Jams outperform other categories significantly.</a:t>
          </a:r>
        </a:p>
        <a:p>
          <a:r>
            <a:rPr lang="en-US" sz="1000">
              <a:solidFill>
                <a:schemeClr val="accent5">
                  <a:lumMod val="50000"/>
                </a:schemeClr>
              </a:solidFill>
            </a:rPr>
            <a:t>Several categories like “Baked” and “Grains” generate minimal revenue, suggesting possible discontinuation or repositioning</a:t>
          </a:r>
        </a:p>
        <a:p>
          <a:pPr algn="l"/>
          <a:endParaRPr lang="en-US" sz="800" b="1" baseline="0">
            <a:solidFill>
              <a:schemeClr val="accent5">
                <a:lumMod val="50000"/>
              </a:schemeClr>
            </a:solidFill>
          </a:endParaRPr>
        </a:p>
        <a:p>
          <a:pPr algn="l"/>
          <a:endParaRPr lang="en-US" sz="800" b="1">
            <a:solidFill>
              <a:schemeClr val="accent5">
                <a:lumMod val="50000"/>
              </a:schemeClr>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38100</xdr:colOff>
      <xdr:row>0</xdr:row>
      <xdr:rowOff>137584</xdr:rowOff>
    </xdr:from>
    <xdr:to>
      <xdr:col>7</xdr:col>
      <xdr:colOff>152400</xdr:colOff>
      <xdr:row>12</xdr:row>
      <xdr:rowOff>131234</xdr:rowOff>
    </xdr:to>
    <xdr:sp macro="" textlink="">
      <xdr:nvSpPr>
        <xdr:cNvPr id="2" name="Rounded Rectangle 1">
          <a:extLst>
            <a:ext uri="{FF2B5EF4-FFF2-40B4-BE49-F238E27FC236}">
              <a16:creationId xmlns:a16="http://schemas.microsoft.com/office/drawing/2014/main" id="{25F3B4BC-B3BA-4902-BD37-5D2170F17ED5}"/>
            </a:ext>
          </a:extLst>
        </xdr:cNvPr>
        <xdr:cNvSpPr/>
      </xdr:nvSpPr>
      <xdr:spPr>
        <a:xfrm>
          <a:off x="38100" y="137584"/>
          <a:ext cx="4381500" cy="220345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                                </a:t>
          </a:r>
          <a:r>
            <a:rPr lang="en-US" sz="1100" b="1" baseline="0">
              <a:solidFill>
                <a:schemeClr val="lt1"/>
              </a:solidFill>
              <a:effectLst/>
              <a:latin typeface="+mn-lt"/>
              <a:ea typeface="+mn-ea"/>
              <a:cs typeface="+mn-cs"/>
            </a:rPr>
            <a:t>GENERAL RECOMMENDATIONS</a:t>
          </a:r>
          <a:endParaRPr lang="en-US" sz="1000">
            <a:effectLst/>
          </a:endParaRPr>
        </a:p>
        <a:p>
          <a:pPr algn="l"/>
          <a:endParaRPr lang="en-US" sz="1000" b="1" baseline="0"/>
        </a:p>
        <a:p>
          <a:r>
            <a:rPr lang="en-US" sz="1000"/>
            <a:t>Reduce over-reliance on one city by strengthening sales in other high-potential states and cities.</a:t>
          </a:r>
        </a:p>
        <a:p>
          <a:r>
            <a:rPr lang="en-US" sz="1000"/>
            <a:t>Consider market penetration strategies such as targeted promotions or partnerships in underperforming areas.</a:t>
          </a:r>
        </a:p>
        <a:p>
          <a:r>
            <a:rPr lang="en-US" sz="1000"/>
            <a:t>Ensure consistent classification of “Best Performing Product” vs. “Top Revenue Product Category” to avoid confusion.</a:t>
          </a:r>
        </a:p>
        <a:p>
          <a:r>
            <a:rPr lang="en-US" sz="1000"/>
            <a:t>Conduct deeper analysis on why Jams dominate and whether similar strategies can boost other categories.</a:t>
          </a:r>
        </a:p>
        <a:p>
          <a:endParaRPr lang="en-US" sz="1000"/>
        </a:p>
        <a:p>
          <a:pPr algn="l"/>
          <a:endParaRPr lang="en-US" sz="1000" b="1"/>
        </a:p>
      </xdr:txBody>
    </xdr:sp>
    <xdr:clientData/>
  </xdr:twoCellAnchor>
  <xdr:twoCellAnchor>
    <xdr:from>
      <xdr:col>0</xdr:col>
      <xdr:colOff>31751</xdr:colOff>
      <xdr:row>13</xdr:row>
      <xdr:rowOff>28222</xdr:rowOff>
    </xdr:from>
    <xdr:to>
      <xdr:col>7</xdr:col>
      <xdr:colOff>146051</xdr:colOff>
      <xdr:row>25</xdr:row>
      <xdr:rowOff>22578</xdr:rowOff>
    </xdr:to>
    <xdr:sp macro="" textlink="">
      <xdr:nvSpPr>
        <xdr:cNvPr id="3" name="Rounded Rectangle 2">
          <a:extLst>
            <a:ext uri="{FF2B5EF4-FFF2-40B4-BE49-F238E27FC236}">
              <a16:creationId xmlns:a16="http://schemas.microsoft.com/office/drawing/2014/main" id="{81E72990-E8DE-48A5-A07B-E2B066FC31B7}"/>
            </a:ext>
          </a:extLst>
        </xdr:cNvPr>
        <xdr:cNvSpPr/>
      </xdr:nvSpPr>
      <xdr:spPr>
        <a:xfrm>
          <a:off x="31751" y="2422172"/>
          <a:ext cx="4381500" cy="2204156"/>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accent5">
                  <a:lumMod val="50000"/>
                </a:schemeClr>
              </a:solidFill>
            </a:rPr>
            <a:t>                                     </a:t>
          </a:r>
          <a:r>
            <a:rPr lang="en-US" sz="1000" b="1" baseline="0">
              <a:solidFill>
                <a:schemeClr val="accent5">
                  <a:lumMod val="50000"/>
                </a:schemeClr>
              </a:solidFill>
            </a:rPr>
            <a:t>GENERAL RECOMMENDATIONS</a:t>
          </a:r>
        </a:p>
        <a:p>
          <a:r>
            <a:rPr lang="en-US" sz="1000">
              <a:solidFill>
                <a:schemeClr val="accent5">
                  <a:lumMod val="50000"/>
                </a:schemeClr>
              </a:solidFill>
            </a:rPr>
            <a:t>Investigate the reasons for low April sales and develop targeted campaigns to boost mid-year performance.</a:t>
          </a:r>
        </a:p>
        <a:p>
          <a:r>
            <a:rPr lang="en-US" sz="1000">
              <a:solidFill>
                <a:schemeClr val="accent5">
                  <a:lumMod val="50000"/>
                </a:schemeClr>
              </a:solidFill>
            </a:rPr>
            <a:t>Leverage December’s seasonal peak by introducing pre-holiday campaigns starting in October/November.</a:t>
          </a:r>
        </a:p>
        <a:p>
          <a:r>
            <a:rPr lang="en-US" sz="1000">
              <a:solidFill>
                <a:schemeClr val="accent5">
                  <a:lumMod val="50000"/>
                </a:schemeClr>
              </a:solidFill>
            </a:rPr>
            <a:t>If data is accurate, reliance on Andrew Cencini is risky. Expand training and lead distribution among other sales reps.</a:t>
          </a:r>
        </a:p>
        <a:p>
          <a:r>
            <a:rPr lang="en-US" sz="1000">
              <a:solidFill>
                <a:schemeClr val="accent5">
                  <a:lumMod val="50000"/>
                </a:schemeClr>
              </a:solidFill>
            </a:rPr>
            <a:t>Set performance benchmarks to improve overall sales team productivity</a:t>
          </a:r>
        </a:p>
        <a:p>
          <a:r>
            <a:rPr lang="en-US" sz="1000">
              <a:solidFill>
                <a:schemeClr val="accent5">
                  <a:lumMod val="50000"/>
                </a:schemeClr>
              </a:solidFill>
            </a:rPr>
            <a:t>While Company D is top customer, a diversified customer portfolio will reduce dependency risk.</a:t>
          </a:r>
        </a:p>
        <a:p>
          <a:r>
            <a:rPr lang="en-US" sz="1000">
              <a:solidFill>
                <a:schemeClr val="accent5">
                  <a:lumMod val="50000"/>
                </a:schemeClr>
              </a:solidFill>
            </a:rPr>
            <a:t>Use predictive analytics to identify and nurture other potential high-value clients.</a:t>
          </a:r>
        </a:p>
        <a:p>
          <a:endParaRPr lang="en-US" sz="1000">
            <a:solidFill>
              <a:schemeClr val="accent5">
                <a:lumMod val="50000"/>
              </a:schemeClr>
            </a:solidFill>
          </a:endParaRPr>
        </a:p>
        <a:p>
          <a:endParaRPr lang="en-US" sz="1000">
            <a:solidFill>
              <a:schemeClr val="accent5">
                <a:lumMod val="50000"/>
              </a:schemeClr>
            </a:solidFill>
          </a:endParaRPr>
        </a:p>
        <a:p>
          <a:pPr algn="l"/>
          <a:endParaRPr lang="en-US" sz="1000" b="0">
            <a:solidFill>
              <a:schemeClr val="accent5">
                <a:lumMod val="50000"/>
              </a:schemeClr>
            </a:solidFill>
          </a:endParaRPr>
        </a:p>
      </xdr:txBody>
    </xdr:sp>
    <xdr:clientData/>
  </xdr:twoCellAnchor>
  <xdr:twoCellAnchor>
    <xdr:from>
      <xdr:col>7</xdr:col>
      <xdr:colOff>479778</xdr:colOff>
      <xdr:row>13</xdr:row>
      <xdr:rowOff>35983</xdr:rowOff>
    </xdr:from>
    <xdr:to>
      <xdr:col>14</xdr:col>
      <xdr:colOff>594077</xdr:colOff>
      <xdr:row>25</xdr:row>
      <xdr:rowOff>29633</xdr:rowOff>
    </xdr:to>
    <xdr:sp macro="" textlink="">
      <xdr:nvSpPr>
        <xdr:cNvPr id="4" name="Rounded Rectangle 3">
          <a:extLst>
            <a:ext uri="{FF2B5EF4-FFF2-40B4-BE49-F238E27FC236}">
              <a16:creationId xmlns:a16="http://schemas.microsoft.com/office/drawing/2014/main" id="{09FAE9D3-47E4-4EF1-BD29-425879A13D3F}"/>
            </a:ext>
          </a:extLst>
        </xdr:cNvPr>
        <xdr:cNvSpPr/>
      </xdr:nvSpPr>
      <xdr:spPr>
        <a:xfrm>
          <a:off x="4746978" y="2429933"/>
          <a:ext cx="4381499" cy="220345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endParaRPr lang="en-US" sz="800">
            <a:effectLst/>
          </a:endParaRPr>
        </a:p>
        <a:p>
          <a:pPr algn="l"/>
          <a:endParaRPr lang="en-US" sz="1000" b="1"/>
        </a:p>
      </xdr:txBody>
    </xdr:sp>
    <xdr:clientData/>
  </xdr:twoCellAnchor>
  <xdr:twoCellAnchor>
    <xdr:from>
      <xdr:col>7</xdr:col>
      <xdr:colOff>448734</xdr:colOff>
      <xdr:row>0</xdr:row>
      <xdr:rowOff>153106</xdr:rowOff>
    </xdr:from>
    <xdr:to>
      <xdr:col>14</xdr:col>
      <xdr:colOff>563033</xdr:colOff>
      <xdr:row>12</xdr:row>
      <xdr:rowOff>146756</xdr:rowOff>
    </xdr:to>
    <xdr:sp macro="" textlink="">
      <xdr:nvSpPr>
        <xdr:cNvPr id="5" name="Rounded Rectangle 4">
          <a:extLst>
            <a:ext uri="{FF2B5EF4-FFF2-40B4-BE49-F238E27FC236}">
              <a16:creationId xmlns:a16="http://schemas.microsoft.com/office/drawing/2014/main" id="{C10C3AD2-35C6-4C9E-8635-C7C89941780C}"/>
            </a:ext>
          </a:extLst>
        </xdr:cNvPr>
        <xdr:cNvSpPr/>
      </xdr:nvSpPr>
      <xdr:spPr>
        <a:xfrm>
          <a:off x="4696178" y="153106"/>
          <a:ext cx="4361744" cy="219498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000" baseline="0">
              <a:solidFill>
                <a:schemeClr val="accent5">
                  <a:lumMod val="50000"/>
                </a:schemeClr>
              </a:solidFill>
            </a:rPr>
            <a:t>                         </a:t>
          </a:r>
          <a:r>
            <a:rPr lang="en-US" sz="1000" b="1" baseline="0">
              <a:solidFill>
                <a:schemeClr val="accent5">
                  <a:lumMod val="50000"/>
                </a:schemeClr>
              </a:solidFill>
              <a:effectLst/>
              <a:latin typeface="+mn-lt"/>
              <a:ea typeface="+mn-ea"/>
              <a:cs typeface="+mn-cs"/>
            </a:rPr>
            <a:t>GENERAL RECOMMENDATIONS</a:t>
          </a:r>
          <a:endParaRPr lang="en-US" sz="1000">
            <a:solidFill>
              <a:schemeClr val="accent5">
                <a:lumMod val="50000"/>
              </a:schemeClr>
            </a:solidFill>
            <a:effectLst/>
          </a:endParaRPr>
        </a:p>
        <a:p>
          <a:pPr algn="l"/>
          <a:endParaRPr lang="en-US" sz="1000" b="1" baseline="0">
            <a:solidFill>
              <a:schemeClr val="accent5">
                <a:lumMod val="50000"/>
              </a:schemeClr>
            </a:solidFill>
          </a:endParaRPr>
        </a:p>
        <a:p>
          <a:r>
            <a:rPr lang="en-US" sz="1000" b="1" baseline="0">
              <a:solidFill>
                <a:schemeClr val="accent5">
                  <a:lumMod val="50000"/>
                </a:schemeClr>
              </a:solidFill>
              <a:effectLst/>
              <a:latin typeface="+mn-lt"/>
              <a:ea typeface="+mn-ea"/>
              <a:cs typeface="+mn-cs"/>
            </a:rPr>
            <a:t>   </a:t>
          </a:r>
          <a:r>
            <a:rPr lang="en-US" sz="1000">
              <a:solidFill>
                <a:schemeClr val="accent5">
                  <a:lumMod val="50000"/>
                </a:schemeClr>
              </a:solidFill>
            </a:rPr>
            <a:t>Consider repositioning or discontinuing low-revenue categories unless they have strategic brand value.</a:t>
          </a:r>
        </a:p>
        <a:p>
          <a:r>
            <a:rPr lang="en-US" sz="1000">
              <a:solidFill>
                <a:schemeClr val="accent5">
                  <a:lumMod val="50000"/>
                </a:schemeClr>
              </a:solidFill>
            </a:rPr>
            <a:t>Invest marketing in mid-tier categories like Pasta and Dried goods to balance portfolio revenue.</a:t>
          </a:r>
        </a:p>
        <a:p>
          <a:r>
            <a:rPr lang="en-US" sz="1000">
              <a:solidFill>
                <a:schemeClr val="accent5">
                  <a:lumMod val="50000"/>
                </a:schemeClr>
              </a:solidFill>
            </a:rPr>
            <a:t>If the majority of transactions are low-value, explore upselling and bundling strategies to increase average transaction size.</a:t>
          </a:r>
        </a:p>
        <a:p>
          <a:r>
            <a:rPr lang="en-US" sz="1000">
              <a:solidFill>
                <a:schemeClr val="accent5">
                  <a:lumMod val="50000"/>
                </a:schemeClr>
              </a:solidFill>
            </a:rPr>
            <a:t>Evaluate the profitability of each transaction range to focus on the most lucrative segments.</a:t>
          </a:r>
        </a:p>
        <a:p>
          <a:pPr marL="0" marR="0" indent="0" algn="l" defTabSz="914400" eaLnBrk="1" fontAlgn="auto" latinLnBrk="0" hangingPunct="1">
            <a:lnSpc>
              <a:spcPct val="100000"/>
            </a:lnSpc>
            <a:spcBef>
              <a:spcPts val="0"/>
            </a:spcBef>
            <a:spcAft>
              <a:spcPts val="0"/>
            </a:spcAft>
            <a:buClrTx/>
            <a:buSzTx/>
            <a:buFontTx/>
            <a:buNone/>
            <a:tabLst/>
            <a:defRPr/>
          </a:pPr>
          <a:endParaRPr lang="en-US" sz="1000">
            <a:solidFill>
              <a:schemeClr val="accent5">
                <a:lumMod val="50000"/>
              </a:schemeClr>
            </a:solidFill>
            <a:effectLst/>
          </a:endParaRPr>
        </a:p>
        <a:p>
          <a:pPr algn="l"/>
          <a:endParaRPr lang="en-US" sz="1000" b="1" baseline="0">
            <a:solidFill>
              <a:schemeClr val="accent5">
                <a:lumMod val="50000"/>
              </a:schemeClr>
            </a:solidFill>
          </a:endParaRPr>
        </a:p>
        <a:p>
          <a:pPr algn="l"/>
          <a:endParaRPr lang="en-US" sz="1000" b="1">
            <a:solidFill>
              <a:schemeClr val="accent5">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65.667042129629" createdVersion="5" refreshedVersion="5" minRefreshableVersion="3" recordCount="369" xr:uid="{00000000-000A-0000-FFFF-FFFF0A000000}">
  <cacheSource type="worksheet">
    <worksheetSource ref="A1:Z370" sheet="Data (2)"/>
  </cacheSource>
  <cacheFields count="26">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base="1">
        <rangePr groupBy="months" startDate="2014-01-01T00:00:00" endDate="2014-12-30T00:00:00"/>
        <groupItems count="14">
          <s v="&lt;1/1/2014"/>
          <s v="Jan"/>
          <s v="Feb"/>
          <s v="Mar"/>
          <s v="Apr"/>
          <s v="May"/>
          <s v="Jun"/>
          <s v="Jul"/>
          <s v="Aug"/>
          <s v="Sep"/>
          <s v="Oct"/>
          <s v="Nov"/>
          <s v="Dec"/>
          <s v="&gt;12/30/2014"/>
        </groupItems>
      </fieldGroup>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ount="1">
        <s v="USA"/>
      </sharedItems>
    </cacheField>
    <cacheField name="Payment Type" numFmtId="0">
      <sharedItems containsBlank="1"/>
    </cacheField>
    <cacheField name="Product Name" numFmtId="0">
      <sharedItems containsBlank="1"/>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startNum="10" endNum="7938" groupInterval="1000"/>
        <groupItems count="10">
          <s v="&lt;10"/>
          <s v="10-1010"/>
          <s v="1010-2010"/>
          <s v="2010-3010"/>
          <s v="3010-4010"/>
          <s v="4010-5010"/>
          <s v="5010-6010"/>
          <s v="6010-7010"/>
          <s v="7010-8010"/>
          <s v="&gt;8010"/>
        </groupItems>
      </fieldGroup>
    </cacheField>
    <cacheField name="Shipping Fee" numFmtId="165">
      <sharedItems containsSemiMixedTypes="0" containsString="0" containsNumber="1" minValue="3.7345000000000002" maxValue="769.98599999999999"/>
    </cacheField>
  </cacheFields>
  <extLst>
    <ext xmlns:x14="http://schemas.microsoft.com/office/spreadsheetml/2009/9/main" uri="{725AE2AE-9491-48be-B2B4-4EB974FC3084}">
      <x14:pivotCacheDefinition pivotCacheId="188605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x v="0"/>
    <s v="NV"/>
    <n v="99999"/>
    <x v="0"/>
    <s v="Check"/>
    <s v="Beer"/>
    <x v="0"/>
    <n v="14"/>
    <n v="49"/>
    <x v="0"/>
    <n v="66.542000000000002"/>
  </r>
  <r>
    <n v="1002"/>
    <x v="0"/>
    <n v="27"/>
    <x v="0"/>
    <s v="789 27th Street"/>
    <x v="0"/>
    <x v="0"/>
    <n v="99999"/>
    <s v="USA"/>
    <x v="0"/>
    <x v="0"/>
    <d v="2014-01-29T00:00:00"/>
    <s v="Shipping Company B"/>
    <s v="Karen Toh"/>
    <s v="789 27th Street"/>
    <x v="0"/>
    <s v="NV"/>
    <n v="99999"/>
    <x v="0"/>
    <s v="Check"/>
    <s v="Dried Plums"/>
    <x v="1"/>
    <n v="3.5"/>
    <n v="47"/>
    <x v="1"/>
    <n v="16.6145"/>
  </r>
  <r>
    <n v="1003"/>
    <x v="1"/>
    <n v="4"/>
    <x v="1"/>
    <s v="123 4th Street"/>
    <x v="1"/>
    <x v="1"/>
    <n v="99999"/>
    <s v="USA"/>
    <x v="1"/>
    <x v="1"/>
    <d v="2014-01-06T00:00:00"/>
    <s v="Shipping Company A"/>
    <s v="Christina Lee"/>
    <s v="123 4th Street"/>
    <x v="1"/>
    <s v="NY"/>
    <n v="99999"/>
    <x v="0"/>
    <s v="Credit Card"/>
    <s v="Dried Pears"/>
    <x v="1"/>
    <n v="30"/>
    <n v="69"/>
    <x v="2"/>
    <n v="198.72"/>
  </r>
  <r>
    <n v="1004"/>
    <x v="1"/>
    <n v="4"/>
    <x v="1"/>
    <s v="123 4th Street"/>
    <x v="1"/>
    <x v="1"/>
    <n v="99999"/>
    <s v="USA"/>
    <x v="1"/>
    <x v="1"/>
    <d v="2014-01-06T00:00:00"/>
    <s v="Shipping Company A"/>
    <s v="Christina Lee"/>
    <s v="123 4th Street"/>
    <x v="1"/>
    <s v="NY"/>
    <n v="99999"/>
    <x v="0"/>
    <s v="Credit Card"/>
    <s v="Dried Apples"/>
    <x v="1"/>
    <n v="53"/>
    <n v="89"/>
    <x v="3"/>
    <n v="448.11500000000001"/>
  </r>
  <r>
    <n v="1005"/>
    <x v="1"/>
    <n v="4"/>
    <x v="1"/>
    <s v="123 4th Street"/>
    <x v="1"/>
    <x v="1"/>
    <n v="99999"/>
    <s v="USA"/>
    <x v="1"/>
    <x v="1"/>
    <d v="2014-01-06T00:00:00"/>
    <s v="Shipping Company A"/>
    <s v="Christina Lee"/>
    <s v="123 4th Street"/>
    <x v="1"/>
    <s v="NY"/>
    <n v="99999"/>
    <x v="0"/>
    <s v="Credit Card"/>
    <s v="Dried Plums"/>
    <x v="1"/>
    <n v="3.5"/>
    <n v="11"/>
    <x v="4"/>
    <n v="3.7345000000000002"/>
  </r>
  <r>
    <n v="1006"/>
    <x v="2"/>
    <n v="12"/>
    <x v="2"/>
    <s v="123 12th Street"/>
    <x v="0"/>
    <x v="0"/>
    <n v="99999"/>
    <s v="USA"/>
    <x v="0"/>
    <x v="0"/>
    <d v="2014-01-14T00:00:00"/>
    <s v="Shipping Company B"/>
    <s v="John Edwards"/>
    <s v="123 12th Street"/>
    <x v="0"/>
    <s v="NV"/>
    <n v="99999"/>
    <x v="0"/>
    <s v="Credit Card"/>
    <s v="Chai"/>
    <x v="0"/>
    <n v="18"/>
    <n v="81"/>
    <x v="5"/>
    <n v="141.42600000000002"/>
  </r>
  <r>
    <n v="1007"/>
    <x v="2"/>
    <n v="12"/>
    <x v="2"/>
    <s v="123 12th Street"/>
    <x v="0"/>
    <x v="0"/>
    <n v="99999"/>
    <s v="USA"/>
    <x v="0"/>
    <x v="0"/>
    <d v="2014-01-14T00:00:00"/>
    <s v="Shipping Company B"/>
    <s v="John Edwards"/>
    <s v="123 12th Street"/>
    <x v="0"/>
    <s v="NV"/>
    <n v="99999"/>
    <x v="0"/>
    <s v="Credit Card"/>
    <s v="Coffee"/>
    <x v="0"/>
    <n v="46"/>
    <n v="44"/>
    <x v="6"/>
    <n v="198.352"/>
  </r>
  <r>
    <n v="1008"/>
    <x v="3"/>
    <n v="8"/>
    <x v="3"/>
    <s v="123 8th Street"/>
    <x v="2"/>
    <x v="2"/>
    <n v="99999"/>
    <s v="USA"/>
    <x v="2"/>
    <x v="2"/>
    <d v="2014-01-10T00:00:00"/>
    <s v="Shipping Company C"/>
    <s v="Elizabeth Andersen"/>
    <s v="123 8th Street"/>
    <x v="2"/>
    <s v="OR"/>
    <n v="99999"/>
    <x v="0"/>
    <s v="Credit Card"/>
    <s v="Chocolate Biscuits Mix"/>
    <x v="2"/>
    <n v="9.1999999999999993"/>
    <n v="38"/>
    <x v="7"/>
    <n v="36.008800000000001"/>
  </r>
  <r>
    <n v="1009"/>
    <x v="1"/>
    <n v="4"/>
    <x v="1"/>
    <s v="123 4th Street"/>
    <x v="1"/>
    <x v="1"/>
    <n v="99999"/>
    <s v="USA"/>
    <x v="1"/>
    <x v="1"/>
    <d v="2014-01-06T00:00:00"/>
    <s v="Shipping Company C"/>
    <s v="Christina Lee"/>
    <s v="123 4th Street"/>
    <x v="1"/>
    <s v="NY"/>
    <n v="99999"/>
    <x v="0"/>
    <s v="Check"/>
    <s v="Chocolate Biscuits Mix"/>
    <x v="2"/>
    <n v="9.1999999999999993"/>
    <n v="88"/>
    <x v="8"/>
    <n v="79.340799999999987"/>
  </r>
  <r>
    <n v="1010"/>
    <x v="4"/>
    <n v="29"/>
    <x v="4"/>
    <s v="789 29th Street"/>
    <x v="3"/>
    <x v="3"/>
    <n v="99999"/>
    <s v="USA"/>
    <x v="3"/>
    <x v="0"/>
    <d v="2014-01-31T00:00:00"/>
    <s v="Shipping Company B"/>
    <s v="Soo Jung Lee"/>
    <s v="789 29th Street"/>
    <x v="3"/>
    <s v="CO"/>
    <n v="99999"/>
    <x v="0"/>
    <s v="Check"/>
    <s v="Chocolate"/>
    <x v="3"/>
    <n v="12.75"/>
    <n v="94"/>
    <x v="9"/>
    <n v="122.24700000000001"/>
  </r>
  <r>
    <n v="1011"/>
    <x v="5"/>
    <n v="3"/>
    <x v="5"/>
    <s v="123 3rd Street"/>
    <x v="4"/>
    <x v="4"/>
    <n v="99999"/>
    <s v="USA"/>
    <x v="0"/>
    <x v="0"/>
    <d v="2014-01-05T00:00:00"/>
    <s v="Shipping Company B"/>
    <s v="Thomas Axerr"/>
    <s v="123 3rd Street"/>
    <x v="4"/>
    <s v="CA"/>
    <n v="99999"/>
    <x v="0"/>
    <s v="Cash"/>
    <s v="Clam Chowder"/>
    <x v="4"/>
    <n v="9.65"/>
    <n v="91"/>
    <x v="10"/>
    <n v="92.205749999999995"/>
  </r>
  <r>
    <n v="1012"/>
    <x v="6"/>
    <n v="6"/>
    <x v="6"/>
    <s v="123 6th Street"/>
    <x v="5"/>
    <x v="5"/>
    <n v="99999"/>
    <s v="USA"/>
    <x v="4"/>
    <x v="2"/>
    <d v="2014-01-08T00:00:00"/>
    <s v="Shipping Company B"/>
    <s v="Francisco Pérez-Olaeta"/>
    <s v="123 6th Street"/>
    <x v="5"/>
    <s v="WI"/>
    <n v="99999"/>
    <x v="0"/>
    <s v="Credit Card"/>
    <s v="Curry Sauce"/>
    <x v="5"/>
    <n v="40"/>
    <n v="32"/>
    <x v="11"/>
    <n v="133.12"/>
  </r>
  <r>
    <n v="1013"/>
    <x v="7"/>
    <n v="28"/>
    <x v="7"/>
    <s v="789 28th Street"/>
    <x v="6"/>
    <x v="6"/>
    <n v="99999"/>
    <s v="USA"/>
    <x v="5"/>
    <x v="3"/>
    <d v="2014-01-30T00:00:00"/>
    <s v="Shipping Company C"/>
    <s v="Amritansh Raghav"/>
    <s v="789 28th Street"/>
    <x v="6"/>
    <s v="TN"/>
    <n v="99999"/>
    <x v="0"/>
    <s v="Check"/>
    <s v="Coffee"/>
    <x v="0"/>
    <n v="46"/>
    <n v="55"/>
    <x v="12"/>
    <n v="253"/>
  </r>
  <r>
    <n v="1014"/>
    <x v="3"/>
    <n v="8"/>
    <x v="3"/>
    <s v="123 8th Street"/>
    <x v="2"/>
    <x v="2"/>
    <n v="99999"/>
    <s v="USA"/>
    <x v="2"/>
    <x v="2"/>
    <d v="2014-01-10T00:00:00"/>
    <s v="Shipping Company C"/>
    <s v="Elizabeth Andersen"/>
    <s v="123 8th Street"/>
    <x v="2"/>
    <s v="OR"/>
    <n v="99999"/>
    <x v="0"/>
    <s v="Check"/>
    <s v="Chocolate"/>
    <x v="3"/>
    <n v="12.75"/>
    <n v="47"/>
    <x v="13"/>
    <n v="61.722750000000005"/>
  </r>
  <r>
    <n v="1015"/>
    <x v="8"/>
    <n v="10"/>
    <x v="8"/>
    <s v="123 10th Street"/>
    <x v="7"/>
    <x v="7"/>
    <n v="99999"/>
    <s v="USA"/>
    <x v="6"/>
    <x v="1"/>
    <d v="2014-01-12T00:00:00"/>
    <s v="Shipping Company B"/>
    <s v="Roland Wacker"/>
    <s v="123 10th Street"/>
    <x v="7"/>
    <s v="IL"/>
    <n v="99999"/>
    <x v="0"/>
    <s v="Credit Card"/>
    <s v="Green Tea"/>
    <x v="0"/>
    <n v="2.99"/>
    <n v="90"/>
    <x v="14"/>
    <n v="27.717300000000005"/>
  </r>
  <r>
    <n v="1016"/>
    <x v="9"/>
    <n v="7"/>
    <x v="9"/>
    <s v="123 7th Street"/>
    <x v="8"/>
    <x v="8"/>
    <n v="99999"/>
    <s v="USA"/>
    <x v="2"/>
    <x v="2"/>
    <m/>
    <m/>
    <s v="Ming-Yang Xie"/>
    <s v="123 7th Street"/>
    <x v="8"/>
    <s v="ID"/>
    <n v="99999"/>
    <x v="0"/>
    <m/>
    <s v="Coffee"/>
    <x v="0"/>
    <n v="46"/>
    <n v="24"/>
    <x v="15"/>
    <n v="110.4"/>
  </r>
  <r>
    <n v="1017"/>
    <x v="8"/>
    <n v="10"/>
    <x v="8"/>
    <s v="123 10th Street"/>
    <x v="7"/>
    <x v="7"/>
    <n v="99999"/>
    <s v="USA"/>
    <x v="6"/>
    <x v="1"/>
    <d v="2014-01-12T00:00:00"/>
    <s v="Shipping Company A"/>
    <s v="Roland Wacker"/>
    <s v="123 10th Street"/>
    <x v="7"/>
    <s v="IL"/>
    <n v="99999"/>
    <x v="0"/>
    <m/>
    <s v="Boysenberry Spread"/>
    <x v="6"/>
    <n v="25"/>
    <n v="34"/>
    <x v="16"/>
    <n v="80.75"/>
  </r>
  <r>
    <n v="1018"/>
    <x v="8"/>
    <n v="10"/>
    <x v="8"/>
    <s v="123 10th Street"/>
    <x v="7"/>
    <x v="7"/>
    <n v="99999"/>
    <s v="USA"/>
    <x v="6"/>
    <x v="1"/>
    <d v="2014-01-12T00:00:00"/>
    <s v="Shipping Company A"/>
    <s v="Roland Wacker"/>
    <s v="123 10th Street"/>
    <x v="7"/>
    <s v="IL"/>
    <n v="99999"/>
    <x v="0"/>
    <m/>
    <s v="Cajun Seasoning"/>
    <x v="7"/>
    <n v="22"/>
    <n v="17"/>
    <x v="17"/>
    <n v="35.903999999999996"/>
  </r>
  <r>
    <n v="1019"/>
    <x v="8"/>
    <n v="10"/>
    <x v="8"/>
    <s v="123 10th Street"/>
    <x v="7"/>
    <x v="7"/>
    <n v="99999"/>
    <s v="USA"/>
    <x v="6"/>
    <x v="1"/>
    <d v="2014-01-12T00:00:00"/>
    <s v="Shipping Company A"/>
    <s v="Roland Wacker"/>
    <s v="123 10th Street"/>
    <x v="7"/>
    <s v="IL"/>
    <n v="99999"/>
    <x v="0"/>
    <m/>
    <s v="Chocolate Biscuits Mix"/>
    <x v="2"/>
    <n v="9.1999999999999993"/>
    <n v="44"/>
    <x v="18"/>
    <n v="42.099199999999996"/>
  </r>
  <r>
    <n v="1020"/>
    <x v="10"/>
    <n v="11"/>
    <x v="10"/>
    <s v="123 11th Street"/>
    <x v="9"/>
    <x v="9"/>
    <n v="99999"/>
    <s v="USA"/>
    <x v="5"/>
    <x v="3"/>
    <m/>
    <s v="Shipping Company C"/>
    <s v="Peter Krschne"/>
    <s v="123 11th Street"/>
    <x v="9"/>
    <s v="FL"/>
    <n v="99999"/>
    <x v="0"/>
    <m/>
    <s v="Dried Plums"/>
    <x v="1"/>
    <n v="3.5"/>
    <n v="81"/>
    <x v="19"/>
    <n v="27.499500000000001"/>
  </r>
  <r>
    <n v="1021"/>
    <x v="10"/>
    <n v="11"/>
    <x v="10"/>
    <s v="123 11th Street"/>
    <x v="9"/>
    <x v="9"/>
    <n v="99999"/>
    <s v="USA"/>
    <x v="5"/>
    <x v="3"/>
    <m/>
    <s v="Shipping Company C"/>
    <s v="Peter Krschne"/>
    <s v="123 11th Street"/>
    <x v="9"/>
    <s v="FL"/>
    <n v="99999"/>
    <x v="0"/>
    <m/>
    <s v="Green Tea"/>
    <x v="0"/>
    <n v="2.99"/>
    <n v="49"/>
    <x v="20"/>
    <n v="15.090530000000005"/>
  </r>
  <r>
    <n v="1022"/>
    <x v="11"/>
    <n v="1"/>
    <x v="11"/>
    <s v="123 1st Street"/>
    <x v="10"/>
    <x v="10"/>
    <n v="99999"/>
    <s v="USA"/>
    <x v="2"/>
    <x v="2"/>
    <m/>
    <m/>
    <s v="Anna Bedecs"/>
    <s v="123 1st Street"/>
    <x v="10"/>
    <s v="WA"/>
    <n v="99999"/>
    <x v="0"/>
    <m/>
    <s v="Chai"/>
    <x v="0"/>
    <n v="18"/>
    <n v="42"/>
    <x v="21"/>
    <n v="75.600000000000009"/>
  </r>
  <r>
    <n v="1023"/>
    <x v="11"/>
    <n v="1"/>
    <x v="11"/>
    <s v="123 1st Street"/>
    <x v="10"/>
    <x v="10"/>
    <n v="99999"/>
    <s v="USA"/>
    <x v="2"/>
    <x v="2"/>
    <m/>
    <m/>
    <s v="Anna Bedecs"/>
    <s v="123 1st Street"/>
    <x v="10"/>
    <s v="WA"/>
    <n v="99999"/>
    <x v="0"/>
    <m/>
    <s v="Coffee"/>
    <x v="0"/>
    <n v="46"/>
    <n v="58"/>
    <x v="22"/>
    <n v="269.46800000000002"/>
  </r>
  <r>
    <n v="1024"/>
    <x v="11"/>
    <n v="1"/>
    <x v="11"/>
    <s v="123 1st Street"/>
    <x v="10"/>
    <x v="10"/>
    <n v="99999"/>
    <s v="USA"/>
    <x v="2"/>
    <x v="2"/>
    <m/>
    <m/>
    <s v="Anna Bedecs"/>
    <s v="123 1st Street"/>
    <x v="10"/>
    <s v="WA"/>
    <n v="99999"/>
    <x v="0"/>
    <m/>
    <s v="Green Tea"/>
    <x v="0"/>
    <n v="2.99"/>
    <n v="67"/>
    <x v="23"/>
    <n v="20.033000000000001"/>
  </r>
  <r>
    <n v="1025"/>
    <x v="7"/>
    <n v="28"/>
    <x v="7"/>
    <s v="789 28th Street"/>
    <x v="6"/>
    <x v="6"/>
    <n v="99999"/>
    <s v="USA"/>
    <x v="5"/>
    <x v="3"/>
    <d v="2014-01-30T00:00:00"/>
    <s v="Shipping Company C"/>
    <s v="Amritansh Raghav"/>
    <s v="789 28th Street"/>
    <x v="6"/>
    <s v="TN"/>
    <n v="99999"/>
    <x v="0"/>
    <s v="Credit Card"/>
    <s v="Clam Chowder"/>
    <x v="4"/>
    <n v="9.65"/>
    <n v="100"/>
    <x v="24"/>
    <n v="93.605000000000004"/>
  </r>
  <r>
    <n v="1026"/>
    <x v="7"/>
    <n v="28"/>
    <x v="7"/>
    <s v="789 28th Street"/>
    <x v="6"/>
    <x v="6"/>
    <n v="99999"/>
    <s v="USA"/>
    <x v="5"/>
    <x v="3"/>
    <d v="2014-01-30T00:00:00"/>
    <s v="Shipping Company C"/>
    <s v="Amritansh Raghav"/>
    <s v="789 28th Street"/>
    <x v="6"/>
    <s v="TN"/>
    <n v="99999"/>
    <x v="0"/>
    <s v="Credit Card"/>
    <s v="Crab Meat"/>
    <x v="8"/>
    <n v="18.399999999999999"/>
    <n v="63"/>
    <x v="25"/>
    <n v="114.76079999999999"/>
  </r>
  <r>
    <n v="1027"/>
    <x v="12"/>
    <n v="9"/>
    <x v="12"/>
    <s v="123 9th Street"/>
    <x v="11"/>
    <x v="11"/>
    <n v="99999"/>
    <s v="USA"/>
    <x v="7"/>
    <x v="0"/>
    <d v="2014-01-11T00:00:00"/>
    <s v="Shipping Company A"/>
    <s v="Sven Mortensen"/>
    <s v="123 9th Street"/>
    <x v="11"/>
    <s v="UT"/>
    <n v="99999"/>
    <x v="0"/>
    <s v="Check"/>
    <s v="Ravioli"/>
    <x v="9"/>
    <n v="19.5"/>
    <n v="57"/>
    <x v="26"/>
    <n v="110.0385"/>
  </r>
  <r>
    <n v="1028"/>
    <x v="12"/>
    <n v="9"/>
    <x v="12"/>
    <s v="123 9th Street"/>
    <x v="11"/>
    <x v="11"/>
    <n v="99999"/>
    <s v="USA"/>
    <x v="7"/>
    <x v="0"/>
    <d v="2014-01-11T00:00:00"/>
    <s v="Shipping Company A"/>
    <s v="Sven Mortensen"/>
    <s v="123 9th Street"/>
    <x v="11"/>
    <s v="UT"/>
    <n v="99999"/>
    <x v="0"/>
    <s v="Check"/>
    <s v="Mozzarella"/>
    <x v="10"/>
    <n v="34.799999999999997"/>
    <n v="81"/>
    <x v="27"/>
    <n v="295.97399999999999"/>
  </r>
  <r>
    <n v="1029"/>
    <x v="6"/>
    <n v="6"/>
    <x v="6"/>
    <s v="123 6th Street"/>
    <x v="5"/>
    <x v="5"/>
    <n v="99999"/>
    <s v="USA"/>
    <x v="4"/>
    <x v="2"/>
    <d v="2014-01-08T00:00:00"/>
    <s v="Shipping Company B"/>
    <s v="Francisco Pérez-Olaeta"/>
    <s v="123 6th Street"/>
    <x v="5"/>
    <s v="WI"/>
    <n v="99999"/>
    <x v="0"/>
    <s v="Credit Card"/>
    <s v="Beer"/>
    <x v="0"/>
    <n v="14"/>
    <n v="71"/>
    <x v="28"/>
    <n v="95.424000000000007"/>
  </r>
  <r>
    <n v="1030"/>
    <x v="13"/>
    <n v="8"/>
    <x v="3"/>
    <s v="123 8th Street"/>
    <x v="2"/>
    <x v="2"/>
    <n v="99999"/>
    <s v="USA"/>
    <x v="2"/>
    <x v="2"/>
    <d v="2014-02-10T00:00:00"/>
    <s v="Shipping Company B"/>
    <s v="Elizabeth Andersen"/>
    <s v="123 8th Street"/>
    <x v="2"/>
    <s v="OR"/>
    <n v="99999"/>
    <x v="0"/>
    <s v="Check"/>
    <s v="Curry Sauce"/>
    <x v="5"/>
    <n v="40"/>
    <n v="32"/>
    <x v="11"/>
    <n v="129.28"/>
  </r>
  <r>
    <n v="1031"/>
    <x v="14"/>
    <n v="3"/>
    <x v="5"/>
    <s v="123 3rd Street"/>
    <x v="4"/>
    <x v="4"/>
    <n v="99999"/>
    <s v="USA"/>
    <x v="0"/>
    <x v="0"/>
    <d v="2014-02-05T00:00:00"/>
    <s v="Shipping Company B"/>
    <s v="Thomas Axerr"/>
    <s v="123 3rd Street"/>
    <x v="4"/>
    <s v="CA"/>
    <n v="99999"/>
    <x v="0"/>
    <s v="Cash"/>
    <s v="Syrup"/>
    <x v="7"/>
    <n v="10"/>
    <n v="63"/>
    <x v="29"/>
    <n v="65.52"/>
  </r>
  <r>
    <n v="1032"/>
    <x v="14"/>
    <n v="3"/>
    <x v="5"/>
    <s v="123 3rd Street"/>
    <x v="4"/>
    <x v="4"/>
    <n v="99999"/>
    <s v="USA"/>
    <x v="0"/>
    <x v="0"/>
    <d v="2014-02-05T00:00:00"/>
    <s v="Shipping Company B"/>
    <s v="Thomas Axerr"/>
    <s v="123 3rd Street"/>
    <x v="4"/>
    <s v="CA"/>
    <n v="99999"/>
    <x v="0"/>
    <s v="Cash"/>
    <s v="Curry Sauce"/>
    <x v="5"/>
    <n v="40"/>
    <n v="30"/>
    <x v="30"/>
    <n v="120"/>
  </r>
  <r>
    <n v="1033"/>
    <x v="15"/>
    <n v="6"/>
    <x v="6"/>
    <s v="123 6th Street"/>
    <x v="5"/>
    <x v="5"/>
    <n v="99999"/>
    <s v="USA"/>
    <x v="4"/>
    <x v="2"/>
    <d v="2014-02-08T00:00:00"/>
    <s v="Shipping Company B"/>
    <s v="Francisco Pérez-Olaeta"/>
    <s v="123 6th Street"/>
    <x v="5"/>
    <s v="WI"/>
    <n v="99999"/>
    <x v="0"/>
    <s v="Credit Card"/>
    <m/>
    <x v="11"/>
    <m/>
    <m/>
    <x v="31"/>
    <n v="43"/>
  </r>
  <r>
    <n v="1034"/>
    <x v="16"/>
    <n v="28"/>
    <x v="7"/>
    <s v="789 28th Street"/>
    <x v="6"/>
    <x v="6"/>
    <n v="99999"/>
    <s v="USA"/>
    <x v="5"/>
    <x v="3"/>
    <d v="2014-03-02T00:00:00"/>
    <s v="Shipping Company C"/>
    <s v="Amritansh Raghav"/>
    <s v="789 28th Street"/>
    <x v="6"/>
    <s v="TN"/>
    <n v="99999"/>
    <x v="0"/>
    <s v="Check"/>
    <m/>
    <x v="11"/>
    <m/>
    <m/>
    <x v="31"/>
    <n v="31"/>
  </r>
  <r>
    <n v="1035"/>
    <x v="13"/>
    <n v="8"/>
    <x v="3"/>
    <s v="123 8th Street"/>
    <x v="2"/>
    <x v="2"/>
    <n v="99999"/>
    <s v="USA"/>
    <x v="2"/>
    <x v="2"/>
    <d v="2014-02-10T00:00:00"/>
    <s v="Shipping Company C"/>
    <s v="Elizabeth Andersen"/>
    <s v="123 8th Street"/>
    <x v="2"/>
    <s v="OR"/>
    <n v="99999"/>
    <x v="0"/>
    <s v="Check"/>
    <m/>
    <x v="11"/>
    <m/>
    <m/>
    <x v="31"/>
    <n v="46"/>
  </r>
  <r>
    <n v="1036"/>
    <x v="17"/>
    <n v="10"/>
    <x v="8"/>
    <s v="123 10th Street"/>
    <x v="7"/>
    <x v="7"/>
    <n v="99999"/>
    <s v="USA"/>
    <x v="6"/>
    <x v="1"/>
    <d v="2014-02-12T00:00:00"/>
    <s v="Shipping Company B"/>
    <s v="Roland Wacker"/>
    <s v="123 10th Street"/>
    <x v="7"/>
    <s v="IL"/>
    <n v="99999"/>
    <x v="0"/>
    <s v="Credit Card"/>
    <s v="Almonds"/>
    <x v="1"/>
    <n v="10"/>
    <n v="47"/>
    <x v="32"/>
    <n v="48.88"/>
  </r>
  <r>
    <n v="1038"/>
    <x v="17"/>
    <n v="10"/>
    <x v="8"/>
    <s v="123 10th Street"/>
    <x v="7"/>
    <x v="7"/>
    <n v="99999"/>
    <s v="USA"/>
    <x v="6"/>
    <x v="1"/>
    <m/>
    <s v="Shipping Company A"/>
    <s v="Roland Wacker"/>
    <s v="123 10th Street"/>
    <x v="7"/>
    <s v="IL"/>
    <n v="99999"/>
    <x v="0"/>
    <m/>
    <s v="Dried Plums"/>
    <x v="1"/>
    <n v="3.5"/>
    <n v="49"/>
    <x v="33"/>
    <n v="16.464000000000002"/>
  </r>
  <r>
    <n v="1039"/>
    <x v="18"/>
    <n v="11"/>
    <x v="10"/>
    <s v="123 11th Street"/>
    <x v="9"/>
    <x v="9"/>
    <n v="99999"/>
    <s v="USA"/>
    <x v="5"/>
    <x v="3"/>
    <m/>
    <s v="Shipping Company C"/>
    <s v="Peter Krschne"/>
    <s v="123 11th Street"/>
    <x v="9"/>
    <s v="FL"/>
    <n v="99999"/>
    <x v="0"/>
    <m/>
    <s v="Curry Sauce"/>
    <x v="5"/>
    <n v="40"/>
    <n v="72"/>
    <x v="34"/>
    <n v="285.12"/>
  </r>
  <r>
    <n v="1040"/>
    <x v="19"/>
    <n v="1"/>
    <x v="11"/>
    <s v="123 1st Street"/>
    <x v="10"/>
    <x v="10"/>
    <n v="99999"/>
    <s v="USA"/>
    <x v="2"/>
    <x v="2"/>
    <m/>
    <s v="Shipping Company C"/>
    <s v="Anna Bedecs"/>
    <s v="123 1st Street"/>
    <x v="10"/>
    <s v="WA"/>
    <n v="99999"/>
    <x v="0"/>
    <m/>
    <s v="Crab Meat"/>
    <x v="8"/>
    <n v="18.399999999999999"/>
    <n v="13"/>
    <x v="35"/>
    <n v="23.680800000000001"/>
  </r>
  <r>
    <n v="1041"/>
    <x v="16"/>
    <n v="28"/>
    <x v="7"/>
    <s v="789 28th Street"/>
    <x v="6"/>
    <x v="6"/>
    <n v="99999"/>
    <s v="USA"/>
    <x v="5"/>
    <x v="3"/>
    <n v="41700"/>
    <s v="Shipping Company C"/>
    <s v="Amritansh Raghav"/>
    <s v="789 28th Street"/>
    <x v="6"/>
    <s v="TN"/>
    <n v="99999"/>
    <x v="0"/>
    <s v="Credit Card"/>
    <s v="Coffee"/>
    <x v="0"/>
    <n v="46"/>
    <n v="32"/>
    <x v="36"/>
    <n v="148.67200000000003"/>
  </r>
  <r>
    <n v="1042"/>
    <x v="20"/>
    <n v="9"/>
    <x v="12"/>
    <s v="123 9th Street"/>
    <x v="11"/>
    <x v="11"/>
    <n v="99999"/>
    <s v="USA"/>
    <x v="7"/>
    <x v="0"/>
    <d v="2014-02-11T00:00:00"/>
    <s v="Shipping Company A"/>
    <s v="Sven Mortensen"/>
    <s v="123 9th Street"/>
    <x v="11"/>
    <s v="UT"/>
    <n v="99999"/>
    <x v="0"/>
    <s v="Check"/>
    <s v="Clam Chowder"/>
    <x v="4"/>
    <n v="9.65"/>
    <n v="27"/>
    <x v="37"/>
    <n v="24.752250000000004"/>
  </r>
  <r>
    <n v="1043"/>
    <x v="15"/>
    <n v="6"/>
    <x v="6"/>
    <s v="123 6th Street"/>
    <x v="5"/>
    <x v="5"/>
    <n v="99999"/>
    <s v="USA"/>
    <x v="4"/>
    <x v="2"/>
    <d v="2014-02-08T00:00:00"/>
    <s v="Shipping Company B"/>
    <s v="Francisco Pérez-Olaeta"/>
    <s v="123 6th Street"/>
    <x v="5"/>
    <s v="WI"/>
    <n v="99999"/>
    <x v="0"/>
    <s v="Credit Card"/>
    <s v="Chocolate"/>
    <x v="3"/>
    <n v="12.75"/>
    <n v="71"/>
    <x v="38"/>
    <n v="91.430250000000001"/>
  </r>
  <r>
    <n v="1044"/>
    <x v="13"/>
    <n v="8"/>
    <x v="3"/>
    <s v="123 8th Street"/>
    <x v="2"/>
    <x v="2"/>
    <n v="99999"/>
    <s v="USA"/>
    <x v="2"/>
    <x v="2"/>
    <d v="2014-02-10T00:00:00"/>
    <s v="Shipping Company B"/>
    <s v="Elizabeth Andersen"/>
    <s v="123 8th Street"/>
    <x v="2"/>
    <s v="OR"/>
    <n v="99999"/>
    <x v="0"/>
    <s v="Check"/>
    <s v="Chocolate"/>
    <x v="3"/>
    <n v="12.75"/>
    <n v="13"/>
    <x v="39"/>
    <n v="15.746249999999998"/>
  </r>
  <r>
    <n v="1045"/>
    <x v="21"/>
    <n v="25"/>
    <x v="13"/>
    <s v="789 25th Street"/>
    <x v="7"/>
    <x v="7"/>
    <n v="99999"/>
    <s v="USA"/>
    <x v="6"/>
    <x v="1"/>
    <d v="2014-02-27T00:00:00"/>
    <s v="Shipping Company A"/>
    <s v="John Rodman"/>
    <s v="789 25th Street"/>
    <x v="7"/>
    <s v="IL"/>
    <n v="99999"/>
    <x v="0"/>
    <s v="Cash"/>
    <s v="Cajun Seasoning"/>
    <x v="7"/>
    <n v="22"/>
    <n v="98"/>
    <x v="40"/>
    <n v="204.82000000000002"/>
  </r>
  <r>
    <n v="1046"/>
    <x v="22"/>
    <n v="26"/>
    <x v="14"/>
    <s v="789 26th Street"/>
    <x v="9"/>
    <x v="9"/>
    <n v="99999"/>
    <s v="USA"/>
    <x v="5"/>
    <x v="3"/>
    <d v="2014-02-28T00:00:00"/>
    <s v="Shipping Company C"/>
    <s v="Run Liu"/>
    <s v="789 26th Street"/>
    <x v="9"/>
    <s v="FL"/>
    <n v="99999"/>
    <x v="0"/>
    <s v="Credit Card"/>
    <s v="Boysenberry Spread"/>
    <x v="6"/>
    <n v="25"/>
    <n v="21"/>
    <x v="41"/>
    <n v="53.550000000000004"/>
  </r>
  <r>
    <n v="1047"/>
    <x v="23"/>
    <n v="29"/>
    <x v="4"/>
    <s v="789 29th Street"/>
    <x v="3"/>
    <x v="3"/>
    <n v="99999"/>
    <s v="USA"/>
    <x v="3"/>
    <x v="0"/>
    <d v="2014-03-03T00:00:00"/>
    <s v="Shipping Company B"/>
    <s v="Soo Jung Lee"/>
    <s v="789 29th Street"/>
    <x v="3"/>
    <s v="CO"/>
    <n v="99999"/>
    <x v="0"/>
    <s v="Check"/>
    <s v="Fruit Cocktail"/>
    <x v="12"/>
    <n v="39"/>
    <n v="26"/>
    <x v="42"/>
    <n v="106.47000000000001"/>
  </r>
  <r>
    <n v="1048"/>
    <x v="15"/>
    <n v="6"/>
    <x v="6"/>
    <s v="123 6th Street"/>
    <x v="5"/>
    <x v="5"/>
    <n v="99999"/>
    <s v="USA"/>
    <x v="4"/>
    <x v="2"/>
    <d v="2014-02-08T00:00:00"/>
    <s v="Shipping Company C"/>
    <s v="Francisco Pérez-Olaeta"/>
    <s v="123 6th Street"/>
    <x v="5"/>
    <s v="WI"/>
    <n v="99999"/>
    <x v="0"/>
    <s v="Check"/>
    <s v="Dried Pears"/>
    <x v="1"/>
    <n v="30"/>
    <n v="96"/>
    <x v="34"/>
    <n v="296.64"/>
  </r>
  <r>
    <n v="1049"/>
    <x v="15"/>
    <n v="6"/>
    <x v="6"/>
    <s v="123 6th Street"/>
    <x v="5"/>
    <x v="5"/>
    <n v="99999"/>
    <s v="USA"/>
    <x v="4"/>
    <x v="2"/>
    <d v="2014-02-08T00:00:00"/>
    <s v="Shipping Company C"/>
    <s v="Francisco Pérez-Olaeta"/>
    <s v="123 6th Street"/>
    <x v="5"/>
    <s v="WI"/>
    <n v="99999"/>
    <x v="0"/>
    <s v="Check"/>
    <s v="Dried Apples"/>
    <x v="1"/>
    <n v="53"/>
    <n v="16"/>
    <x v="43"/>
    <n v="88.192000000000021"/>
  </r>
  <r>
    <n v="1050"/>
    <x v="24"/>
    <n v="4"/>
    <x v="1"/>
    <s v="123 4th Street"/>
    <x v="1"/>
    <x v="1"/>
    <n v="99999"/>
    <s v="USA"/>
    <x v="1"/>
    <x v="1"/>
    <m/>
    <m/>
    <s v="Christina Lee"/>
    <s v="123 4th Street"/>
    <x v="1"/>
    <s v="NY"/>
    <n v="99999"/>
    <x v="0"/>
    <m/>
    <s v="Gnocchi"/>
    <x v="9"/>
    <n v="38"/>
    <n v="96"/>
    <x v="44"/>
    <n v="346.56"/>
  </r>
  <r>
    <n v="1051"/>
    <x v="14"/>
    <n v="3"/>
    <x v="5"/>
    <s v="123 3rd Street"/>
    <x v="4"/>
    <x v="4"/>
    <n v="99999"/>
    <s v="USA"/>
    <x v="0"/>
    <x v="0"/>
    <m/>
    <m/>
    <s v="Thomas Axerr"/>
    <s v="123 3rd Street"/>
    <x v="4"/>
    <s v="CA"/>
    <n v="99999"/>
    <x v="0"/>
    <m/>
    <s v="Green Tea"/>
    <x v="0"/>
    <n v="2.99"/>
    <n v="75"/>
    <x v="45"/>
    <n v="23.097750000000005"/>
  </r>
  <r>
    <n v="1052"/>
    <x v="25"/>
    <n v="9"/>
    <x v="12"/>
    <s v="123 9th Street"/>
    <x v="11"/>
    <x v="11"/>
    <n v="99999"/>
    <s v="USA"/>
    <x v="7"/>
    <x v="0"/>
    <n v="41709"/>
    <s v="Shipping Company A"/>
    <s v="Sven Mortensen"/>
    <s v="123 9th Street"/>
    <x v="11"/>
    <s v="UT"/>
    <n v="99999"/>
    <x v="0"/>
    <s v="Check"/>
    <s v="Ravioli"/>
    <x v="9"/>
    <n v="19.5"/>
    <n v="55"/>
    <x v="46"/>
    <n v="108.32250000000001"/>
  </r>
  <r>
    <n v="1053"/>
    <x v="25"/>
    <n v="9"/>
    <x v="12"/>
    <s v="123 9th Street"/>
    <x v="11"/>
    <x v="11"/>
    <n v="99999"/>
    <s v="USA"/>
    <x v="7"/>
    <x v="0"/>
    <d v="2014-03-11T00:00:00"/>
    <s v="Shipping Company A"/>
    <s v="Sven Mortensen"/>
    <s v="123 9th Street"/>
    <x v="11"/>
    <s v="UT"/>
    <n v="99999"/>
    <x v="0"/>
    <s v="Check"/>
    <s v="Mozzarella"/>
    <x v="10"/>
    <n v="34.799999999999997"/>
    <n v="11"/>
    <x v="47"/>
    <n v="36.748799999999996"/>
  </r>
  <r>
    <n v="1054"/>
    <x v="26"/>
    <n v="6"/>
    <x v="6"/>
    <s v="123 6th Street"/>
    <x v="5"/>
    <x v="5"/>
    <n v="99999"/>
    <s v="USA"/>
    <x v="4"/>
    <x v="2"/>
    <d v="2014-03-08T00:00:00"/>
    <s v="Shipping Company B"/>
    <s v="Francisco Pérez-Olaeta"/>
    <s v="123 6th Street"/>
    <x v="5"/>
    <s v="WI"/>
    <n v="99999"/>
    <x v="0"/>
    <s v="Credit Card"/>
    <s v="Beer"/>
    <x v="0"/>
    <n v="14"/>
    <n v="53"/>
    <x v="48"/>
    <n v="71.974000000000004"/>
  </r>
  <r>
    <n v="1055"/>
    <x v="27"/>
    <n v="8"/>
    <x v="3"/>
    <s v="123 8th Street"/>
    <x v="2"/>
    <x v="2"/>
    <n v="99999"/>
    <s v="USA"/>
    <x v="2"/>
    <x v="2"/>
    <d v="2014-03-10T00:00:00"/>
    <s v="Shipping Company B"/>
    <s v="Elizabeth Andersen"/>
    <s v="123 8th Street"/>
    <x v="2"/>
    <s v="OR"/>
    <n v="99999"/>
    <x v="0"/>
    <s v="Check"/>
    <s v="Curry Sauce"/>
    <x v="5"/>
    <n v="40"/>
    <n v="85"/>
    <x v="49"/>
    <n v="357"/>
  </r>
  <r>
    <n v="1056"/>
    <x v="27"/>
    <n v="8"/>
    <x v="3"/>
    <s v="123 8th Street"/>
    <x v="2"/>
    <x v="2"/>
    <n v="99999"/>
    <s v="USA"/>
    <x v="2"/>
    <x v="2"/>
    <d v="2014-03-10T00:00:00"/>
    <s v="Shipping Company B"/>
    <s v="Elizabeth Andersen"/>
    <s v="123 8th Street"/>
    <x v="2"/>
    <s v="OR"/>
    <n v="99999"/>
    <x v="0"/>
    <s v="Check"/>
    <s v="Chocolate Biscuits Mix"/>
    <x v="2"/>
    <n v="9.1999999999999993"/>
    <n v="97"/>
    <x v="50"/>
    <n v="91.024800000000013"/>
  </r>
  <r>
    <n v="1057"/>
    <x v="28"/>
    <n v="25"/>
    <x v="13"/>
    <s v="789 25th Street"/>
    <x v="7"/>
    <x v="7"/>
    <n v="99999"/>
    <s v="USA"/>
    <x v="6"/>
    <x v="1"/>
    <d v="2014-03-27T00:00:00"/>
    <s v="Shipping Company A"/>
    <s v="John Rodman"/>
    <s v="789 25th Street"/>
    <x v="7"/>
    <s v="IL"/>
    <n v="99999"/>
    <x v="0"/>
    <s v="Cash"/>
    <s v="Scones"/>
    <x v="2"/>
    <n v="10"/>
    <n v="46"/>
    <x v="51"/>
    <n v="46.46"/>
  </r>
  <r>
    <n v="1058"/>
    <x v="29"/>
    <n v="26"/>
    <x v="14"/>
    <s v="789 26th Street"/>
    <x v="9"/>
    <x v="9"/>
    <n v="99999"/>
    <s v="USA"/>
    <x v="5"/>
    <x v="3"/>
    <d v="2014-03-28T00:00:00"/>
    <s v="Shipping Company C"/>
    <s v="Run Liu"/>
    <s v="789 26th Street"/>
    <x v="9"/>
    <s v="FL"/>
    <n v="99999"/>
    <x v="0"/>
    <s v="Credit Card"/>
    <s v="Olive Oil"/>
    <x v="13"/>
    <n v="21.35"/>
    <n v="97"/>
    <x v="52"/>
    <n v="196.74025"/>
  </r>
  <r>
    <n v="1059"/>
    <x v="29"/>
    <n v="26"/>
    <x v="14"/>
    <s v="789 26th Street"/>
    <x v="9"/>
    <x v="9"/>
    <n v="99999"/>
    <s v="USA"/>
    <x v="5"/>
    <x v="3"/>
    <d v="2014-03-28T00:00:00"/>
    <s v="Shipping Company C"/>
    <s v="Run Liu"/>
    <s v="789 26th Street"/>
    <x v="9"/>
    <s v="FL"/>
    <n v="99999"/>
    <x v="0"/>
    <s v="Credit Card"/>
    <s v="Clam Chowder"/>
    <x v="4"/>
    <n v="9.65"/>
    <n v="97"/>
    <x v="53"/>
    <n v="95.477100000000021"/>
  </r>
  <r>
    <n v="1060"/>
    <x v="29"/>
    <n v="26"/>
    <x v="14"/>
    <s v="789 26th Street"/>
    <x v="9"/>
    <x v="9"/>
    <n v="99999"/>
    <s v="USA"/>
    <x v="5"/>
    <x v="3"/>
    <d v="2014-03-28T00:00:00"/>
    <s v="Shipping Company C"/>
    <s v="Run Liu"/>
    <s v="789 26th Street"/>
    <x v="9"/>
    <s v="FL"/>
    <n v="99999"/>
    <x v="0"/>
    <s v="Credit Card"/>
    <s v="Crab Meat"/>
    <x v="8"/>
    <n v="18.399999999999999"/>
    <n v="65"/>
    <x v="54"/>
    <n v="123.18800000000002"/>
  </r>
  <r>
    <n v="1061"/>
    <x v="30"/>
    <n v="29"/>
    <x v="4"/>
    <s v="789 29th Street"/>
    <x v="3"/>
    <x v="3"/>
    <n v="99999"/>
    <s v="USA"/>
    <x v="3"/>
    <x v="0"/>
    <d v="2014-03-31T00:00:00"/>
    <s v="Shipping Company B"/>
    <s v="Soo Jung Lee"/>
    <s v="789 29th Street"/>
    <x v="3"/>
    <s v="CO"/>
    <n v="99999"/>
    <x v="0"/>
    <s v="Check"/>
    <s v="Beer"/>
    <x v="0"/>
    <n v="14"/>
    <n v="72"/>
    <x v="55"/>
    <n v="100.80000000000001"/>
  </r>
  <r>
    <n v="1062"/>
    <x v="26"/>
    <n v="6"/>
    <x v="6"/>
    <s v="123 6th Street"/>
    <x v="5"/>
    <x v="5"/>
    <n v="99999"/>
    <s v="USA"/>
    <x v="4"/>
    <x v="2"/>
    <d v="2014-03-08T00:00:00"/>
    <s v="Shipping Company C"/>
    <s v="Francisco Pérez-Olaeta"/>
    <s v="123 6th Street"/>
    <x v="5"/>
    <s v="WI"/>
    <n v="99999"/>
    <x v="0"/>
    <s v="Check"/>
    <s v="Chocolate"/>
    <x v="3"/>
    <n v="12.75"/>
    <n v="16"/>
    <x v="56"/>
    <n v="20.196000000000002"/>
  </r>
  <r>
    <n v="1064"/>
    <x v="31"/>
    <n v="4"/>
    <x v="1"/>
    <s v="123 4th Street"/>
    <x v="1"/>
    <x v="1"/>
    <n v="99999"/>
    <s v="USA"/>
    <x v="1"/>
    <x v="1"/>
    <d v="2014-03-06T00:00:00"/>
    <s v="Shipping Company A"/>
    <s v="Christina Lee"/>
    <s v="123 4th Street"/>
    <x v="1"/>
    <s v="NY"/>
    <n v="99999"/>
    <x v="0"/>
    <s v="Credit Card"/>
    <s v="Marmalade"/>
    <x v="6"/>
    <n v="81"/>
    <n v="77"/>
    <x v="57"/>
    <n v="642.41100000000006"/>
  </r>
  <r>
    <n v="1065"/>
    <x v="31"/>
    <n v="4"/>
    <x v="1"/>
    <s v="123 4th Street"/>
    <x v="1"/>
    <x v="1"/>
    <n v="99999"/>
    <s v="USA"/>
    <x v="1"/>
    <x v="1"/>
    <d v="2014-03-06T00:00:00"/>
    <s v="Shipping Company A"/>
    <s v="Christina Lee"/>
    <s v="123 4th Street"/>
    <x v="1"/>
    <s v="NY"/>
    <n v="99999"/>
    <x v="0"/>
    <s v="Credit Card"/>
    <s v="Long Grain Rice"/>
    <x v="14"/>
    <n v="7"/>
    <n v="37"/>
    <x v="58"/>
    <n v="24.605"/>
  </r>
  <r>
    <n v="1067"/>
    <x v="27"/>
    <n v="8"/>
    <x v="3"/>
    <s v="123 8th Street"/>
    <x v="2"/>
    <x v="2"/>
    <n v="99999"/>
    <s v="USA"/>
    <x v="2"/>
    <x v="2"/>
    <d v="2014-03-10T00:00:00"/>
    <s v="Shipping Company C"/>
    <s v="Elizabeth Andersen"/>
    <s v="123 8th Street"/>
    <x v="2"/>
    <s v="OR"/>
    <n v="99999"/>
    <x v="0"/>
    <s v="Credit Card"/>
    <s v="Mozzarella"/>
    <x v="10"/>
    <n v="34.799999999999997"/>
    <n v="63"/>
    <x v="59"/>
    <n v="217.04759999999999"/>
  </r>
  <r>
    <n v="1070"/>
    <x v="32"/>
    <n v="3"/>
    <x v="5"/>
    <s v="123 3rd Street"/>
    <x v="4"/>
    <x v="4"/>
    <n v="99999"/>
    <s v="USA"/>
    <x v="0"/>
    <x v="0"/>
    <d v="2014-03-05T00:00:00"/>
    <s v="Shipping Company B"/>
    <s v="Thomas Axerr"/>
    <s v="123 3rd Street"/>
    <x v="4"/>
    <s v="CA"/>
    <n v="99999"/>
    <x v="0"/>
    <s v="Cash"/>
    <s v="Syrup"/>
    <x v="7"/>
    <n v="10"/>
    <n v="48"/>
    <x v="60"/>
    <n v="48"/>
  </r>
  <r>
    <n v="1071"/>
    <x v="32"/>
    <n v="3"/>
    <x v="5"/>
    <s v="123 3rd Street"/>
    <x v="4"/>
    <x v="4"/>
    <n v="99999"/>
    <s v="USA"/>
    <x v="0"/>
    <x v="0"/>
    <d v="2014-03-05T00:00:00"/>
    <s v="Shipping Company B"/>
    <s v="Thomas Axerr"/>
    <s v="123 3rd Street"/>
    <x v="4"/>
    <s v="CA"/>
    <n v="99999"/>
    <x v="0"/>
    <s v="Cash"/>
    <s v="Curry Sauce"/>
    <x v="5"/>
    <n v="40"/>
    <n v="71"/>
    <x v="61"/>
    <n v="295.36"/>
  </r>
  <r>
    <n v="1075"/>
    <x v="33"/>
    <n v="10"/>
    <x v="8"/>
    <s v="123 10th Street"/>
    <x v="7"/>
    <x v="7"/>
    <n v="99999"/>
    <s v="USA"/>
    <x v="6"/>
    <x v="1"/>
    <d v="2014-03-12T00:00:00"/>
    <s v="Shipping Company B"/>
    <s v="Roland Wacker"/>
    <s v="123 10th Street"/>
    <x v="7"/>
    <s v="IL"/>
    <n v="99999"/>
    <x v="0"/>
    <s v="Credit Card"/>
    <s v="Almonds"/>
    <x v="1"/>
    <n v="10"/>
    <n v="55"/>
    <x v="62"/>
    <n v="55"/>
  </r>
  <r>
    <n v="1077"/>
    <x v="33"/>
    <n v="10"/>
    <x v="8"/>
    <s v="123 10th Street"/>
    <x v="7"/>
    <x v="7"/>
    <n v="99999"/>
    <s v="USA"/>
    <x v="6"/>
    <x v="1"/>
    <m/>
    <s v="Shipping Company A"/>
    <s v="Roland Wacker"/>
    <s v="123 10th Street"/>
    <x v="7"/>
    <s v="IL"/>
    <n v="99999"/>
    <x v="0"/>
    <m/>
    <s v="Dried Plums"/>
    <x v="1"/>
    <n v="3.5"/>
    <n v="21"/>
    <x v="63"/>
    <n v="7.3500000000000005"/>
  </r>
  <r>
    <n v="1078"/>
    <x v="34"/>
    <n v="11"/>
    <x v="10"/>
    <s v="123 11th Street"/>
    <x v="9"/>
    <x v="9"/>
    <n v="99999"/>
    <s v="USA"/>
    <x v="5"/>
    <x v="3"/>
    <m/>
    <s v="Shipping Company C"/>
    <s v="Peter Krschne"/>
    <s v="123 11th Street"/>
    <x v="9"/>
    <s v="FL"/>
    <n v="99999"/>
    <x v="0"/>
    <m/>
    <s v="Curry Sauce"/>
    <x v="5"/>
    <n v="40"/>
    <n v="67"/>
    <x v="64"/>
    <n v="270.68"/>
  </r>
  <r>
    <n v="1079"/>
    <x v="23"/>
    <n v="1"/>
    <x v="11"/>
    <s v="123 1st Street"/>
    <x v="10"/>
    <x v="10"/>
    <n v="99999"/>
    <s v="USA"/>
    <x v="2"/>
    <x v="2"/>
    <m/>
    <s v="Shipping Company C"/>
    <s v="Anna Bedecs"/>
    <s v="123 1st Street"/>
    <x v="10"/>
    <s v="WA"/>
    <n v="99999"/>
    <x v="0"/>
    <m/>
    <s v="Crab Meat"/>
    <x v="8"/>
    <n v="18.399999999999999"/>
    <n v="75"/>
    <x v="65"/>
    <n v="138"/>
  </r>
  <r>
    <n v="1080"/>
    <x v="35"/>
    <n v="28"/>
    <x v="7"/>
    <s v="789 28th Street"/>
    <x v="6"/>
    <x v="6"/>
    <n v="99999"/>
    <s v="USA"/>
    <x v="5"/>
    <x v="3"/>
    <d v="2014-03-30T00:00:00"/>
    <s v="Shipping Company C"/>
    <s v="Amritansh Raghav"/>
    <s v="789 28th Street"/>
    <x v="6"/>
    <s v="TN"/>
    <n v="99999"/>
    <x v="0"/>
    <s v="Credit Card"/>
    <s v="Coffee"/>
    <x v="0"/>
    <n v="46"/>
    <n v="17"/>
    <x v="66"/>
    <n v="80.546000000000006"/>
  </r>
  <r>
    <n v="1081"/>
    <x v="36"/>
    <n v="4"/>
    <x v="1"/>
    <s v="123 4th Street"/>
    <x v="1"/>
    <x v="1"/>
    <n v="99999"/>
    <s v="USA"/>
    <x v="1"/>
    <x v="1"/>
    <d v="2014-04-06T00:00:00"/>
    <s v="Shipping Company A"/>
    <s v="Christina Lee"/>
    <s v="123 4th Street"/>
    <x v="1"/>
    <s v="NY"/>
    <n v="99999"/>
    <x v="0"/>
    <s v="Credit Card"/>
    <s v="Dried Plums"/>
    <x v="1"/>
    <n v="3.5"/>
    <n v="48"/>
    <x v="67"/>
    <n v="16.295999999999999"/>
  </r>
  <r>
    <n v="1082"/>
    <x v="37"/>
    <n v="12"/>
    <x v="2"/>
    <s v="123 12th Street"/>
    <x v="0"/>
    <x v="0"/>
    <n v="99999"/>
    <s v="USA"/>
    <x v="0"/>
    <x v="0"/>
    <d v="2014-04-14T00:00:00"/>
    <s v="Shipping Company B"/>
    <s v="John Edwards"/>
    <s v="123 12th Street"/>
    <x v="0"/>
    <s v="NV"/>
    <n v="99999"/>
    <x v="0"/>
    <s v="Credit Card"/>
    <s v="Chai"/>
    <x v="0"/>
    <n v="18"/>
    <n v="74"/>
    <x v="68"/>
    <n v="137.19600000000003"/>
  </r>
  <r>
    <n v="1083"/>
    <x v="37"/>
    <n v="12"/>
    <x v="2"/>
    <s v="123 12th Street"/>
    <x v="0"/>
    <x v="0"/>
    <n v="99999"/>
    <s v="USA"/>
    <x v="0"/>
    <x v="0"/>
    <d v="2014-04-14T00:00:00"/>
    <s v="Shipping Company B"/>
    <s v="John Edwards"/>
    <s v="123 12th Street"/>
    <x v="0"/>
    <s v="NV"/>
    <n v="99999"/>
    <x v="0"/>
    <s v="Credit Card"/>
    <s v="Coffee"/>
    <x v="0"/>
    <n v="46"/>
    <n v="96"/>
    <x v="69"/>
    <n v="428.35200000000003"/>
  </r>
  <r>
    <n v="1084"/>
    <x v="38"/>
    <n v="8"/>
    <x v="3"/>
    <s v="123 8th Street"/>
    <x v="2"/>
    <x v="2"/>
    <n v="99999"/>
    <s v="USA"/>
    <x v="2"/>
    <x v="2"/>
    <d v="2014-04-10T00:00:00"/>
    <s v="Shipping Company C"/>
    <s v="Elizabeth Andersen"/>
    <s v="123 8th Street"/>
    <x v="2"/>
    <s v="OR"/>
    <n v="99999"/>
    <x v="0"/>
    <s v="Credit Card"/>
    <s v="Chocolate Biscuits Mix"/>
    <x v="2"/>
    <n v="9.1999999999999993"/>
    <n v="12"/>
    <x v="70"/>
    <n v="11.3712"/>
  </r>
  <r>
    <n v="1085"/>
    <x v="36"/>
    <n v="4"/>
    <x v="1"/>
    <s v="123 4th Street"/>
    <x v="1"/>
    <x v="1"/>
    <n v="99999"/>
    <s v="USA"/>
    <x v="1"/>
    <x v="1"/>
    <n v="41735"/>
    <s v="Shipping Company C"/>
    <s v="Christina Lee"/>
    <s v="123 4th Street"/>
    <x v="1"/>
    <s v="NY"/>
    <n v="99999"/>
    <x v="0"/>
    <s v="Check"/>
    <s v="Chocolate Biscuits Mix"/>
    <x v="2"/>
    <n v="9.1999999999999993"/>
    <n v="62"/>
    <x v="71"/>
    <n v="58.751199999999997"/>
  </r>
  <r>
    <n v="1086"/>
    <x v="39"/>
    <n v="29"/>
    <x v="4"/>
    <s v="789 29th Street"/>
    <x v="3"/>
    <x v="3"/>
    <n v="99999"/>
    <s v="USA"/>
    <x v="3"/>
    <x v="0"/>
    <n v="41760"/>
    <s v="Shipping Company B"/>
    <s v="Soo Jung Lee"/>
    <s v="789 29th Street"/>
    <x v="3"/>
    <s v="CO"/>
    <n v="99999"/>
    <x v="0"/>
    <s v="Check"/>
    <s v="Chocolate"/>
    <x v="3"/>
    <n v="12.75"/>
    <n v="35"/>
    <x v="72"/>
    <n v="45.963750000000005"/>
  </r>
  <r>
    <n v="1087"/>
    <x v="40"/>
    <n v="3"/>
    <x v="5"/>
    <s v="123 3rd Street"/>
    <x v="4"/>
    <x v="4"/>
    <n v="99999"/>
    <s v="USA"/>
    <x v="0"/>
    <x v="0"/>
    <n v="41734"/>
    <s v="Shipping Company B"/>
    <s v="Thomas Axerr"/>
    <s v="123 3rd Street"/>
    <x v="4"/>
    <s v="CA"/>
    <n v="99999"/>
    <x v="0"/>
    <s v="Cash"/>
    <s v="Clam Chowder"/>
    <x v="4"/>
    <n v="9.65"/>
    <n v="95"/>
    <x v="73"/>
    <n v="91.675000000000011"/>
  </r>
  <r>
    <n v="1088"/>
    <x v="41"/>
    <n v="6"/>
    <x v="6"/>
    <s v="123 6th Street"/>
    <x v="5"/>
    <x v="5"/>
    <n v="99999"/>
    <s v="USA"/>
    <x v="4"/>
    <x v="2"/>
    <n v="41737"/>
    <s v="Shipping Company B"/>
    <s v="Francisco Pérez-Olaeta"/>
    <s v="123 6th Street"/>
    <x v="5"/>
    <s v="WI"/>
    <n v="99999"/>
    <x v="0"/>
    <s v="Credit Card"/>
    <s v="Curry Sauce"/>
    <x v="5"/>
    <n v="40"/>
    <n v="17"/>
    <x v="74"/>
    <n v="68.680000000000007"/>
  </r>
  <r>
    <n v="1089"/>
    <x v="42"/>
    <n v="28"/>
    <x v="7"/>
    <s v="789 28th Street"/>
    <x v="6"/>
    <x v="6"/>
    <n v="99999"/>
    <s v="USA"/>
    <x v="5"/>
    <x v="3"/>
    <d v="2014-04-30T00:00:00"/>
    <s v="Shipping Company C"/>
    <s v="Amritansh Raghav"/>
    <s v="789 28th Street"/>
    <x v="6"/>
    <s v="TN"/>
    <n v="99999"/>
    <x v="0"/>
    <s v="Check"/>
    <s v="Coffee"/>
    <x v="0"/>
    <n v="46"/>
    <n v="96"/>
    <x v="69"/>
    <n v="463.68000000000006"/>
  </r>
  <r>
    <n v="1090"/>
    <x v="38"/>
    <n v="8"/>
    <x v="3"/>
    <s v="123 8th Street"/>
    <x v="2"/>
    <x v="2"/>
    <n v="99999"/>
    <s v="USA"/>
    <x v="2"/>
    <x v="2"/>
    <d v="2014-04-10T00:00:00"/>
    <s v="Shipping Company C"/>
    <s v="Elizabeth Andersen"/>
    <s v="123 8th Street"/>
    <x v="2"/>
    <s v="OR"/>
    <n v="99999"/>
    <x v="0"/>
    <s v="Check"/>
    <s v="Chocolate"/>
    <x v="3"/>
    <n v="12.75"/>
    <n v="83"/>
    <x v="75"/>
    <n v="102.65025"/>
  </r>
  <r>
    <n v="1091"/>
    <x v="43"/>
    <n v="10"/>
    <x v="8"/>
    <s v="123 10th Street"/>
    <x v="7"/>
    <x v="7"/>
    <n v="99999"/>
    <s v="USA"/>
    <x v="6"/>
    <x v="1"/>
    <d v="2014-04-12T00:00:00"/>
    <s v="Shipping Company B"/>
    <s v="Roland Wacker"/>
    <s v="123 10th Street"/>
    <x v="7"/>
    <s v="IL"/>
    <n v="99999"/>
    <x v="0"/>
    <s v="Credit Card"/>
    <s v="Green Tea"/>
    <x v="0"/>
    <n v="2.99"/>
    <n v="88"/>
    <x v="76"/>
    <n v="26.04888"/>
  </r>
  <r>
    <n v="1092"/>
    <x v="44"/>
    <n v="7"/>
    <x v="9"/>
    <s v="123 7th Street"/>
    <x v="8"/>
    <x v="8"/>
    <n v="99999"/>
    <s v="USA"/>
    <x v="2"/>
    <x v="2"/>
    <m/>
    <m/>
    <s v="Ming-Yang Xie"/>
    <s v="123 7th Street"/>
    <x v="8"/>
    <s v="ID"/>
    <n v="99999"/>
    <x v="0"/>
    <m/>
    <s v="Coffee"/>
    <x v="0"/>
    <n v="46"/>
    <n v="59"/>
    <x v="77"/>
    <n v="284.97000000000003"/>
  </r>
  <r>
    <n v="1093"/>
    <x v="43"/>
    <n v="10"/>
    <x v="8"/>
    <s v="123 10th Street"/>
    <x v="7"/>
    <x v="7"/>
    <n v="99999"/>
    <s v="USA"/>
    <x v="6"/>
    <x v="1"/>
    <d v="2014-04-12T00:00:00"/>
    <s v="Shipping Company A"/>
    <s v="Roland Wacker"/>
    <s v="123 10th Street"/>
    <x v="7"/>
    <s v="IL"/>
    <n v="99999"/>
    <x v="0"/>
    <m/>
    <s v="Boysenberry Spread"/>
    <x v="6"/>
    <n v="25"/>
    <n v="27"/>
    <x v="78"/>
    <n v="68.849999999999994"/>
  </r>
  <r>
    <n v="1094"/>
    <x v="43"/>
    <n v="10"/>
    <x v="8"/>
    <s v="123 10th Street"/>
    <x v="7"/>
    <x v="7"/>
    <n v="99999"/>
    <s v="USA"/>
    <x v="6"/>
    <x v="1"/>
    <d v="2014-04-12T00:00:00"/>
    <s v="Shipping Company A"/>
    <s v="Roland Wacker"/>
    <s v="123 10th Street"/>
    <x v="7"/>
    <s v="IL"/>
    <n v="99999"/>
    <x v="0"/>
    <m/>
    <s v="Cajun Seasoning"/>
    <x v="7"/>
    <n v="22"/>
    <n v="37"/>
    <x v="79"/>
    <n v="85.470000000000013"/>
  </r>
  <r>
    <n v="1095"/>
    <x v="43"/>
    <n v="10"/>
    <x v="8"/>
    <s v="123 10th Street"/>
    <x v="7"/>
    <x v="7"/>
    <n v="99999"/>
    <s v="USA"/>
    <x v="6"/>
    <x v="1"/>
    <d v="2014-04-12T00:00:00"/>
    <s v="Shipping Company A"/>
    <s v="Roland Wacker"/>
    <s v="123 10th Street"/>
    <x v="7"/>
    <s v="IL"/>
    <n v="99999"/>
    <x v="0"/>
    <m/>
    <s v="Chocolate Biscuits Mix"/>
    <x v="2"/>
    <n v="9.1999999999999993"/>
    <n v="75"/>
    <x v="80"/>
    <n v="69"/>
  </r>
  <r>
    <n v="1096"/>
    <x v="45"/>
    <n v="11"/>
    <x v="10"/>
    <s v="123 11th Street"/>
    <x v="9"/>
    <x v="9"/>
    <n v="99999"/>
    <s v="USA"/>
    <x v="5"/>
    <x v="3"/>
    <m/>
    <s v="Shipping Company C"/>
    <s v="Peter Krschne"/>
    <s v="123 11th Street"/>
    <x v="9"/>
    <s v="FL"/>
    <n v="99999"/>
    <x v="0"/>
    <m/>
    <s v="Dried Plums"/>
    <x v="1"/>
    <n v="3.5"/>
    <n v="71"/>
    <x v="81"/>
    <n v="24.104500000000002"/>
  </r>
  <r>
    <n v="1097"/>
    <x v="45"/>
    <n v="11"/>
    <x v="10"/>
    <s v="123 11th Street"/>
    <x v="9"/>
    <x v="9"/>
    <n v="99999"/>
    <s v="USA"/>
    <x v="5"/>
    <x v="3"/>
    <m/>
    <s v="Shipping Company C"/>
    <s v="Peter Krschne"/>
    <s v="123 11th Street"/>
    <x v="9"/>
    <s v="FL"/>
    <n v="99999"/>
    <x v="0"/>
    <m/>
    <s v="Green Tea"/>
    <x v="0"/>
    <n v="2.99"/>
    <n v="88"/>
    <x v="76"/>
    <n v="26.04888"/>
  </r>
  <r>
    <n v="1098"/>
    <x v="46"/>
    <n v="1"/>
    <x v="11"/>
    <s v="123 1st Street"/>
    <x v="10"/>
    <x v="10"/>
    <n v="99999"/>
    <s v="USA"/>
    <x v="2"/>
    <x v="2"/>
    <m/>
    <m/>
    <s v="Anna Bedecs"/>
    <s v="123 1st Street"/>
    <x v="10"/>
    <s v="WA"/>
    <n v="99999"/>
    <x v="0"/>
    <m/>
    <s v="Chai"/>
    <x v="0"/>
    <n v="18"/>
    <n v="55"/>
    <x v="82"/>
    <n v="97.02"/>
  </r>
  <r>
    <n v="1099"/>
    <x v="47"/>
    <n v="29"/>
    <x v="4"/>
    <s v="789 29th Street"/>
    <x v="3"/>
    <x v="3"/>
    <n v="99999"/>
    <s v="USA"/>
    <x v="3"/>
    <x v="0"/>
    <d v="2014-05-31T00:00:00"/>
    <s v="Shipping Company B"/>
    <s v="Soo Jung Lee"/>
    <s v="789 29th Street"/>
    <x v="3"/>
    <s v="CO"/>
    <n v="99999"/>
    <x v="0"/>
    <s v="Check"/>
    <s v="Chocolate"/>
    <x v="3"/>
    <n v="12.75"/>
    <n v="14"/>
    <x v="83"/>
    <n v="16.9575"/>
  </r>
  <r>
    <n v="1100"/>
    <x v="48"/>
    <n v="3"/>
    <x v="5"/>
    <s v="123 3rd Street"/>
    <x v="4"/>
    <x v="4"/>
    <n v="99999"/>
    <s v="USA"/>
    <x v="0"/>
    <x v="0"/>
    <d v="2014-05-05T00:00:00"/>
    <s v="Shipping Company B"/>
    <s v="Thomas Axerr"/>
    <s v="123 3rd Street"/>
    <x v="4"/>
    <s v="CA"/>
    <n v="99999"/>
    <x v="0"/>
    <s v="Cash"/>
    <s v="Clam Chowder"/>
    <x v="4"/>
    <n v="9.65"/>
    <n v="43"/>
    <x v="84"/>
    <n v="42.324900000000007"/>
  </r>
  <r>
    <n v="1101"/>
    <x v="49"/>
    <n v="6"/>
    <x v="6"/>
    <s v="123 6th Street"/>
    <x v="5"/>
    <x v="5"/>
    <n v="99999"/>
    <s v="USA"/>
    <x v="4"/>
    <x v="2"/>
    <n v="41767"/>
    <s v="Shipping Company B"/>
    <s v="Francisco Pérez-Olaeta"/>
    <s v="123 6th Street"/>
    <x v="5"/>
    <s v="WI"/>
    <n v="99999"/>
    <x v="0"/>
    <s v="Credit Card"/>
    <s v="Curry Sauce"/>
    <x v="5"/>
    <n v="40"/>
    <n v="63"/>
    <x v="85"/>
    <n v="254.52"/>
  </r>
  <r>
    <n v="1102"/>
    <x v="50"/>
    <n v="28"/>
    <x v="7"/>
    <s v="789 28th Street"/>
    <x v="6"/>
    <x v="6"/>
    <n v="99999"/>
    <s v="USA"/>
    <x v="5"/>
    <x v="3"/>
    <d v="2014-05-30T00:00:00"/>
    <s v="Shipping Company C"/>
    <s v="Amritansh Raghav"/>
    <s v="789 28th Street"/>
    <x v="6"/>
    <s v="TN"/>
    <n v="99999"/>
    <x v="0"/>
    <s v="Check"/>
    <s v="Coffee"/>
    <x v="0"/>
    <n v="46"/>
    <n v="36"/>
    <x v="86"/>
    <n v="165.60000000000002"/>
  </r>
  <r>
    <n v="1103"/>
    <x v="51"/>
    <n v="8"/>
    <x v="3"/>
    <s v="123 8th Street"/>
    <x v="2"/>
    <x v="2"/>
    <n v="99999"/>
    <s v="USA"/>
    <x v="2"/>
    <x v="2"/>
    <d v="2014-05-10T00:00:00"/>
    <s v="Shipping Company C"/>
    <s v="Elizabeth Andersen"/>
    <s v="123 8th Street"/>
    <x v="2"/>
    <s v="OR"/>
    <n v="99999"/>
    <x v="0"/>
    <s v="Check"/>
    <s v="Chocolate"/>
    <x v="3"/>
    <n v="12.75"/>
    <n v="41"/>
    <x v="87"/>
    <n v="54.366000000000007"/>
  </r>
  <r>
    <n v="1104"/>
    <x v="52"/>
    <n v="10"/>
    <x v="8"/>
    <s v="123 10th Street"/>
    <x v="7"/>
    <x v="7"/>
    <n v="99999"/>
    <s v="USA"/>
    <x v="6"/>
    <x v="1"/>
    <d v="2014-05-12T00:00:00"/>
    <s v="Shipping Company B"/>
    <s v="Roland Wacker"/>
    <s v="123 10th Street"/>
    <x v="7"/>
    <s v="IL"/>
    <n v="99999"/>
    <x v="0"/>
    <s v="Credit Card"/>
    <s v="Green Tea"/>
    <x v="0"/>
    <n v="2.99"/>
    <n v="35"/>
    <x v="88"/>
    <n v="10.255700000000001"/>
  </r>
  <r>
    <n v="1105"/>
    <x v="53"/>
    <n v="7"/>
    <x v="9"/>
    <s v="123 7th Street"/>
    <x v="8"/>
    <x v="8"/>
    <n v="99999"/>
    <s v="USA"/>
    <x v="2"/>
    <x v="2"/>
    <m/>
    <m/>
    <s v="Ming-Yang Xie"/>
    <s v="123 7th Street"/>
    <x v="8"/>
    <s v="ID"/>
    <n v="99999"/>
    <x v="0"/>
    <m/>
    <s v="Coffee"/>
    <x v="0"/>
    <n v="46"/>
    <n v="31"/>
    <x v="89"/>
    <n v="136.89599999999999"/>
  </r>
  <r>
    <n v="1106"/>
    <x v="52"/>
    <n v="10"/>
    <x v="8"/>
    <s v="123 10th Street"/>
    <x v="7"/>
    <x v="7"/>
    <n v="99999"/>
    <s v="USA"/>
    <x v="6"/>
    <x v="1"/>
    <n v="41771"/>
    <s v="Shipping Company A"/>
    <s v="Roland Wacker"/>
    <s v="123 10th Street"/>
    <x v="7"/>
    <s v="IL"/>
    <n v="99999"/>
    <x v="0"/>
    <m/>
    <s v="Boysenberry Spread"/>
    <x v="6"/>
    <n v="25"/>
    <n v="52"/>
    <x v="90"/>
    <n v="123.5"/>
  </r>
  <r>
    <n v="1107"/>
    <x v="52"/>
    <n v="10"/>
    <x v="8"/>
    <s v="123 10th Street"/>
    <x v="7"/>
    <x v="7"/>
    <n v="99999"/>
    <s v="USA"/>
    <x v="6"/>
    <x v="1"/>
    <n v="41771"/>
    <s v="Shipping Company A"/>
    <s v="Roland Wacker"/>
    <s v="123 10th Street"/>
    <x v="7"/>
    <s v="IL"/>
    <n v="99999"/>
    <x v="0"/>
    <m/>
    <s v="Cajun Seasoning"/>
    <x v="7"/>
    <n v="22"/>
    <n v="30"/>
    <x v="91"/>
    <n v="67.320000000000007"/>
  </r>
  <r>
    <n v="1108"/>
    <x v="52"/>
    <n v="10"/>
    <x v="8"/>
    <s v="123 10th Street"/>
    <x v="7"/>
    <x v="7"/>
    <n v="99999"/>
    <s v="USA"/>
    <x v="6"/>
    <x v="1"/>
    <d v="2014-05-12T00:00:00"/>
    <s v="Shipping Company A"/>
    <s v="Roland Wacker"/>
    <s v="123 10th Street"/>
    <x v="7"/>
    <s v="IL"/>
    <n v="99999"/>
    <x v="0"/>
    <m/>
    <s v="Chocolate Biscuits Mix"/>
    <x v="2"/>
    <n v="9.1999999999999993"/>
    <n v="41"/>
    <x v="92"/>
    <n v="38.474400000000003"/>
  </r>
  <r>
    <n v="1109"/>
    <x v="54"/>
    <n v="11"/>
    <x v="10"/>
    <s v="123 11th Street"/>
    <x v="9"/>
    <x v="9"/>
    <n v="99999"/>
    <s v="USA"/>
    <x v="5"/>
    <x v="3"/>
    <m/>
    <s v="Shipping Company C"/>
    <s v="Peter Krschne"/>
    <s v="123 11th Street"/>
    <x v="9"/>
    <s v="FL"/>
    <n v="99999"/>
    <x v="0"/>
    <m/>
    <s v="Dried Plums"/>
    <x v="1"/>
    <n v="3.5"/>
    <n v="44"/>
    <x v="93"/>
    <n v="15.246"/>
  </r>
  <r>
    <n v="1110"/>
    <x v="54"/>
    <n v="11"/>
    <x v="10"/>
    <s v="123 11th Street"/>
    <x v="9"/>
    <x v="9"/>
    <n v="99999"/>
    <s v="USA"/>
    <x v="5"/>
    <x v="3"/>
    <m/>
    <s v="Shipping Company C"/>
    <s v="Peter Krschne"/>
    <s v="123 11th Street"/>
    <x v="9"/>
    <s v="FL"/>
    <n v="99999"/>
    <x v="0"/>
    <m/>
    <s v="Green Tea"/>
    <x v="0"/>
    <n v="2.99"/>
    <n v="77"/>
    <x v="94"/>
    <n v="23.023000000000003"/>
  </r>
  <r>
    <n v="1111"/>
    <x v="55"/>
    <n v="1"/>
    <x v="11"/>
    <s v="123 1st Street"/>
    <x v="10"/>
    <x v="10"/>
    <n v="99999"/>
    <s v="USA"/>
    <x v="2"/>
    <x v="2"/>
    <m/>
    <m/>
    <s v="Anna Bedecs"/>
    <s v="123 1st Street"/>
    <x v="10"/>
    <s v="WA"/>
    <n v="99999"/>
    <x v="0"/>
    <m/>
    <s v="Chai"/>
    <x v="0"/>
    <n v="18"/>
    <n v="29"/>
    <x v="95"/>
    <n v="52.722000000000001"/>
  </r>
  <r>
    <n v="1112"/>
    <x v="55"/>
    <n v="1"/>
    <x v="11"/>
    <s v="123 1st Street"/>
    <x v="10"/>
    <x v="10"/>
    <n v="99999"/>
    <s v="USA"/>
    <x v="2"/>
    <x v="2"/>
    <m/>
    <m/>
    <s v="Anna Bedecs"/>
    <s v="123 1st Street"/>
    <x v="10"/>
    <s v="WA"/>
    <n v="99999"/>
    <x v="0"/>
    <m/>
    <s v="Coffee"/>
    <x v="0"/>
    <n v="46"/>
    <n v="77"/>
    <x v="96"/>
    <n v="368.36800000000005"/>
  </r>
  <r>
    <n v="1113"/>
    <x v="55"/>
    <n v="1"/>
    <x v="11"/>
    <s v="123 1st Street"/>
    <x v="10"/>
    <x v="10"/>
    <n v="99999"/>
    <s v="USA"/>
    <x v="2"/>
    <x v="2"/>
    <m/>
    <m/>
    <s v="Anna Bedecs"/>
    <s v="123 1st Street"/>
    <x v="10"/>
    <s v="WA"/>
    <n v="99999"/>
    <x v="0"/>
    <m/>
    <s v="Green Tea"/>
    <x v="0"/>
    <n v="2.99"/>
    <n v="73"/>
    <x v="97"/>
    <n v="21.827000000000002"/>
  </r>
  <r>
    <n v="1114"/>
    <x v="50"/>
    <n v="28"/>
    <x v="7"/>
    <s v="789 28th Street"/>
    <x v="6"/>
    <x v="6"/>
    <n v="99999"/>
    <s v="USA"/>
    <x v="5"/>
    <x v="3"/>
    <n v="41789"/>
    <s v="Shipping Company C"/>
    <s v="Amritansh Raghav"/>
    <s v="789 28th Street"/>
    <x v="6"/>
    <s v="TN"/>
    <n v="99999"/>
    <x v="0"/>
    <s v="Credit Card"/>
    <s v="Clam Chowder"/>
    <x v="4"/>
    <n v="9.65"/>
    <n v="74"/>
    <x v="98"/>
    <n v="67.839500000000001"/>
  </r>
  <r>
    <n v="1115"/>
    <x v="50"/>
    <n v="28"/>
    <x v="7"/>
    <s v="789 28th Street"/>
    <x v="6"/>
    <x v="6"/>
    <n v="99999"/>
    <s v="USA"/>
    <x v="5"/>
    <x v="3"/>
    <d v="2014-05-30T00:00:00"/>
    <s v="Shipping Company C"/>
    <s v="Amritansh Raghav"/>
    <s v="789 28th Street"/>
    <x v="6"/>
    <s v="TN"/>
    <n v="99999"/>
    <x v="0"/>
    <s v="Credit Card"/>
    <s v="Crab Meat"/>
    <x v="8"/>
    <n v="18.399999999999999"/>
    <n v="25"/>
    <x v="99"/>
    <n v="46.46"/>
  </r>
  <r>
    <n v="1116"/>
    <x v="56"/>
    <n v="9"/>
    <x v="12"/>
    <s v="123 9th Street"/>
    <x v="11"/>
    <x v="11"/>
    <n v="99999"/>
    <s v="USA"/>
    <x v="7"/>
    <x v="0"/>
    <d v="2014-05-11T00:00:00"/>
    <s v="Shipping Company A"/>
    <s v="Sven Mortensen"/>
    <s v="123 9th Street"/>
    <x v="11"/>
    <s v="UT"/>
    <n v="99999"/>
    <x v="0"/>
    <s v="Check"/>
    <s v="Ravioli"/>
    <x v="9"/>
    <n v="19.5"/>
    <n v="82"/>
    <x v="100"/>
    <n v="153.50399999999999"/>
  </r>
  <r>
    <n v="1117"/>
    <x v="56"/>
    <n v="9"/>
    <x v="12"/>
    <s v="123 9th Street"/>
    <x v="11"/>
    <x v="11"/>
    <n v="99999"/>
    <s v="USA"/>
    <x v="7"/>
    <x v="0"/>
    <d v="2014-05-11T00:00:00"/>
    <s v="Shipping Company A"/>
    <s v="Sven Mortensen"/>
    <s v="123 9th Street"/>
    <x v="11"/>
    <s v="UT"/>
    <n v="99999"/>
    <x v="0"/>
    <s v="Check"/>
    <s v="Mozzarella"/>
    <x v="10"/>
    <n v="34.799999999999997"/>
    <n v="37"/>
    <x v="101"/>
    <n v="132.62279999999998"/>
  </r>
  <r>
    <n v="1118"/>
    <x v="49"/>
    <n v="6"/>
    <x v="6"/>
    <s v="123 6th Street"/>
    <x v="5"/>
    <x v="5"/>
    <n v="99999"/>
    <s v="USA"/>
    <x v="4"/>
    <x v="2"/>
    <n v="41767"/>
    <s v="Shipping Company B"/>
    <s v="Francisco Pérez-Olaeta"/>
    <s v="123 6th Street"/>
    <x v="5"/>
    <s v="WI"/>
    <n v="99999"/>
    <x v="0"/>
    <s v="Credit Card"/>
    <s v="Beer"/>
    <x v="0"/>
    <n v="14"/>
    <n v="84"/>
    <x v="102"/>
    <n v="112.896"/>
  </r>
  <r>
    <n v="1119"/>
    <x v="51"/>
    <n v="8"/>
    <x v="3"/>
    <s v="123 8th Street"/>
    <x v="2"/>
    <x v="2"/>
    <n v="99999"/>
    <s v="USA"/>
    <x v="2"/>
    <x v="2"/>
    <n v="41769"/>
    <s v="Shipping Company B"/>
    <s v="Elizabeth Andersen"/>
    <s v="123 8th Street"/>
    <x v="2"/>
    <s v="OR"/>
    <n v="99999"/>
    <x v="0"/>
    <s v="Check"/>
    <s v="Curry Sauce"/>
    <x v="5"/>
    <n v="40"/>
    <n v="73"/>
    <x v="103"/>
    <n v="283.24"/>
  </r>
  <r>
    <n v="1120"/>
    <x v="51"/>
    <n v="8"/>
    <x v="3"/>
    <s v="123 8th Street"/>
    <x v="2"/>
    <x v="2"/>
    <n v="99999"/>
    <s v="USA"/>
    <x v="2"/>
    <x v="2"/>
    <n v="41769"/>
    <s v="Shipping Company B"/>
    <s v="Elizabeth Andersen"/>
    <s v="123 8th Street"/>
    <x v="2"/>
    <s v="OR"/>
    <n v="99999"/>
    <x v="0"/>
    <s v="Check"/>
    <s v="Chocolate Biscuits Mix"/>
    <x v="2"/>
    <n v="9.1999999999999993"/>
    <n v="51"/>
    <x v="104"/>
    <n v="44.573999999999998"/>
  </r>
  <r>
    <n v="1121"/>
    <x v="57"/>
    <n v="25"/>
    <x v="13"/>
    <s v="789 25th Street"/>
    <x v="7"/>
    <x v="7"/>
    <n v="99999"/>
    <s v="USA"/>
    <x v="6"/>
    <x v="1"/>
    <n v="41786"/>
    <s v="Shipping Company A"/>
    <s v="John Rodman"/>
    <s v="789 25th Street"/>
    <x v="7"/>
    <s v="IL"/>
    <n v="99999"/>
    <x v="0"/>
    <s v="Cash"/>
    <s v="Scones"/>
    <x v="2"/>
    <n v="10"/>
    <n v="66"/>
    <x v="91"/>
    <n v="68.64"/>
  </r>
  <r>
    <n v="1122"/>
    <x v="58"/>
    <n v="26"/>
    <x v="14"/>
    <s v="789 26th Street"/>
    <x v="9"/>
    <x v="9"/>
    <n v="99999"/>
    <s v="USA"/>
    <x v="5"/>
    <x v="3"/>
    <n v="41787"/>
    <s v="Shipping Company C"/>
    <s v="Run Liu"/>
    <s v="789 26th Street"/>
    <x v="9"/>
    <s v="FL"/>
    <n v="99999"/>
    <x v="0"/>
    <s v="Credit Card"/>
    <s v="Olive Oil"/>
    <x v="13"/>
    <n v="21.35"/>
    <n v="36"/>
    <x v="105"/>
    <n v="74.554200000000009"/>
  </r>
  <r>
    <n v="1123"/>
    <x v="58"/>
    <n v="26"/>
    <x v="14"/>
    <s v="789 26th Street"/>
    <x v="9"/>
    <x v="9"/>
    <n v="99999"/>
    <s v="USA"/>
    <x v="5"/>
    <x v="3"/>
    <d v="2014-05-28T00:00:00"/>
    <s v="Shipping Company C"/>
    <s v="Run Liu"/>
    <s v="789 26th Street"/>
    <x v="9"/>
    <s v="FL"/>
    <n v="99999"/>
    <x v="0"/>
    <s v="Credit Card"/>
    <s v="Clam Chowder"/>
    <x v="4"/>
    <n v="9.65"/>
    <n v="87"/>
    <x v="106"/>
    <n v="87.313200000000009"/>
  </r>
  <r>
    <n v="1124"/>
    <x v="58"/>
    <n v="26"/>
    <x v="14"/>
    <s v="789 26th Street"/>
    <x v="9"/>
    <x v="9"/>
    <n v="99999"/>
    <s v="USA"/>
    <x v="5"/>
    <x v="3"/>
    <d v="2014-05-28T00:00:00"/>
    <s v="Shipping Company C"/>
    <s v="Run Liu"/>
    <s v="789 26th Street"/>
    <x v="9"/>
    <s v="FL"/>
    <n v="99999"/>
    <x v="0"/>
    <s v="Credit Card"/>
    <s v="Crab Meat"/>
    <x v="8"/>
    <n v="18.399999999999999"/>
    <n v="64"/>
    <x v="107"/>
    <n v="115.40479999999999"/>
  </r>
  <r>
    <n v="1125"/>
    <x v="47"/>
    <n v="29"/>
    <x v="4"/>
    <s v="789 29th Street"/>
    <x v="3"/>
    <x v="3"/>
    <n v="99999"/>
    <s v="USA"/>
    <x v="3"/>
    <x v="0"/>
    <d v="2014-05-31T00:00:00"/>
    <s v="Shipping Company B"/>
    <s v="Soo Jung Lee"/>
    <s v="789 29th Street"/>
    <x v="3"/>
    <s v="CO"/>
    <n v="99999"/>
    <x v="0"/>
    <s v="Check"/>
    <s v="Beer"/>
    <x v="0"/>
    <n v="14"/>
    <n v="21"/>
    <x v="108"/>
    <n v="30.870000000000005"/>
  </r>
  <r>
    <n v="1126"/>
    <x v="49"/>
    <n v="6"/>
    <x v="6"/>
    <s v="123 6th Street"/>
    <x v="5"/>
    <x v="5"/>
    <n v="99999"/>
    <s v="USA"/>
    <x v="4"/>
    <x v="2"/>
    <d v="2014-05-08T00:00:00"/>
    <s v="Shipping Company C"/>
    <s v="Francisco Pérez-Olaeta"/>
    <s v="123 6th Street"/>
    <x v="5"/>
    <s v="WI"/>
    <n v="99999"/>
    <x v="0"/>
    <s v="Check"/>
    <s v="Chocolate"/>
    <x v="3"/>
    <n v="12.75"/>
    <n v="19"/>
    <x v="109"/>
    <n v="24.46725"/>
  </r>
  <r>
    <n v="1128"/>
    <x v="59"/>
    <n v="4"/>
    <x v="1"/>
    <s v="123 4th Street"/>
    <x v="1"/>
    <x v="1"/>
    <n v="99999"/>
    <s v="USA"/>
    <x v="1"/>
    <x v="1"/>
    <d v="2014-05-06T00:00:00"/>
    <s v="Shipping Company A"/>
    <s v="Christina Lee"/>
    <s v="123 4th Street"/>
    <x v="1"/>
    <s v="NY"/>
    <n v="99999"/>
    <x v="0"/>
    <s v="Credit Card"/>
    <s v="Marmalade"/>
    <x v="6"/>
    <n v="81"/>
    <n v="23"/>
    <x v="110"/>
    <n v="195.61500000000001"/>
  </r>
  <r>
    <n v="1129"/>
    <x v="59"/>
    <n v="4"/>
    <x v="1"/>
    <s v="123 4th Street"/>
    <x v="1"/>
    <x v="1"/>
    <n v="99999"/>
    <s v="USA"/>
    <x v="1"/>
    <x v="1"/>
    <d v="2014-05-06T00:00:00"/>
    <s v="Shipping Company A"/>
    <s v="Christina Lee"/>
    <s v="123 4th Street"/>
    <x v="1"/>
    <s v="NY"/>
    <n v="99999"/>
    <x v="0"/>
    <s v="Credit Card"/>
    <s v="Long Grain Rice"/>
    <x v="14"/>
    <n v="7"/>
    <n v="72"/>
    <x v="111"/>
    <n v="51.912000000000006"/>
  </r>
  <r>
    <n v="1131"/>
    <x v="51"/>
    <n v="8"/>
    <x v="3"/>
    <s v="123 8th Street"/>
    <x v="2"/>
    <x v="2"/>
    <n v="99999"/>
    <s v="USA"/>
    <x v="2"/>
    <x v="2"/>
    <d v="2014-05-10T00:00:00"/>
    <s v="Shipping Company C"/>
    <s v="Elizabeth Andersen"/>
    <s v="123 8th Street"/>
    <x v="2"/>
    <s v="OR"/>
    <n v="99999"/>
    <x v="0"/>
    <s v="Credit Card"/>
    <s v="Mozzarella"/>
    <x v="10"/>
    <n v="34.799999999999997"/>
    <n v="22"/>
    <x v="112"/>
    <n v="75.02879999999999"/>
  </r>
  <r>
    <n v="1134"/>
    <x v="48"/>
    <n v="3"/>
    <x v="5"/>
    <s v="123 3rd Street"/>
    <x v="4"/>
    <x v="4"/>
    <n v="99999"/>
    <s v="USA"/>
    <x v="0"/>
    <x v="0"/>
    <d v="2014-05-05T00:00:00"/>
    <s v="Shipping Company B"/>
    <s v="Thomas Axerr"/>
    <s v="123 3rd Street"/>
    <x v="4"/>
    <s v="CA"/>
    <n v="99999"/>
    <x v="0"/>
    <s v="Cash"/>
    <s v="Syrup"/>
    <x v="7"/>
    <n v="10"/>
    <n v="82"/>
    <x v="113"/>
    <n v="85.28"/>
  </r>
  <r>
    <n v="1135"/>
    <x v="48"/>
    <n v="3"/>
    <x v="5"/>
    <s v="123 3rd Street"/>
    <x v="4"/>
    <x v="4"/>
    <n v="99999"/>
    <s v="USA"/>
    <x v="0"/>
    <x v="0"/>
    <d v="2014-05-05T00:00:00"/>
    <s v="Shipping Company B"/>
    <s v="Thomas Axerr"/>
    <s v="123 3rd Street"/>
    <x v="4"/>
    <s v="CA"/>
    <n v="99999"/>
    <x v="0"/>
    <s v="Cash"/>
    <s v="Curry Sauce"/>
    <x v="5"/>
    <n v="40"/>
    <n v="98"/>
    <x v="114"/>
    <n v="411.6"/>
  </r>
  <r>
    <n v="1138"/>
    <x v="60"/>
    <n v="7"/>
    <x v="9"/>
    <s v="123 7th Street"/>
    <x v="8"/>
    <x v="8"/>
    <n v="99999"/>
    <s v="USA"/>
    <x v="2"/>
    <x v="2"/>
    <m/>
    <m/>
    <s v="Ming-Yang Xie"/>
    <s v="123 7th Street"/>
    <x v="8"/>
    <s v="ID"/>
    <n v="99999"/>
    <x v="0"/>
    <m/>
    <s v="Coffee"/>
    <x v="0"/>
    <n v="46"/>
    <n v="71"/>
    <x v="115"/>
    <n v="310.27"/>
  </r>
  <r>
    <n v="1139"/>
    <x v="61"/>
    <n v="10"/>
    <x v="8"/>
    <s v="123 10th Street"/>
    <x v="7"/>
    <x v="7"/>
    <n v="99999"/>
    <s v="USA"/>
    <x v="6"/>
    <x v="1"/>
    <d v="2014-06-12T00:00:00"/>
    <s v="Shipping Company A"/>
    <s v="Roland Wacker"/>
    <s v="123 10th Street"/>
    <x v="7"/>
    <s v="IL"/>
    <n v="99999"/>
    <x v="0"/>
    <m/>
    <s v="Boysenberry Spread"/>
    <x v="6"/>
    <n v="25"/>
    <n v="40"/>
    <x v="116"/>
    <n v="105"/>
  </r>
  <r>
    <n v="1140"/>
    <x v="61"/>
    <n v="10"/>
    <x v="8"/>
    <s v="123 10th Street"/>
    <x v="7"/>
    <x v="7"/>
    <n v="99999"/>
    <s v="USA"/>
    <x v="6"/>
    <x v="1"/>
    <d v="2014-06-12T00:00:00"/>
    <s v="Shipping Company A"/>
    <s v="Roland Wacker"/>
    <s v="123 10th Street"/>
    <x v="7"/>
    <s v="IL"/>
    <n v="99999"/>
    <x v="0"/>
    <m/>
    <s v="Cajun Seasoning"/>
    <x v="7"/>
    <n v="22"/>
    <n v="80"/>
    <x v="117"/>
    <n v="172.48"/>
  </r>
  <r>
    <n v="1141"/>
    <x v="61"/>
    <n v="10"/>
    <x v="8"/>
    <s v="123 10th Street"/>
    <x v="7"/>
    <x v="7"/>
    <n v="99999"/>
    <s v="USA"/>
    <x v="6"/>
    <x v="1"/>
    <d v="2014-06-12T00:00:00"/>
    <s v="Shipping Company A"/>
    <s v="Roland Wacker"/>
    <s v="123 10th Street"/>
    <x v="7"/>
    <s v="IL"/>
    <n v="99999"/>
    <x v="0"/>
    <m/>
    <s v="Chocolate Biscuits Mix"/>
    <x v="2"/>
    <n v="9.1999999999999993"/>
    <n v="38"/>
    <x v="7"/>
    <n v="33.211999999999996"/>
  </r>
  <r>
    <n v="1142"/>
    <x v="62"/>
    <n v="11"/>
    <x v="10"/>
    <s v="123 11th Street"/>
    <x v="9"/>
    <x v="9"/>
    <n v="99999"/>
    <s v="USA"/>
    <x v="5"/>
    <x v="3"/>
    <m/>
    <s v="Shipping Company C"/>
    <s v="Peter Krschne"/>
    <s v="123 11th Street"/>
    <x v="9"/>
    <s v="FL"/>
    <n v="99999"/>
    <x v="0"/>
    <m/>
    <s v="Dried Plums"/>
    <x v="1"/>
    <n v="3.5"/>
    <n v="28"/>
    <x v="118"/>
    <n v="10.290000000000001"/>
  </r>
  <r>
    <n v="1143"/>
    <x v="62"/>
    <n v="11"/>
    <x v="10"/>
    <s v="123 11th Street"/>
    <x v="9"/>
    <x v="9"/>
    <n v="99999"/>
    <s v="USA"/>
    <x v="5"/>
    <x v="3"/>
    <m/>
    <s v="Shipping Company C"/>
    <s v="Peter Krschne"/>
    <s v="123 11th Street"/>
    <x v="9"/>
    <s v="FL"/>
    <n v="99999"/>
    <x v="0"/>
    <m/>
    <s v="Green Tea"/>
    <x v="0"/>
    <n v="2.99"/>
    <n v="60"/>
    <x v="119"/>
    <n v="17.581200000000003"/>
  </r>
  <r>
    <n v="1144"/>
    <x v="63"/>
    <n v="1"/>
    <x v="11"/>
    <s v="123 1st Street"/>
    <x v="10"/>
    <x v="10"/>
    <n v="99999"/>
    <s v="USA"/>
    <x v="2"/>
    <x v="2"/>
    <m/>
    <m/>
    <s v="Anna Bedecs"/>
    <s v="123 1st Street"/>
    <x v="10"/>
    <s v="WA"/>
    <n v="99999"/>
    <x v="0"/>
    <m/>
    <s v="Chai"/>
    <x v="0"/>
    <n v="18"/>
    <n v="33"/>
    <x v="120"/>
    <n v="58.212000000000003"/>
  </r>
  <r>
    <n v="1145"/>
    <x v="63"/>
    <n v="1"/>
    <x v="11"/>
    <s v="123 1st Street"/>
    <x v="10"/>
    <x v="10"/>
    <n v="99999"/>
    <s v="USA"/>
    <x v="2"/>
    <x v="2"/>
    <m/>
    <m/>
    <s v="Anna Bedecs"/>
    <s v="123 1st Street"/>
    <x v="10"/>
    <s v="WA"/>
    <n v="99999"/>
    <x v="0"/>
    <m/>
    <s v="Coffee"/>
    <x v="0"/>
    <n v="46"/>
    <n v="22"/>
    <x v="121"/>
    <n v="101.2"/>
  </r>
  <r>
    <n v="1146"/>
    <x v="63"/>
    <n v="1"/>
    <x v="11"/>
    <s v="123 1st Street"/>
    <x v="10"/>
    <x v="10"/>
    <n v="99999"/>
    <s v="USA"/>
    <x v="2"/>
    <x v="2"/>
    <m/>
    <m/>
    <s v="Anna Bedecs"/>
    <s v="123 1st Street"/>
    <x v="10"/>
    <s v="WA"/>
    <n v="99999"/>
    <x v="0"/>
    <m/>
    <s v="Green Tea"/>
    <x v="0"/>
    <n v="2.99"/>
    <n v="51"/>
    <x v="122"/>
    <n v="14.944020000000002"/>
  </r>
  <r>
    <n v="1147"/>
    <x v="64"/>
    <n v="28"/>
    <x v="7"/>
    <s v="789 28th Street"/>
    <x v="6"/>
    <x v="6"/>
    <n v="99999"/>
    <s v="USA"/>
    <x v="5"/>
    <x v="3"/>
    <d v="2014-06-30T00:00:00"/>
    <s v="Shipping Company C"/>
    <s v="Amritansh Raghav"/>
    <s v="789 28th Street"/>
    <x v="6"/>
    <s v="TN"/>
    <n v="99999"/>
    <x v="0"/>
    <s v="Credit Card"/>
    <s v="Clam Chowder"/>
    <x v="4"/>
    <n v="9.65"/>
    <n v="60"/>
    <x v="123"/>
    <n v="57.321000000000005"/>
  </r>
  <r>
    <n v="1148"/>
    <x v="64"/>
    <n v="28"/>
    <x v="7"/>
    <s v="789 28th Street"/>
    <x v="6"/>
    <x v="6"/>
    <n v="99999"/>
    <s v="USA"/>
    <x v="5"/>
    <x v="3"/>
    <d v="2014-06-30T00:00:00"/>
    <s v="Shipping Company C"/>
    <s v="Amritansh Raghav"/>
    <s v="789 28th Street"/>
    <x v="6"/>
    <s v="TN"/>
    <n v="99999"/>
    <x v="0"/>
    <s v="Credit Card"/>
    <s v="Crab Meat"/>
    <x v="8"/>
    <n v="18.399999999999999"/>
    <n v="98"/>
    <x v="124"/>
    <n v="183.9264"/>
  </r>
  <r>
    <n v="1149"/>
    <x v="65"/>
    <n v="9"/>
    <x v="12"/>
    <s v="123 9th Street"/>
    <x v="11"/>
    <x v="11"/>
    <n v="99999"/>
    <s v="USA"/>
    <x v="7"/>
    <x v="0"/>
    <d v="2014-06-11T00:00:00"/>
    <s v="Shipping Company A"/>
    <s v="Sven Mortensen"/>
    <s v="123 9th Street"/>
    <x v="11"/>
    <s v="UT"/>
    <n v="99999"/>
    <x v="0"/>
    <s v="Check"/>
    <s v="Ravioli"/>
    <x v="9"/>
    <n v="19.5"/>
    <n v="27"/>
    <x v="125"/>
    <n v="51.070500000000003"/>
  </r>
  <r>
    <n v="1150"/>
    <x v="65"/>
    <n v="9"/>
    <x v="12"/>
    <s v="123 9th Street"/>
    <x v="11"/>
    <x v="11"/>
    <n v="99999"/>
    <s v="USA"/>
    <x v="7"/>
    <x v="0"/>
    <d v="2014-06-11T00:00:00"/>
    <s v="Shipping Company A"/>
    <s v="Sven Mortensen"/>
    <s v="123 9th Street"/>
    <x v="11"/>
    <s v="UT"/>
    <n v="99999"/>
    <x v="0"/>
    <s v="Check"/>
    <s v="Mozzarella"/>
    <x v="10"/>
    <n v="34.799999999999997"/>
    <n v="88"/>
    <x v="126"/>
    <n v="303.17759999999993"/>
  </r>
  <r>
    <n v="1151"/>
    <x v="66"/>
    <n v="6"/>
    <x v="6"/>
    <s v="123 6th Street"/>
    <x v="5"/>
    <x v="5"/>
    <n v="99999"/>
    <s v="USA"/>
    <x v="4"/>
    <x v="2"/>
    <d v="2014-06-08T00:00:00"/>
    <s v="Shipping Company B"/>
    <s v="Francisco Pérez-Olaeta"/>
    <s v="123 6th Street"/>
    <x v="5"/>
    <s v="WI"/>
    <n v="99999"/>
    <x v="0"/>
    <s v="Credit Card"/>
    <s v="Beer"/>
    <x v="0"/>
    <n v="14"/>
    <n v="65"/>
    <x v="127"/>
    <n v="95.55"/>
  </r>
  <r>
    <n v="1152"/>
    <x v="67"/>
    <n v="8"/>
    <x v="3"/>
    <s v="123 8th Street"/>
    <x v="2"/>
    <x v="2"/>
    <n v="99999"/>
    <s v="USA"/>
    <x v="2"/>
    <x v="2"/>
    <d v="2014-06-10T00:00:00"/>
    <s v="Shipping Company B"/>
    <s v="Elizabeth Andersen"/>
    <s v="123 8th Street"/>
    <x v="2"/>
    <s v="OR"/>
    <n v="99999"/>
    <x v="0"/>
    <s v="Check"/>
    <s v="Curry Sauce"/>
    <x v="5"/>
    <n v="40"/>
    <n v="38"/>
    <x v="128"/>
    <n v="148.96"/>
  </r>
  <r>
    <n v="1153"/>
    <x v="67"/>
    <n v="8"/>
    <x v="3"/>
    <s v="123 8th Street"/>
    <x v="2"/>
    <x v="2"/>
    <n v="99999"/>
    <s v="USA"/>
    <x v="2"/>
    <x v="2"/>
    <n v="41800"/>
    <s v="Shipping Company B"/>
    <s v="Elizabeth Andersen"/>
    <s v="123 8th Street"/>
    <x v="2"/>
    <s v="OR"/>
    <n v="99999"/>
    <x v="0"/>
    <s v="Check"/>
    <s v="Chocolate Biscuits Mix"/>
    <x v="2"/>
    <n v="9.1999999999999993"/>
    <n v="80"/>
    <x v="129"/>
    <n v="70.656000000000006"/>
  </r>
  <r>
    <n v="1154"/>
    <x v="68"/>
    <n v="25"/>
    <x v="13"/>
    <s v="789 25th Street"/>
    <x v="7"/>
    <x v="7"/>
    <n v="99999"/>
    <s v="USA"/>
    <x v="6"/>
    <x v="1"/>
    <d v="2014-06-27T00:00:00"/>
    <s v="Shipping Company A"/>
    <s v="John Rodman"/>
    <s v="789 25th Street"/>
    <x v="7"/>
    <s v="IL"/>
    <n v="99999"/>
    <x v="0"/>
    <s v="Cash"/>
    <s v="Scones"/>
    <x v="2"/>
    <n v="10"/>
    <n v="49"/>
    <x v="130"/>
    <n v="47.04"/>
  </r>
  <r>
    <n v="1155"/>
    <x v="69"/>
    <n v="26"/>
    <x v="14"/>
    <s v="789 26th Street"/>
    <x v="9"/>
    <x v="9"/>
    <n v="99999"/>
    <s v="USA"/>
    <x v="5"/>
    <x v="3"/>
    <d v="2014-06-28T00:00:00"/>
    <s v="Shipping Company C"/>
    <s v="Run Liu"/>
    <s v="789 26th Street"/>
    <x v="9"/>
    <s v="FL"/>
    <n v="99999"/>
    <x v="0"/>
    <s v="Credit Card"/>
    <s v="Olive Oil"/>
    <x v="13"/>
    <n v="21.35"/>
    <n v="90"/>
    <x v="131"/>
    <n v="186.38550000000004"/>
  </r>
  <r>
    <n v="1156"/>
    <x v="69"/>
    <n v="26"/>
    <x v="14"/>
    <s v="789 26th Street"/>
    <x v="9"/>
    <x v="9"/>
    <n v="99999"/>
    <s v="USA"/>
    <x v="5"/>
    <x v="3"/>
    <d v="2014-06-28T00:00:00"/>
    <s v="Shipping Company C"/>
    <s v="Run Liu"/>
    <s v="789 26th Street"/>
    <x v="9"/>
    <s v="FL"/>
    <n v="99999"/>
    <x v="0"/>
    <s v="Credit Card"/>
    <s v="Clam Chowder"/>
    <x v="4"/>
    <n v="9.65"/>
    <n v="60"/>
    <x v="123"/>
    <n v="59.637000000000008"/>
  </r>
  <r>
    <n v="1157"/>
    <x v="69"/>
    <n v="26"/>
    <x v="14"/>
    <s v="789 26th Street"/>
    <x v="9"/>
    <x v="9"/>
    <n v="99999"/>
    <s v="USA"/>
    <x v="5"/>
    <x v="3"/>
    <n v="41818"/>
    <s v="Shipping Company C"/>
    <s v="Run Liu"/>
    <s v="789 26th Street"/>
    <x v="9"/>
    <s v="FL"/>
    <n v="99999"/>
    <x v="0"/>
    <s v="Credit Card"/>
    <s v="Crab Meat"/>
    <x v="8"/>
    <n v="18.399999999999999"/>
    <n v="39"/>
    <x v="132"/>
    <n v="71.759999999999991"/>
  </r>
  <r>
    <n v="1158"/>
    <x v="70"/>
    <n v="29"/>
    <x v="4"/>
    <s v="789 29th Street"/>
    <x v="3"/>
    <x v="3"/>
    <n v="99999"/>
    <s v="USA"/>
    <x v="3"/>
    <x v="0"/>
    <n v="41821"/>
    <s v="Shipping Company B"/>
    <s v="Soo Jung Lee"/>
    <s v="789 29th Street"/>
    <x v="3"/>
    <s v="CO"/>
    <n v="99999"/>
    <x v="0"/>
    <s v="Check"/>
    <s v="Beer"/>
    <x v="0"/>
    <n v="14"/>
    <n v="79"/>
    <x v="133"/>
    <n v="113.91800000000001"/>
  </r>
  <r>
    <n v="1159"/>
    <x v="66"/>
    <n v="6"/>
    <x v="6"/>
    <s v="123 6th Street"/>
    <x v="5"/>
    <x v="5"/>
    <n v="99999"/>
    <s v="USA"/>
    <x v="4"/>
    <x v="2"/>
    <n v="41798"/>
    <s v="Shipping Company C"/>
    <s v="Francisco Pérez-Olaeta"/>
    <s v="123 6th Street"/>
    <x v="5"/>
    <s v="WI"/>
    <n v="99999"/>
    <x v="0"/>
    <s v="Check"/>
    <s v="Chocolate"/>
    <x v="3"/>
    <n v="12.75"/>
    <n v="44"/>
    <x v="134"/>
    <n v="57.222000000000001"/>
  </r>
  <r>
    <n v="1161"/>
    <x v="71"/>
    <n v="4"/>
    <x v="1"/>
    <s v="123 4th Street"/>
    <x v="1"/>
    <x v="1"/>
    <n v="99999"/>
    <s v="USA"/>
    <x v="1"/>
    <x v="1"/>
    <n v="41796"/>
    <s v="Shipping Company A"/>
    <s v="Christina Lee"/>
    <s v="123 4th Street"/>
    <x v="1"/>
    <s v="NY"/>
    <n v="99999"/>
    <x v="0"/>
    <s v="Credit Card"/>
    <s v="Marmalade"/>
    <x v="6"/>
    <n v="81"/>
    <n v="98"/>
    <x v="135"/>
    <n v="769.98599999999999"/>
  </r>
  <r>
    <n v="1162"/>
    <x v="71"/>
    <n v="4"/>
    <x v="1"/>
    <s v="123 4th Street"/>
    <x v="1"/>
    <x v="1"/>
    <n v="99999"/>
    <s v="USA"/>
    <x v="1"/>
    <x v="1"/>
    <n v="41796"/>
    <s v="Shipping Company A"/>
    <s v="Christina Lee"/>
    <s v="123 4th Street"/>
    <x v="1"/>
    <s v="NY"/>
    <n v="99999"/>
    <x v="0"/>
    <s v="Credit Card"/>
    <s v="Long Grain Rice"/>
    <x v="14"/>
    <n v="7"/>
    <n v="61"/>
    <x v="136"/>
    <n v="42.273000000000003"/>
  </r>
  <r>
    <n v="1164"/>
    <x v="67"/>
    <n v="8"/>
    <x v="3"/>
    <s v="123 8th Street"/>
    <x v="2"/>
    <x v="2"/>
    <n v="99999"/>
    <s v="USA"/>
    <x v="2"/>
    <x v="2"/>
    <d v="2014-06-10T00:00:00"/>
    <s v="Shipping Company C"/>
    <s v="Elizabeth Andersen"/>
    <s v="123 8th Street"/>
    <x v="2"/>
    <s v="OR"/>
    <n v="99999"/>
    <x v="0"/>
    <s v="Credit Card"/>
    <s v="Mozzarella"/>
    <x v="10"/>
    <n v="34.799999999999997"/>
    <n v="30"/>
    <x v="137"/>
    <n v="109.62"/>
  </r>
  <r>
    <n v="1167"/>
    <x v="72"/>
    <n v="3"/>
    <x v="5"/>
    <s v="123 3rd Street"/>
    <x v="4"/>
    <x v="4"/>
    <n v="99999"/>
    <s v="USA"/>
    <x v="0"/>
    <x v="0"/>
    <d v="2014-06-05T00:00:00"/>
    <s v="Shipping Company B"/>
    <s v="Thomas Axerr"/>
    <s v="123 3rd Street"/>
    <x v="4"/>
    <s v="CA"/>
    <n v="99999"/>
    <x v="0"/>
    <s v="Cash"/>
    <s v="Syrup"/>
    <x v="7"/>
    <n v="10"/>
    <n v="24"/>
    <x v="138"/>
    <n v="25.200000000000003"/>
  </r>
  <r>
    <n v="1168"/>
    <x v="72"/>
    <n v="3"/>
    <x v="5"/>
    <s v="123 3rd Street"/>
    <x v="4"/>
    <x v="4"/>
    <n v="99999"/>
    <s v="USA"/>
    <x v="0"/>
    <x v="0"/>
    <d v="2014-06-05T00:00:00"/>
    <s v="Shipping Company B"/>
    <s v="Thomas Axerr"/>
    <s v="123 3rd Street"/>
    <x v="4"/>
    <s v="CA"/>
    <n v="99999"/>
    <x v="0"/>
    <s v="Cash"/>
    <s v="Curry Sauce"/>
    <x v="5"/>
    <n v="40"/>
    <n v="28"/>
    <x v="139"/>
    <n v="109.75999999999999"/>
  </r>
  <r>
    <n v="1172"/>
    <x v="61"/>
    <n v="10"/>
    <x v="8"/>
    <s v="123 10th Street"/>
    <x v="7"/>
    <x v="7"/>
    <n v="99999"/>
    <s v="USA"/>
    <x v="6"/>
    <x v="1"/>
    <d v="2014-06-12T00:00:00"/>
    <s v="Shipping Company B"/>
    <s v="Roland Wacker"/>
    <s v="123 10th Street"/>
    <x v="7"/>
    <s v="IL"/>
    <n v="99999"/>
    <x v="0"/>
    <s v="Credit Card"/>
    <s v="Almonds"/>
    <x v="1"/>
    <n v="10"/>
    <n v="74"/>
    <x v="140"/>
    <n v="71.78"/>
  </r>
  <r>
    <n v="1174"/>
    <x v="61"/>
    <n v="10"/>
    <x v="8"/>
    <s v="123 10th Street"/>
    <x v="7"/>
    <x v="7"/>
    <n v="99999"/>
    <s v="USA"/>
    <x v="6"/>
    <x v="1"/>
    <m/>
    <s v="Shipping Company A"/>
    <s v="Roland Wacker"/>
    <s v="123 10th Street"/>
    <x v="7"/>
    <s v="IL"/>
    <n v="99999"/>
    <x v="0"/>
    <m/>
    <s v="Dried Plums"/>
    <x v="1"/>
    <n v="3.5"/>
    <n v="90"/>
    <x v="141"/>
    <n v="30.24"/>
  </r>
  <r>
    <n v="1175"/>
    <x v="62"/>
    <n v="11"/>
    <x v="10"/>
    <s v="123 11th Street"/>
    <x v="9"/>
    <x v="9"/>
    <n v="99999"/>
    <s v="USA"/>
    <x v="5"/>
    <x v="3"/>
    <m/>
    <s v="Shipping Company C"/>
    <s v="Peter Krschne"/>
    <s v="123 11th Street"/>
    <x v="9"/>
    <s v="FL"/>
    <n v="99999"/>
    <x v="0"/>
    <m/>
    <s v="Curry Sauce"/>
    <x v="5"/>
    <n v="40"/>
    <n v="27"/>
    <x v="142"/>
    <n v="111.24000000000001"/>
  </r>
  <r>
    <n v="1176"/>
    <x v="63"/>
    <n v="1"/>
    <x v="11"/>
    <s v="123 1st Street"/>
    <x v="10"/>
    <x v="10"/>
    <n v="99999"/>
    <s v="USA"/>
    <x v="2"/>
    <x v="2"/>
    <m/>
    <s v="Shipping Company C"/>
    <s v="Anna Bedecs"/>
    <s v="123 1st Street"/>
    <x v="10"/>
    <s v="WA"/>
    <n v="99999"/>
    <x v="0"/>
    <m/>
    <s v="Crab Meat"/>
    <x v="8"/>
    <n v="18.399999999999999"/>
    <n v="71"/>
    <x v="143"/>
    <n v="137.172"/>
  </r>
  <r>
    <n v="1177"/>
    <x v="64"/>
    <n v="28"/>
    <x v="7"/>
    <s v="789 28th Street"/>
    <x v="6"/>
    <x v="6"/>
    <n v="99999"/>
    <s v="USA"/>
    <x v="5"/>
    <x v="3"/>
    <d v="2014-06-30T00:00:00"/>
    <s v="Shipping Company C"/>
    <s v="Amritansh Raghav"/>
    <s v="789 28th Street"/>
    <x v="6"/>
    <s v="TN"/>
    <n v="99999"/>
    <x v="0"/>
    <s v="Credit Card"/>
    <s v="Coffee"/>
    <x v="0"/>
    <n v="46"/>
    <n v="74"/>
    <x v="144"/>
    <n v="340.40000000000003"/>
  </r>
  <r>
    <n v="1178"/>
    <x v="65"/>
    <n v="9"/>
    <x v="12"/>
    <s v="123 9th Street"/>
    <x v="11"/>
    <x v="11"/>
    <n v="99999"/>
    <s v="USA"/>
    <x v="7"/>
    <x v="0"/>
    <d v="2014-06-11T00:00:00"/>
    <s v="Shipping Company A"/>
    <s v="Sven Mortensen"/>
    <s v="123 9th Street"/>
    <x v="11"/>
    <s v="UT"/>
    <n v="99999"/>
    <x v="0"/>
    <s v="Check"/>
    <s v="Clam Chowder"/>
    <x v="4"/>
    <n v="9.65"/>
    <n v="76"/>
    <x v="145"/>
    <n v="72.6066"/>
  </r>
  <r>
    <n v="1179"/>
    <x v="66"/>
    <n v="6"/>
    <x v="6"/>
    <s v="123 6th Street"/>
    <x v="5"/>
    <x v="5"/>
    <n v="99999"/>
    <s v="USA"/>
    <x v="4"/>
    <x v="2"/>
    <d v="2014-06-08T00:00:00"/>
    <s v="Shipping Company B"/>
    <s v="Francisco Pérez-Olaeta"/>
    <s v="123 6th Street"/>
    <x v="5"/>
    <s v="WI"/>
    <n v="99999"/>
    <x v="0"/>
    <s v="Credit Card"/>
    <s v="Chocolate"/>
    <x v="3"/>
    <n v="12.75"/>
    <n v="96"/>
    <x v="146"/>
    <n v="123.62400000000001"/>
  </r>
  <r>
    <n v="1180"/>
    <x v="67"/>
    <n v="8"/>
    <x v="3"/>
    <s v="123 8th Street"/>
    <x v="2"/>
    <x v="2"/>
    <n v="99999"/>
    <s v="USA"/>
    <x v="2"/>
    <x v="2"/>
    <d v="2014-06-10T00:00:00"/>
    <s v="Shipping Company B"/>
    <s v="Elizabeth Andersen"/>
    <s v="123 8th Street"/>
    <x v="2"/>
    <s v="OR"/>
    <n v="99999"/>
    <x v="0"/>
    <s v="Check"/>
    <s v="Chocolate"/>
    <x v="3"/>
    <n v="12.75"/>
    <n v="92"/>
    <x v="147"/>
    <n v="116.12700000000001"/>
  </r>
  <r>
    <n v="1181"/>
    <x v="68"/>
    <n v="25"/>
    <x v="13"/>
    <s v="789 25th Street"/>
    <x v="7"/>
    <x v="7"/>
    <n v="99999"/>
    <s v="USA"/>
    <x v="6"/>
    <x v="1"/>
    <d v="2014-06-27T00:00:00"/>
    <s v="Shipping Company A"/>
    <s v="John Rodman"/>
    <s v="789 25th Street"/>
    <x v="7"/>
    <s v="IL"/>
    <n v="99999"/>
    <x v="0"/>
    <s v="Cash"/>
    <s v="Cajun Seasoning"/>
    <x v="7"/>
    <n v="22"/>
    <n v="93"/>
    <x v="148"/>
    <n v="200.50800000000001"/>
  </r>
  <r>
    <n v="1182"/>
    <x v="69"/>
    <n v="26"/>
    <x v="14"/>
    <s v="789 26th Street"/>
    <x v="9"/>
    <x v="9"/>
    <n v="99999"/>
    <s v="USA"/>
    <x v="5"/>
    <x v="3"/>
    <d v="2014-06-28T00:00:00"/>
    <s v="Shipping Company C"/>
    <s v="Run Liu"/>
    <s v="789 26th Street"/>
    <x v="9"/>
    <s v="FL"/>
    <n v="99999"/>
    <x v="0"/>
    <s v="Credit Card"/>
    <s v="Boysenberry Spread"/>
    <x v="6"/>
    <n v="25"/>
    <n v="18"/>
    <x v="149"/>
    <n v="42.75"/>
  </r>
  <r>
    <n v="1183"/>
    <x v="70"/>
    <n v="29"/>
    <x v="4"/>
    <s v="789 29th Street"/>
    <x v="3"/>
    <x v="3"/>
    <n v="99999"/>
    <s v="USA"/>
    <x v="3"/>
    <x v="0"/>
    <d v="2014-07-01T00:00:00"/>
    <s v="Shipping Company B"/>
    <s v="Soo Jung Lee"/>
    <s v="789 29th Street"/>
    <x v="3"/>
    <s v="CO"/>
    <n v="99999"/>
    <x v="0"/>
    <s v="Check"/>
    <s v="Fruit Cocktail"/>
    <x v="12"/>
    <n v="39"/>
    <n v="98"/>
    <x v="150"/>
    <n v="397.48800000000006"/>
  </r>
  <r>
    <n v="1184"/>
    <x v="66"/>
    <n v="6"/>
    <x v="6"/>
    <s v="123 6th Street"/>
    <x v="5"/>
    <x v="5"/>
    <n v="99999"/>
    <s v="USA"/>
    <x v="4"/>
    <x v="2"/>
    <d v="2014-06-08T00:00:00"/>
    <s v="Shipping Company C"/>
    <s v="Francisco Pérez-Olaeta"/>
    <s v="123 6th Street"/>
    <x v="5"/>
    <s v="WI"/>
    <n v="99999"/>
    <x v="0"/>
    <s v="Check"/>
    <s v="Dried Pears"/>
    <x v="1"/>
    <n v="30"/>
    <n v="46"/>
    <x v="65"/>
    <n v="135.24"/>
  </r>
  <r>
    <n v="1185"/>
    <x v="66"/>
    <n v="6"/>
    <x v="6"/>
    <s v="123 6th Street"/>
    <x v="5"/>
    <x v="5"/>
    <n v="99999"/>
    <s v="USA"/>
    <x v="4"/>
    <x v="2"/>
    <d v="2014-06-08T00:00:00"/>
    <s v="Shipping Company C"/>
    <s v="Francisco Pérez-Olaeta"/>
    <s v="123 6th Street"/>
    <x v="5"/>
    <s v="WI"/>
    <n v="99999"/>
    <x v="0"/>
    <s v="Check"/>
    <s v="Dried Apples"/>
    <x v="1"/>
    <n v="53"/>
    <n v="14"/>
    <x v="48"/>
    <n v="74.2"/>
  </r>
  <r>
    <n v="1186"/>
    <x v="71"/>
    <n v="4"/>
    <x v="1"/>
    <s v="123 4th Street"/>
    <x v="1"/>
    <x v="1"/>
    <n v="99999"/>
    <s v="USA"/>
    <x v="1"/>
    <x v="1"/>
    <m/>
    <m/>
    <s v="Christina Lee"/>
    <s v="123 4th Street"/>
    <x v="1"/>
    <s v="NY"/>
    <n v="99999"/>
    <x v="0"/>
    <m/>
    <s v="Gnocchi"/>
    <x v="9"/>
    <n v="38"/>
    <n v="85"/>
    <x v="151"/>
    <n v="319.77"/>
  </r>
  <r>
    <n v="1187"/>
    <x v="72"/>
    <n v="3"/>
    <x v="5"/>
    <s v="123 3rd Street"/>
    <x v="4"/>
    <x v="4"/>
    <n v="99999"/>
    <s v="USA"/>
    <x v="0"/>
    <x v="0"/>
    <m/>
    <m/>
    <s v="Thomas Axerr"/>
    <s v="123 3rd Street"/>
    <x v="4"/>
    <s v="CA"/>
    <n v="99999"/>
    <x v="0"/>
    <m/>
    <s v="Green Tea"/>
    <x v="0"/>
    <n v="2.99"/>
    <n v="88"/>
    <x v="76"/>
    <n v="25.522639999999999"/>
  </r>
  <r>
    <n v="1188"/>
    <x v="73"/>
    <n v="1"/>
    <x v="11"/>
    <s v="123 1st Street"/>
    <x v="10"/>
    <x v="10"/>
    <n v="99999"/>
    <s v="USA"/>
    <x v="2"/>
    <x v="2"/>
    <m/>
    <m/>
    <s v="Anna Bedecs"/>
    <s v="123 1st Street"/>
    <x v="10"/>
    <s v="WA"/>
    <n v="99999"/>
    <x v="0"/>
    <m/>
    <s v="Green Tea"/>
    <x v="0"/>
    <n v="2.99"/>
    <n v="81"/>
    <x v="152"/>
    <n v="23.976810000000004"/>
  </r>
  <r>
    <n v="1189"/>
    <x v="74"/>
    <n v="28"/>
    <x v="7"/>
    <s v="789 28th Street"/>
    <x v="6"/>
    <x v="6"/>
    <n v="99999"/>
    <s v="USA"/>
    <x v="5"/>
    <x v="3"/>
    <d v="2014-07-30T00:00:00"/>
    <s v="Shipping Company C"/>
    <s v="Amritansh Raghav"/>
    <s v="789 28th Street"/>
    <x v="6"/>
    <s v="TN"/>
    <n v="99999"/>
    <x v="0"/>
    <s v="Credit Card"/>
    <s v="Clam Chowder"/>
    <x v="4"/>
    <n v="9.65"/>
    <n v="33"/>
    <x v="153"/>
    <n v="30.252749999999999"/>
  </r>
  <r>
    <n v="1190"/>
    <x v="74"/>
    <n v="28"/>
    <x v="7"/>
    <s v="789 28th Street"/>
    <x v="6"/>
    <x v="6"/>
    <n v="99999"/>
    <s v="USA"/>
    <x v="5"/>
    <x v="3"/>
    <d v="2014-07-30T00:00:00"/>
    <s v="Shipping Company C"/>
    <s v="Amritansh Raghav"/>
    <s v="789 28th Street"/>
    <x v="6"/>
    <s v="TN"/>
    <n v="99999"/>
    <x v="0"/>
    <s v="Credit Card"/>
    <s v="Crab Meat"/>
    <x v="8"/>
    <n v="18.399999999999999"/>
    <n v="47"/>
    <x v="154"/>
    <n v="90.804000000000002"/>
  </r>
  <r>
    <n v="1191"/>
    <x v="75"/>
    <n v="9"/>
    <x v="12"/>
    <s v="123 9th Street"/>
    <x v="11"/>
    <x v="11"/>
    <n v="99999"/>
    <s v="USA"/>
    <x v="7"/>
    <x v="0"/>
    <d v="2014-07-11T00:00:00"/>
    <s v="Shipping Company A"/>
    <s v="Sven Mortensen"/>
    <s v="123 9th Street"/>
    <x v="11"/>
    <s v="UT"/>
    <n v="99999"/>
    <x v="0"/>
    <s v="Check"/>
    <s v="Ravioli"/>
    <x v="9"/>
    <n v="19.5"/>
    <n v="61"/>
    <x v="155"/>
    <n v="123.70800000000001"/>
  </r>
  <r>
    <n v="1192"/>
    <x v="75"/>
    <n v="9"/>
    <x v="12"/>
    <s v="123 9th Street"/>
    <x v="11"/>
    <x v="11"/>
    <n v="99999"/>
    <s v="USA"/>
    <x v="7"/>
    <x v="0"/>
    <d v="2014-07-11T00:00:00"/>
    <s v="Shipping Company A"/>
    <s v="Sven Mortensen"/>
    <s v="123 9th Street"/>
    <x v="11"/>
    <s v="UT"/>
    <n v="99999"/>
    <x v="0"/>
    <s v="Check"/>
    <s v="Mozzarella"/>
    <x v="10"/>
    <n v="34.799999999999997"/>
    <n v="27"/>
    <x v="156"/>
    <n v="95.839199999999991"/>
  </r>
  <r>
    <n v="1193"/>
    <x v="76"/>
    <n v="6"/>
    <x v="6"/>
    <s v="123 6th Street"/>
    <x v="5"/>
    <x v="5"/>
    <n v="99999"/>
    <s v="USA"/>
    <x v="4"/>
    <x v="2"/>
    <d v="2014-07-08T00:00:00"/>
    <s v="Shipping Company B"/>
    <s v="Francisco Pérez-Olaeta"/>
    <s v="123 6th Street"/>
    <x v="5"/>
    <s v="WI"/>
    <n v="99999"/>
    <x v="0"/>
    <s v="Credit Card"/>
    <s v="Beer"/>
    <x v="0"/>
    <n v="14"/>
    <n v="84"/>
    <x v="102"/>
    <n v="118.77600000000001"/>
  </r>
  <r>
    <n v="1194"/>
    <x v="77"/>
    <n v="8"/>
    <x v="3"/>
    <s v="123 8th Street"/>
    <x v="2"/>
    <x v="2"/>
    <n v="99999"/>
    <s v="USA"/>
    <x v="2"/>
    <x v="2"/>
    <d v="2014-07-10T00:00:00"/>
    <s v="Shipping Company B"/>
    <s v="Elizabeth Andersen"/>
    <s v="123 8th Street"/>
    <x v="2"/>
    <s v="OR"/>
    <n v="99999"/>
    <x v="0"/>
    <s v="Check"/>
    <s v="Curry Sauce"/>
    <x v="5"/>
    <n v="40"/>
    <n v="91"/>
    <x v="157"/>
    <n v="360.36"/>
  </r>
  <r>
    <n v="1195"/>
    <x v="77"/>
    <n v="8"/>
    <x v="3"/>
    <s v="123 8th Street"/>
    <x v="2"/>
    <x v="2"/>
    <n v="99999"/>
    <s v="USA"/>
    <x v="2"/>
    <x v="2"/>
    <d v="2014-07-10T00:00:00"/>
    <s v="Shipping Company B"/>
    <s v="Elizabeth Andersen"/>
    <s v="123 8th Street"/>
    <x v="2"/>
    <s v="OR"/>
    <n v="99999"/>
    <x v="0"/>
    <s v="Check"/>
    <s v="Chocolate Biscuits Mix"/>
    <x v="2"/>
    <n v="9.1999999999999993"/>
    <n v="36"/>
    <x v="158"/>
    <n v="34.444800000000001"/>
  </r>
  <r>
    <n v="1196"/>
    <x v="78"/>
    <n v="25"/>
    <x v="13"/>
    <s v="789 25th Street"/>
    <x v="7"/>
    <x v="7"/>
    <n v="99999"/>
    <s v="USA"/>
    <x v="6"/>
    <x v="1"/>
    <n v="41847"/>
    <s v="Shipping Company A"/>
    <s v="John Rodman"/>
    <s v="789 25th Street"/>
    <x v="7"/>
    <s v="IL"/>
    <n v="99999"/>
    <x v="0"/>
    <s v="Cash"/>
    <s v="Scones"/>
    <x v="2"/>
    <n v="10"/>
    <n v="34"/>
    <x v="159"/>
    <n v="34.340000000000003"/>
  </r>
  <r>
    <n v="1197"/>
    <x v="79"/>
    <n v="26"/>
    <x v="14"/>
    <s v="789 26th Street"/>
    <x v="9"/>
    <x v="9"/>
    <n v="99999"/>
    <s v="USA"/>
    <x v="5"/>
    <x v="3"/>
    <n v="41848"/>
    <s v="Shipping Company C"/>
    <s v="Run Liu"/>
    <s v="789 26th Street"/>
    <x v="9"/>
    <s v="FL"/>
    <n v="99999"/>
    <x v="0"/>
    <s v="Credit Card"/>
    <s v="Olive Oil"/>
    <x v="13"/>
    <n v="21.35"/>
    <n v="81"/>
    <x v="160"/>
    <n v="178.12305000000003"/>
  </r>
  <r>
    <n v="1198"/>
    <x v="79"/>
    <n v="26"/>
    <x v="14"/>
    <s v="789 26th Street"/>
    <x v="9"/>
    <x v="9"/>
    <n v="99999"/>
    <s v="USA"/>
    <x v="5"/>
    <x v="3"/>
    <n v="41848"/>
    <s v="Shipping Company C"/>
    <s v="Run Liu"/>
    <s v="789 26th Street"/>
    <x v="9"/>
    <s v="FL"/>
    <n v="99999"/>
    <x v="0"/>
    <s v="Credit Card"/>
    <s v="Clam Chowder"/>
    <x v="4"/>
    <n v="9.65"/>
    <n v="25"/>
    <x v="161"/>
    <n v="23.401250000000001"/>
  </r>
  <r>
    <n v="1199"/>
    <x v="79"/>
    <n v="26"/>
    <x v="14"/>
    <s v="789 26th Street"/>
    <x v="9"/>
    <x v="9"/>
    <n v="99999"/>
    <s v="USA"/>
    <x v="5"/>
    <x v="3"/>
    <n v="41848"/>
    <s v="Shipping Company C"/>
    <s v="Run Liu"/>
    <s v="789 26th Street"/>
    <x v="9"/>
    <s v="FL"/>
    <n v="99999"/>
    <x v="0"/>
    <s v="Credit Card"/>
    <s v="Crab Meat"/>
    <x v="8"/>
    <n v="18.399999999999999"/>
    <n v="12"/>
    <x v="162"/>
    <n v="22.08"/>
  </r>
  <r>
    <n v="1200"/>
    <x v="80"/>
    <n v="29"/>
    <x v="4"/>
    <s v="789 29th Street"/>
    <x v="3"/>
    <x v="3"/>
    <n v="99999"/>
    <s v="USA"/>
    <x v="3"/>
    <x v="0"/>
    <d v="2014-07-31T00:00:00"/>
    <s v="Shipping Company B"/>
    <s v="Soo Jung Lee"/>
    <s v="789 29th Street"/>
    <x v="3"/>
    <s v="CO"/>
    <n v="99999"/>
    <x v="0"/>
    <s v="Check"/>
    <s v="Beer"/>
    <x v="0"/>
    <n v="14"/>
    <n v="23"/>
    <x v="163"/>
    <n v="30.912000000000003"/>
  </r>
  <r>
    <n v="1201"/>
    <x v="76"/>
    <n v="6"/>
    <x v="6"/>
    <s v="123 6th Street"/>
    <x v="5"/>
    <x v="5"/>
    <n v="99999"/>
    <s v="USA"/>
    <x v="4"/>
    <x v="2"/>
    <d v="2014-07-08T00:00:00"/>
    <s v="Shipping Company C"/>
    <s v="Francisco Pérez-Olaeta"/>
    <s v="123 6th Street"/>
    <x v="5"/>
    <s v="WI"/>
    <n v="99999"/>
    <x v="0"/>
    <s v="Check"/>
    <s v="Chocolate"/>
    <x v="3"/>
    <n v="12.75"/>
    <n v="76"/>
    <x v="164"/>
    <n v="97.869"/>
  </r>
  <r>
    <n v="1203"/>
    <x v="81"/>
    <n v="4"/>
    <x v="1"/>
    <s v="123 4th Street"/>
    <x v="1"/>
    <x v="1"/>
    <n v="99999"/>
    <s v="USA"/>
    <x v="1"/>
    <x v="1"/>
    <d v="2014-07-06T00:00:00"/>
    <s v="Shipping Company A"/>
    <s v="Christina Lee"/>
    <s v="123 4th Street"/>
    <x v="1"/>
    <s v="NY"/>
    <n v="99999"/>
    <x v="0"/>
    <s v="Credit Card"/>
    <s v="Marmalade"/>
    <x v="6"/>
    <n v="81"/>
    <n v="55"/>
    <x v="165"/>
    <n v="445.5"/>
  </r>
  <r>
    <n v="1204"/>
    <x v="81"/>
    <n v="4"/>
    <x v="1"/>
    <s v="123 4th Street"/>
    <x v="1"/>
    <x v="1"/>
    <n v="99999"/>
    <s v="USA"/>
    <x v="1"/>
    <x v="1"/>
    <d v="2014-07-06T00:00:00"/>
    <s v="Shipping Company A"/>
    <s v="Christina Lee"/>
    <s v="123 4th Street"/>
    <x v="1"/>
    <s v="NY"/>
    <n v="99999"/>
    <x v="0"/>
    <s v="Credit Card"/>
    <s v="Long Grain Rice"/>
    <x v="14"/>
    <n v="7"/>
    <n v="19"/>
    <x v="166"/>
    <n v="12.901"/>
  </r>
  <r>
    <n v="1206"/>
    <x v="77"/>
    <n v="8"/>
    <x v="3"/>
    <s v="123 8th Street"/>
    <x v="2"/>
    <x v="2"/>
    <n v="99999"/>
    <s v="USA"/>
    <x v="2"/>
    <x v="2"/>
    <d v="2014-07-10T00:00:00"/>
    <s v="Shipping Company C"/>
    <s v="Elizabeth Andersen"/>
    <s v="123 8th Street"/>
    <x v="2"/>
    <s v="OR"/>
    <n v="99999"/>
    <x v="0"/>
    <s v="Credit Card"/>
    <s v="Mozzarella"/>
    <x v="10"/>
    <n v="34.799999999999997"/>
    <n v="27"/>
    <x v="156"/>
    <n v="89.261999999999986"/>
  </r>
  <r>
    <n v="1209"/>
    <x v="82"/>
    <n v="3"/>
    <x v="5"/>
    <s v="123 3rd Street"/>
    <x v="4"/>
    <x v="4"/>
    <n v="99999"/>
    <s v="USA"/>
    <x v="0"/>
    <x v="0"/>
    <d v="2014-07-05T00:00:00"/>
    <s v="Shipping Company B"/>
    <s v="Thomas Axerr"/>
    <s v="123 3rd Street"/>
    <x v="4"/>
    <s v="CA"/>
    <n v="99999"/>
    <x v="0"/>
    <s v="Cash"/>
    <s v="Syrup"/>
    <x v="7"/>
    <n v="10"/>
    <n v="99"/>
    <x v="82"/>
    <n v="95.039999999999992"/>
  </r>
  <r>
    <n v="1210"/>
    <x v="82"/>
    <n v="3"/>
    <x v="5"/>
    <s v="123 3rd Street"/>
    <x v="4"/>
    <x v="4"/>
    <n v="99999"/>
    <s v="USA"/>
    <x v="0"/>
    <x v="0"/>
    <d v="2014-07-05T00:00:00"/>
    <s v="Shipping Company B"/>
    <s v="Thomas Axerr"/>
    <s v="123 3rd Street"/>
    <x v="4"/>
    <s v="CA"/>
    <n v="99999"/>
    <x v="0"/>
    <s v="Cash"/>
    <s v="Curry Sauce"/>
    <x v="5"/>
    <n v="40"/>
    <n v="10"/>
    <x v="167"/>
    <n v="40"/>
  </r>
  <r>
    <n v="1214"/>
    <x v="83"/>
    <n v="10"/>
    <x v="8"/>
    <s v="123 10th Street"/>
    <x v="7"/>
    <x v="7"/>
    <n v="99999"/>
    <s v="USA"/>
    <x v="6"/>
    <x v="1"/>
    <d v="2014-07-12T00:00:00"/>
    <s v="Shipping Company B"/>
    <s v="Roland Wacker"/>
    <s v="123 10th Street"/>
    <x v="7"/>
    <s v="IL"/>
    <n v="99999"/>
    <x v="0"/>
    <s v="Credit Card"/>
    <s v="Almonds"/>
    <x v="1"/>
    <n v="10"/>
    <n v="80"/>
    <x v="168"/>
    <n v="77.599999999999994"/>
  </r>
  <r>
    <n v="1216"/>
    <x v="83"/>
    <n v="10"/>
    <x v="8"/>
    <s v="123 10th Street"/>
    <x v="7"/>
    <x v="7"/>
    <n v="99999"/>
    <s v="USA"/>
    <x v="6"/>
    <x v="1"/>
    <m/>
    <s v="Shipping Company A"/>
    <s v="Roland Wacker"/>
    <s v="123 10th Street"/>
    <x v="7"/>
    <s v="IL"/>
    <n v="99999"/>
    <x v="0"/>
    <m/>
    <s v="Dried Plums"/>
    <x v="1"/>
    <n v="3.5"/>
    <n v="27"/>
    <x v="169"/>
    <n v="9.072000000000001"/>
  </r>
  <r>
    <n v="1217"/>
    <x v="84"/>
    <n v="11"/>
    <x v="10"/>
    <s v="123 11th Street"/>
    <x v="9"/>
    <x v="9"/>
    <n v="99999"/>
    <s v="USA"/>
    <x v="5"/>
    <x v="3"/>
    <m/>
    <s v="Shipping Company C"/>
    <s v="Peter Krschne"/>
    <s v="123 11th Street"/>
    <x v="9"/>
    <s v="FL"/>
    <n v="99999"/>
    <x v="0"/>
    <m/>
    <s v="Curry Sauce"/>
    <x v="5"/>
    <n v="40"/>
    <n v="97"/>
    <x v="170"/>
    <n v="380.24"/>
  </r>
  <r>
    <n v="1218"/>
    <x v="73"/>
    <n v="1"/>
    <x v="11"/>
    <s v="123 1st Street"/>
    <x v="10"/>
    <x v="10"/>
    <n v="99999"/>
    <s v="USA"/>
    <x v="2"/>
    <x v="2"/>
    <m/>
    <s v="Shipping Company C"/>
    <s v="Anna Bedecs"/>
    <s v="123 1st Street"/>
    <x v="10"/>
    <s v="WA"/>
    <n v="99999"/>
    <x v="0"/>
    <m/>
    <s v="Crab Meat"/>
    <x v="8"/>
    <n v="18.399999999999999"/>
    <n v="42"/>
    <x v="171"/>
    <n v="80.371200000000002"/>
  </r>
  <r>
    <n v="1219"/>
    <x v="74"/>
    <n v="28"/>
    <x v="7"/>
    <s v="789 28th Street"/>
    <x v="6"/>
    <x v="6"/>
    <n v="99999"/>
    <s v="USA"/>
    <x v="5"/>
    <x v="3"/>
    <n v="41850"/>
    <s v="Shipping Company C"/>
    <s v="Amritansh Raghav"/>
    <s v="789 28th Street"/>
    <x v="6"/>
    <s v="TN"/>
    <n v="99999"/>
    <x v="0"/>
    <s v="Credit Card"/>
    <s v="Coffee"/>
    <x v="0"/>
    <n v="46"/>
    <n v="24"/>
    <x v="15"/>
    <n v="105.98399999999999"/>
  </r>
  <r>
    <n v="1220"/>
    <x v="75"/>
    <n v="9"/>
    <x v="12"/>
    <s v="123 9th Street"/>
    <x v="11"/>
    <x v="11"/>
    <n v="99999"/>
    <s v="USA"/>
    <x v="7"/>
    <x v="0"/>
    <d v="2014-07-11T00:00:00"/>
    <s v="Shipping Company A"/>
    <s v="Sven Mortensen"/>
    <s v="123 9th Street"/>
    <x v="11"/>
    <s v="UT"/>
    <n v="99999"/>
    <x v="0"/>
    <s v="Check"/>
    <s v="Clam Chowder"/>
    <x v="4"/>
    <n v="9.65"/>
    <n v="90"/>
    <x v="172"/>
    <n v="83.376000000000005"/>
  </r>
  <r>
    <n v="1221"/>
    <x v="76"/>
    <n v="6"/>
    <x v="6"/>
    <s v="123 6th Street"/>
    <x v="5"/>
    <x v="5"/>
    <n v="99999"/>
    <s v="USA"/>
    <x v="4"/>
    <x v="2"/>
    <d v="2014-07-08T00:00:00"/>
    <s v="Shipping Company B"/>
    <s v="Francisco Pérez-Olaeta"/>
    <s v="123 6th Street"/>
    <x v="5"/>
    <s v="WI"/>
    <n v="99999"/>
    <x v="0"/>
    <s v="Credit Card"/>
    <s v="Chocolate"/>
    <x v="3"/>
    <n v="12.75"/>
    <n v="28"/>
    <x v="173"/>
    <n v="35.700000000000003"/>
  </r>
  <r>
    <n v="1222"/>
    <x v="85"/>
    <n v="28"/>
    <x v="7"/>
    <s v="789 28th Street"/>
    <x v="6"/>
    <x v="6"/>
    <n v="99999"/>
    <s v="USA"/>
    <x v="5"/>
    <x v="3"/>
    <d v="2014-08-30T00:00:00"/>
    <s v="Shipping Company C"/>
    <s v="Amritansh Raghav"/>
    <s v="789 28th Street"/>
    <x v="6"/>
    <s v="TN"/>
    <n v="99999"/>
    <x v="0"/>
    <s v="Check"/>
    <s v="Coffee"/>
    <x v="0"/>
    <n v="46"/>
    <n v="28"/>
    <x v="174"/>
    <n v="133.95200000000003"/>
  </r>
  <r>
    <n v="1223"/>
    <x v="86"/>
    <n v="8"/>
    <x v="3"/>
    <s v="123 8th Street"/>
    <x v="2"/>
    <x v="2"/>
    <n v="99999"/>
    <s v="USA"/>
    <x v="2"/>
    <x v="2"/>
    <d v="2014-08-10T00:00:00"/>
    <s v="Shipping Company C"/>
    <s v="Elizabeth Andersen"/>
    <s v="123 8th Street"/>
    <x v="2"/>
    <s v="OR"/>
    <n v="99999"/>
    <x v="0"/>
    <s v="Check"/>
    <s v="Chocolate"/>
    <x v="3"/>
    <n v="12.75"/>
    <n v="57"/>
    <x v="175"/>
    <n v="69.768000000000001"/>
  </r>
  <r>
    <n v="1224"/>
    <x v="87"/>
    <n v="10"/>
    <x v="8"/>
    <s v="123 10th Street"/>
    <x v="7"/>
    <x v="7"/>
    <n v="99999"/>
    <s v="USA"/>
    <x v="6"/>
    <x v="1"/>
    <d v="2014-08-12T00:00:00"/>
    <s v="Shipping Company B"/>
    <s v="Roland Wacker"/>
    <s v="123 10th Street"/>
    <x v="7"/>
    <s v="IL"/>
    <n v="99999"/>
    <x v="0"/>
    <s v="Credit Card"/>
    <s v="Green Tea"/>
    <x v="0"/>
    <n v="2.99"/>
    <n v="23"/>
    <x v="176"/>
    <n v="6.6706900000000013"/>
  </r>
  <r>
    <n v="1225"/>
    <x v="88"/>
    <n v="7"/>
    <x v="9"/>
    <s v="123 7th Street"/>
    <x v="8"/>
    <x v="8"/>
    <n v="99999"/>
    <s v="USA"/>
    <x v="2"/>
    <x v="2"/>
    <m/>
    <m/>
    <s v="Ming-Yang Xie"/>
    <s v="123 7th Street"/>
    <x v="8"/>
    <s v="ID"/>
    <n v="99999"/>
    <x v="0"/>
    <m/>
    <s v="Coffee"/>
    <x v="0"/>
    <n v="46"/>
    <n v="86"/>
    <x v="177"/>
    <n v="399.55600000000004"/>
  </r>
  <r>
    <n v="1226"/>
    <x v="87"/>
    <n v="10"/>
    <x v="8"/>
    <s v="123 10th Street"/>
    <x v="7"/>
    <x v="7"/>
    <n v="99999"/>
    <s v="USA"/>
    <x v="6"/>
    <x v="1"/>
    <d v="2014-08-12T00:00:00"/>
    <s v="Shipping Company A"/>
    <s v="Roland Wacker"/>
    <s v="123 10th Street"/>
    <x v="7"/>
    <s v="IL"/>
    <n v="99999"/>
    <x v="0"/>
    <m/>
    <s v="Boysenberry Spread"/>
    <x v="6"/>
    <n v="25"/>
    <n v="47"/>
    <x v="178"/>
    <n v="116.325"/>
  </r>
  <r>
    <n v="1227"/>
    <x v="87"/>
    <n v="10"/>
    <x v="8"/>
    <s v="123 10th Street"/>
    <x v="7"/>
    <x v="7"/>
    <n v="99999"/>
    <s v="USA"/>
    <x v="6"/>
    <x v="1"/>
    <d v="2014-08-12T00:00:00"/>
    <s v="Shipping Company A"/>
    <s v="Roland Wacker"/>
    <s v="123 10th Street"/>
    <x v="7"/>
    <s v="IL"/>
    <n v="99999"/>
    <x v="0"/>
    <m/>
    <s v="Cajun Seasoning"/>
    <x v="7"/>
    <n v="22"/>
    <n v="97"/>
    <x v="179"/>
    <n v="221.93600000000001"/>
  </r>
  <r>
    <n v="1228"/>
    <x v="87"/>
    <n v="10"/>
    <x v="8"/>
    <s v="123 10th Street"/>
    <x v="7"/>
    <x v="7"/>
    <n v="99999"/>
    <s v="USA"/>
    <x v="6"/>
    <x v="1"/>
    <d v="2014-08-12T00:00:00"/>
    <s v="Shipping Company A"/>
    <s v="Roland Wacker"/>
    <s v="123 10th Street"/>
    <x v="7"/>
    <s v="IL"/>
    <n v="99999"/>
    <x v="0"/>
    <m/>
    <s v="Chocolate Biscuits Mix"/>
    <x v="2"/>
    <n v="9.1999999999999993"/>
    <n v="96"/>
    <x v="180"/>
    <n v="86.553599999999989"/>
  </r>
  <r>
    <n v="1229"/>
    <x v="89"/>
    <n v="11"/>
    <x v="10"/>
    <s v="123 11th Street"/>
    <x v="9"/>
    <x v="9"/>
    <n v="99999"/>
    <s v="USA"/>
    <x v="5"/>
    <x v="3"/>
    <m/>
    <s v="Shipping Company C"/>
    <s v="Peter Krschne"/>
    <s v="123 11th Street"/>
    <x v="9"/>
    <s v="FL"/>
    <n v="99999"/>
    <x v="0"/>
    <m/>
    <s v="Dried Plums"/>
    <x v="1"/>
    <n v="3.5"/>
    <n v="31"/>
    <x v="181"/>
    <n v="10.850000000000001"/>
  </r>
  <r>
    <n v="1230"/>
    <x v="89"/>
    <n v="11"/>
    <x v="10"/>
    <s v="123 11th Street"/>
    <x v="9"/>
    <x v="9"/>
    <n v="99999"/>
    <s v="USA"/>
    <x v="5"/>
    <x v="3"/>
    <m/>
    <s v="Shipping Company C"/>
    <s v="Peter Krschne"/>
    <s v="123 11th Street"/>
    <x v="9"/>
    <s v="FL"/>
    <n v="99999"/>
    <x v="0"/>
    <m/>
    <s v="Green Tea"/>
    <x v="0"/>
    <n v="2.99"/>
    <n v="52"/>
    <x v="182"/>
    <n v="16.014440000000004"/>
  </r>
  <r>
    <n v="1231"/>
    <x v="90"/>
    <n v="1"/>
    <x v="11"/>
    <s v="123 1st Street"/>
    <x v="10"/>
    <x v="10"/>
    <n v="99999"/>
    <s v="USA"/>
    <x v="2"/>
    <x v="2"/>
    <m/>
    <m/>
    <s v="Anna Bedecs"/>
    <s v="123 1st Street"/>
    <x v="10"/>
    <s v="WA"/>
    <n v="99999"/>
    <x v="0"/>
    <m/>
    <s v="Chai"/>
    <x v="0"/>
    <n v="18"/>
    <n v="91"/>
    <x v="183"/>
    <n v="158.886"/>
  </r>
  <r>
    <n v="1232"/>
    <x v="90"/>
    <n v="1"/>
    <x v="11"/>
    <s v="123 1st Street"/>
    <x v="10"/>
    <x v="10"/>
    <n v="99999"/>
    <s v="USA"/>
    <x v="2"/>
    <x v="2"/>
    <m/>
    <m/>
    <s v="Anna Bedecs"/>
    <s v="123 1st Street"/>
    <x v="10"/>
    <s v="WA"/>
    <n v="99999"/>
    <x v="0"/>
    <m/>
    <s v="Coffee"/>
    <x v="0"/>
    <n v="46"/>
    <n v="14"/>
    <x v="184"/>
    <n v="63.756000000000007"/>
  </r>
  <r>
    <n v="1233"/>
    <x v="90"/>
    <n v="1"/>
    <x v="11"/>
    <s v="123 1st Street"/>
    <x v="10"/>
    <x v="10"/>
    <n v="99999"/>
    <s v="USA"/>
    <x v="2"/>
    <x v="2"/>
    <m/>
    <m/>
    <s v="Anna Bedecs"/>
    <s v="123 1st Street"/>
    <x v="10"/>
    <s v="WA"/>
    <n v="99999"/>
    <x v="0"/>
    <m/>
    <s v="Green Tea"/>
    <x v="0"/>
    <n v="2.99"/>
    <n v="44"/>
    <x v="185"/>
    <n v="13.287560000000001"/>
  </r>
  <r>
    <n v="1234"/>
    <x v="85"/>
    <n v="28"/>
    <x v="7"/>
    <s v="789 28th Street"/>
    <x v="6"/>
    <x v="6"/>
    <n v="99999"/>
    <s v="USA"/>
    <x v="5"/>
    <x v="3"/>
    <d v="2014-08-30T00:00:00"/>
    <s v="Shipping Company C"/>
    <s v="Amritansh Raghav"/>
    <s v="789 28th Street"/>
    <x v="6"/>
    <s v="TN"/>
    <n v="99999"/>
    <x v="0"/>
    <s v="Credit Card"/>
    <s v="Clam Chowder"/>
    <x v="4"/>
    <n v="9.65"/>
    <n v="97"/>
    <x v="53"/>
    <n v="95.477100000000021"/>
  </r>
  <r>
    <n v="1235"/>
    <x v="85"/>
    <n v="28"/>
    <x v="7"/>
    <s v="789 28th Street"/>
    <x v="6"/>
    <x v="6"/>
    <n v="99999"/>
    <s v="USA"/>
    <x v="5"/>
    <x v="3"/>
    <d v="2014-08-30T00:00:00"/>
    <s v="Shipping Company C"/>
    <s v="Amritansh Raghav"/>
    <s v="789 28th Street"/>
    <x v="6"/>
    <s v="TN"/>
    <n v="99999"/>
    <x v="0"/>
    <s v="Credit Card"/>
    <s v="Crab Meat"/>
    <x v="8"/>
    <n v="18.399999999999999"/>
    <n v="80"/>
    <x v="36"/>
    <n v="150.14400000000003"/>
  </r>
  <r>
    <n v="1236"/>
    <x v="91"/>
    <n v="9"/>
    <x v="12"/>
    <s v="123 9th Street"/>
    <x v="11"/>
    <x v="11"/>
    <n v="99999"/>
    <s v="USA"/>
    <x v="7"/>
    <x v="0"/>
    <d v="2014-08-11T00:00:00"/>
    <s v="Shipping Company A"/>
    <s v="Sven Mortensen"/>
    <s v="123 9th Street"/>
    <x v="11"/>
    <s v="UT"/>
    <n v="99999"/>
    <x v="0"/>
    <s v="Check"/>
    <s v="Ravioli"/>
    <x v="9"/>
    <n v="19.5"/>
    <n v="66"/>
    <x v="186"/>
    <n v="132.56100000000001"/>
  </r>
  <r>
    <n v="1237"/>
    <x v="91"/>
    <n v="9"/>
    <x v="12"/>
    <s v="123 9th Street"/>
    <x v="11"/>
    <x v="11"/>
    <n v="99999"/>
    <s v="USA"/>
    <x v="7"/>
    <x v="0"/>
    <d v="2014-08-11T00:00:00"/>
    <s v="Shipping Company A"/>
    <s v="Sven Mortensen"/>
    <s v="123 9th Street"/>
    <x v="11"/>
    <s v="UT"/>
    <n v="99999"/>
    <x v="0"/>
    <s v="Check"/>
    <s v="Mozzarella"/>
    <x v="10"/>
    <n v="34.799999999999997"/>
    <n v="32"/>
    <x v="187"/>
    <n v="111.36"/>
  </r>
  <r>
    <n v="1238"/>
    <x v="92"/>
    <n v="6"/>
    <x v="6"/>
    <s v="123 6th Street"/>
    <x v="5"/>
    <x v="5"/>
    <n v="99999"/>
    <s v="USA"/>
    <x v="4"/>
    <x v="2"/>
    <d v="2014-08-08T00:00:00"/>
    <s v="Shipping Company B"/>
    <s v="Francisco Pérez-Olaeta"/>
    <s v="123 6th Street"/>
    <x v="5"/>
    <s v="WI"/>
    <n v="99999"/>
    <x v="0"/>
    <s v="Credit Card"/>
    <s v="Beer"/>
    <x v="0"/>
    <n v="14"/>
    <n v="52"/>
    <x v="188"/>
    <n v="72.8"/>
  </r>
  <r>
    <n v="1239"/>
    <x v="86"/>
    <n v="8"/>
    <x v="3"/>
    <s v="123 8th Street"/>
    <x v="2"/>
    <x v="2"/>
    <n v="99999"/>
    <s v="USA"/>
    <x v="2"/>
    <x v="2"/>
    <d v="2014-08-10T00:00:00"/>
    <s v="Shipping Company B"/>
    <s v="Elizabeth Andersen"/>
    <s v="123 8th Street"/>
    <x v="2"/>
    <s v="OR"/>
    <n v="99999"/>
    <x v="0"/>
    <s v="Check"/>
    <s v="Curry Sauce"/>
    <x v="5"/>
    <n v="40"/>
    <n v="78"/>
    <x v="189"/>
    <n v="318.24"/>
  </r>
  <r>
    <n v="1240"/>
    <x v="86"/>
    <n v="8"/>
    <x v="3"/>
    <s v="123 8th Street"/>
    <x v="2"/>
    <x v="2"/>
    <n v="99999"/>
    <s v="USA"/>
    <x v="2"/>
    <x v="2"/>
    <d v="2014-08-10T00:00:00"/>
    <s v="Shipping Company B"/>
    <s v="Elizabeth Andersen"/>
    <s v="123 8th Street"/>
    <x v="2"/>
    <s v="OR"/>
    <n v="99999"/>
    <x v="0"/>
    <s v="Check"/>
    <s v="Chocolate Biscuits Mix"/>
    <x v="2"/>
    <n v="9.1999999999999993"/>
    <n v="54"/>
    <x v="190"/>
    <n v="49.183199999999999"/>
  </r>
  <r>
    <n v="1241"/>
    <x v="93"/>
    <n v="25"/>
    <x v="13"/>
    <s v="789 25th Street"/>
    <x v="7"/>
    <x v="7"/>
    <n v="99999"/>
    <s v="USA"/>
    <x v="6"/>
    <x v="1"/>
    <d v="2014-08-27T00:00:00"/>
    <s v="Shipping Company A"/>
    <s v="John Rodman"/>
    <s v="789 25th Street"/>
    <x v="7"/>
    <s v="IL"/>
    <n v="99999"/>
    <x v="0"/>
    <s v="Cash"/>
    <s v="Scones"/>
    <x v="2"/>
    <n v="10"/>
    <n v="55"/>
    <x v="62"/>
    <n v="52.25"/>
  </r>
  <r>
    <n v="1242"/>
    <x v="94"/>
    <n v="26"/>
    <x v="14"/>
    <s v="789 26th Street"/>
    <x v="9"/>
    <x v="9"/>
    <n v="99999"/>
    <s v="USA"/>
    <x v="5"/>
    <x v="3"/>
    <d v="2014-08-28T00:00:00"/>
    <s v="Shipping Company C"/>
    <s v="Run Liu"/>
    <s v="789 26th Street"/>
    <x v="9"/>
    <s v="FL"/>
    <n v="99999"/>
    <x v="0"/>
    <s v="Credit Card"/>
    <s v="Olive Oil"/>
    <x v="13"/>
    <n v="21.35"/>
    <n v="60"/>
    <x v="191"/>
    <n v="129.381"/>
  </r>
  <r>
    <n v="1243"/>
    <x v="94"/>
    <n v="26"/>
    <x v="14"/>
    <s v="789 26th Street"/>
    <x v="9"/>
    <x v="9"/>
    <n v="99999"/>
    <s v="USA"/>
    <x v="5"/>
    <x v="3"/>
    <d v="2014-08-28T00:00:00"/>
    <s v="Shipping Company C"/>
    <s v="Run Liu"/>
    <s v="789 26th Street"/>
    <x v="9"/>
    <s v="FL"/>
    <n v="99999"/>
    <x v="0"/>
    <s v="Credit Card"/>
    <s v="Clam Chowder"/>
    <x v="4"/>
    <n v="9.65"/>
    <n v="19"/>
    <x v="192"/>
    <n v="17.41825"/>
  </r>
  <r>
    <n v="1244"/>
    <x v="94"/>
    <n v="26"/>
    <x v="14"/>
    <s v="789 26th Street"/>
    <x v="9"/>
    <x v="9"/>
    <n v="99999"/>
    <s v="USA"/>
    <x v="5"/>
    <x v="3"/>
    <d v="2014-08-28T00:00:00"/>
    <s v="Shipping Company C"/>
    <s v="Run Liu"/>
    <s v="789 26th Street"/>
    <x v="9"/>
    <s v="FL"/>
    <n v="99999"/>
    <x v="0"/>
    <s v="Credit Card"/>
    <s v="Crab Meat"/>
    <x v="8"/>
    <n v="18.399999999999999"/>
    <n v="66"/>
    <x v="193"/>
    <n v="125.08320000000001"/>
  </r>
  <r>
    <n v="1245"/>
    <x v="95"/>
    <n v="29"/>
    <x v="4"/>
    <s v="789 29th Street"/>
    <x v="3"/>
    <x v="3"/>
    <n v="99999"/>
    <s v="USA"/>
    <x v="3"/>
    <x v="0"/>
    <d v="2014-08-31T00:00:00"/>
    <s v="Shipping Company B"/>
    <s v="Soo Jung Lee"/>
    <s v="789 29th Street"/>
    <x v="3"/>
    <s v="CO"/>
    <n v="99999"/>
    <x v="0"/>
    <s v="Check"/>
    <s v="Beer"/>
    <x v="0"/>
    <n v="14"/>
    <n v="42"/>
    <x v="194"/>
    <n v="59.388000000000005"/>
  </r>
  <r>
    <n v="1246"/>
    <x v="92"/>
    <n v="6"/>
    <x v="6"/>
    <s v="123 6th Street"/>
    <x v="5"/>
    <x v="5"/>
    <n v="99999"/>
    <s v="USA"/>
    <x v="4"/>
    <x v="2"/>
    <n v="41859"/>
    <s v="Shipping Company C"/>
    <s v="Francisco Pérez-Olaeta"/>
    <s v="123 6th Street"/>
    <x v="5"/>
    <s v="WI"/>
    <n v="99999"/>
    <x v="0"/>
    <s v="Check"/>
    <s v="Chocolate"/>
    <x v="3"/>
    <n v="12.75"/>
    <n v="72"/>
    <x v="195"/>
    <n v="89.046000000000006"/>
  </r>
  <r>
    <n v="1248"/>
    <x v="96"/>
    <n v="4"/>
    <x v="1"/>
    <s v="123 4th Street"/>
    <x v="1"/>
    <x v="1"/>
    <n v="99999"/>
    <s v="USA"/>
    <x v="1"/>
    <x v="1"/>
    <n v="41857"/>
    <s v="Shipping Company A"/>
    <s v="Christina Lee"/>
    <s v="123 4th Street"/>
    <x v="1"/>
    <s v="NY"/>
    <n v="99999"/>
    <x v="0"/>
    <s v="Credit Card"/>
    <s v="Marmalade"/>
    <x v="6"/>
    <n v="81"/>
    <n v="32"/>
    <x v="196"/>
    <n v="251.42399999999998"/>
  </r>
  <r>
    <n v="1249"/>
    <x v="96"/>
    <n v="4"/>
    <x v="1"/>
    <s v="123 4th Street"/>
    <x v="1"/>
    <x v="1"/>
    <n v="99999"/>
    <s v="USA"/>
    <x v="1"/>
    <x v="1"/>
    <n v="41857"/>
    <s v="Shipping Company A"/>
    <s v="Christina Lee"/>
    <s v="123 4th Street"/>
    <x v="1"/>
    <s v="NY"/>
    <n v="99999"/>
    <x v="0"/>
    <s v="Credit Card"/>
    <s v="Long Grain Rice"/>
    <x v="14"/>
    <n v="7"/>
    <n v="76"/>
    <x v="197"/>
    <n v="53.732000000000006"/>
  </r>
  <r>
    <n v="1250"/>
    <x v="97"/>
    <n v="10"/>
    <x v="8"/>
    <s v="123 10th Street"/>
    <x v="7"/>
    <x v="7"/>
    <n v="99999"/>
    <s v="USA"/>
    <x v="6"/>
    <x v="1"/>
    <n v="41894"/>
    <s v="Shipping Company A"/>
    <s v="Roland Wacker"/>
    <s v="123 10th Street"/>
    <x v="7"/>
    <s v="IL"/>
    <n v="99999"/>
    <x v="0"/>
    <m/>
    <s v="Chocolate Biscuits Mix"/>
    <x v="2"/>
    <n v="9.1999999999999993"/>
    <n v="83"/>
    <x v="198"/>
    <n v="74.832799999999992"/>
  </r>
  <r>
    <n v="1251"/>
    <x v="98"/>
    <n v="11"/>
    <x v="10"/>
    <s v="123 11th Street"/>
    <x v="9"/>
    <x v="9"/>
    <n v="99999"/>
    <s v="USA"/>
    <x v="5"/>
    <x v="3"/>
    <m/>
    <s v="Shipping Company C"/>
    <s v="Peter Krschne"/>
    <s v="123 11th Street"/>
    <x v="9"/>
    <s v="FL"/>
    <n v="99999"/>
    <x v="0"/>
    <m/>
    <s v="Dried Plums"/>
    <x v="1"/>
    <n v="3.5"/>
    <n v="91"/>
    <x v="199"/>
    <n v="31.213000000000001"/>
  </r>
  <r>
    <n v="1252"/>
    <x v="98"/>
    <n v="11"/>
    <x v="10"/>
    <s v="123 11th Street"/>
    <x v="9"/>
    <x v="9"/>
    <n v="99999"/>
    <s v="USA"/>
    <x v="5"/>
    <x v="3"/>
    <m/>
    <s v="Shipping Company C"/>
    <s v="Peter Krschne"/>
    <s v="123 11th Street"/>
    <x v="9"/>
    <s v="FL"/>
    <n v="99999"/>
    <x v="0"/>
    <m/>
    <s v="Green Tea"/>
    <x v="0"/>
    <n v="2.99"/>
    <n v="64"/>
    <x v="200"/>
    <n v="19.518720000000002"/>
  </r>
  <r>
    <n v="1253"/>
    <x v="99"/>
    <n v="1"/>
    <x v="11"/>
    <s v="123 1st Street"/>
    <x v="10"/>
    <x v="10"/>
    <n v="99999"/>
    <s v="USA"/>
    <x v="2"/>
    <x v="2"/>
    <m/>
    <m/>
    <s v="Anna Bedecs"/>
    <s v="123 1st Street"/>
    <x v="10"/>
    <s v="WA"/>
    <n v="99999"/>
    <x v="0"/>
    <m/>
    <s v="Chai"/>
    <x v="0"/>
    <n v="18"/>
    <n v="58"/>
    <x v="137"/>
    <n v="103.35600000000001"/>
  </r>
  <r>
    <n v="1254"/>
    <x v="99"/>
    <n v="1"/>
    <x v="11"/>
    <s v="123 1st Street"/>
    <x v="10"/>
    <x v="10"/>
    <n v="99999"/>
    <s v="USA"/>
    <x v="2"/>
    <x v="2"/>
    <m/>
    <m/>
    <s v="Anna Bedecs"/>
    <s v="123 1st Street"/>
    <x v="10"/>
    <s v="WA"/>
    <n v="99999"/>
    <x v="0"/>
    <m/>
    <s v="Coffee"/>
    <x v="0"/>
    <n v="46"/>
    <n v="97"/>
    <x v="201"/>
    <n v="464.04800000000006"/>
  </r>
  <r>
    <n v="1255"/>
    <x v="99"/>
    <n v="1"/>
    <x v="11"/>
    <s v="123 1st Street"/>
    <x v="10"/>
    <x v="10"/>
    <n v="99999"/>
    <s v="USA"/>
    <x v="2"/>
    <x v="2"/>
    <m/>
    <m/>
    <s v="Anna Bedecs"/>
    <s v="123 1st Street"/>
    <x v="10"/>
    <s v="WA"/>
    <n v="99999"/>
    <x v="0"/>
    <m/>
    <s v="Green Tea"/>
    <x v="0"/>
    <n v="2.99"/>
    <n v="14"/>
    <x v="202"/>
    <n v="4.35344"/>
  </r>
  <r>
    <n v="1256"/>
    <x v="100"/>
    <n v="28"/>
    <x v="7"/>
    <s v="789 28th Street"/>
    <x v="6"/>
    <x v="6"/>
    <n v="99999"/>
    <s v="USA"/>
    <x v="5"/>
    <x v="3"/>
    <d v="2014-09-30T00:00:00"/>
    <s v="Shipping Company C"/>
    <s v="Amritansh Raghav"/>
    <s v="789 28th Street"/>
    <x v="6"/>
    <s v="TN"/>
    <n v="99999"/>
    <x v="0"/>
    <s v="Credit Card"/>
    <s v="Clam Chowder"/>
    <x v="4"/>
    <n v="9.65"/>
    <n v="68"/>
    <x v="203"/>
    <n v="64.307600000000008"/>
  </r>
  <r>
    <n v="1257"/>
    <x v="100"/>
    <n v="28"/>
    <x v="7"/>
    <s v="789 28th Street"/>
    <x v="6"/>
    <x v="6"/>
    <n v="99999"/>
    <s v="USA"/>
    <x v="5"/>
    <x v="3"/>
    <n v="41912"/>
    <s v="Shipping Company C"/>
    <s v="Amritansh Raghav"/>
    <s v="789 28th Street"/>
    <x v="6"/>
    <s v="TN"/>
    <n v="99999"/>
    <x v="0"/>
    <s v="Credit Card"/>
    <s v="Crab Meat"/>
    <x v="8"/>
    <n v="18.399999999999999"/>
    <n v="32"/>
    <x v="204"/>
    <n v="58.879999999999995"/>
  </r>
  <r>
    <n v="1258"/>
    <x v="101"/>
    <n v="9"/>
    <x v="12"/>
    <s v="123 9th Street"/>
    <x v="11"/>
    <x v="11"/>
    <n v="99999"/>
    <s v="USA"/>
    <x v="7"/>
    <x v="0"/>
    <d v="2014-09-11T00:00:00"/>
    <s v="Shipping Company A"/>
    <s v="Sven Mortensen"/>
    <s v="123 9th Street"/>
    <x v="11"/>
    <s v="UT"/>
    <n v="99999"/>
    <x v="0"/>
    <s v="Check"/>
    <s v="Ravioli"/>
    <x v="9"/>
    <n v="19.5"/>
    <n v="48"/>
    <x v="205"/>
    <n v="94.536000000000016"/>
  </r>
  <r>
    <n v="1259"/>
    <x v="101"/>
    <n v="9"/>
    <x v="12"/>
    <s v="123 9th Street"/>
    <x v="11"/>
    <x v="11"/>
    <n v="99999"/>
    <s v="USA"/>
    <x v="7"/>
    <x v="0"/>
    <d v="2014-09-11T00:00:00"/>
    <s v="Shipping Company A"/>
    <s v="Sven Mortensen"/>
    <s v="123 9th Street"/>
    <x v="11"/>
    <s v="UT"/>
    <n v="99999"/>
    <x v="0"/>
    <s v="Check"/>
    <s v="Mozzarella"/>
    <x v="10"/>
    <n v="34.799999999999997"/>
    <n v="57"/>
    <x v="206"/>
    <n v="194.39280000000002"/>
  </r>
  <r>
    <n v="1260"/>
    <x v="102"/>
    <n v="6"/>
    <x v="6"/>
    <s v="123 6th Street"/>
    <x v="5"/>
    <x v="5"/>
    <n v="99999"/>
    <s v="USA"/>
    <x v="4"/>
    <x v="2"/>
    <d v="2014-09-08T00:00:00"/>
    <s v="Shipping Company B"/>
    <s v="Francisco Pérez-Olaeta"/>
    <s v="123 6th Street"/>
    <x v="5"/>
    <s v="WI"/>
    <n v="99999"/>
    <x v="0"/>
    <s v="Credit Card"/>
    <s v="Beer"/>
    <x v="0"/>
    <n v="14"/>
    <n v="67"/>
    <x v="207"/>
    <n v="98.490000000000009"/>
  </r>
  <r>
    <n v="1261"/>
    <x v="103"/>
    <n v="8"/>
    <x v="3"/>
    <s v="123 8th Street"/>
    <x v="2"/>
    <x v="2"/>
    <n v="99999"/>
    <s v="USA"/>
    <x v="2"/>
    <x v="2"/>
    <n v="41892"/>
    <s v="Shipping Company B"/>
    <s v="Elizabeth Andersen"/>
    <s v="123 8th Street"/>
    <x v="2"/>
    <s v="OR"/>
    <n v="99999"/>
    <x v="0"/>
    <s v="Check"/>
    <s v="Curry Sauce"/>
    <x v="5"/>
    <n v="40"/>
    <n v="48"/>
    <x v="208"/>
    <n v="188.16"/>
  </r>
  <r>
    <n v="1262"/>
    <x v="103"/>
    <n v="8"/>
    <x v="3"/>
    <s v="123 8th Street"/>
    <x v="2"/>
    <x v="2"/>
    <n v="99999"/>
    <s v="USA"/>
    <x v="2"/>
    <x v="2"/>
    <n v="41892"/>
    <s v="Shipping Company B"/>
    <s v="Elizabeth Andersen"/>
    <s v="123 8th Street"/>
    <x v="2"/>
    <s v="OR"/>
    <n v="99999"/>
    <x v="0"/>
    <s v="Check"/>
    <s v="Chocolate Biscuits Mix"/>
    <x v="2"/>
    <n v="9.1999999999999993"/>
    <n v="77"/>
    <x v="209"/>
    <n v="72.256799999999998"/>
  </r>
  <r>
    <n v="1263"/>
    <x v="104"/>
    <n v="25"/>
    <x v="13"/>
    <s v="789 25th Street"/>
    <x v="7"/>
    <x v="7"/>
    <n v="99999"/>
    <s v="USA"/>
    <x v="6"/>
    <x v="1"/>
    <n v="41909"/>
    <s v="Shipping Company A"/>
    <s v="John Rodman"/>
    <s v="789 25th Street"/>
    <x v="7"/>
    <s v="IL"/>
    <n v="99999"/>
    <x v="0"/>
    <s v="Cash"/>
    <s v="Scones"/>
    <x v="2"/>
    <n v="10"/>
    <n v="94"/>
    <x v="210"/>
    <n v="97.76"/>
  </r>
  <r>
    <n v="1264"/>
    <x v="105"/>
    <n v="26"/>
    <x v="14"/>
    <s v="789 26th Street"/>
    <x v="9"/>
    <x v="9"/>
    <n v="99999"/>
    <s v="USA"/>
    <x v="5"/>
    <x v="3"/>
    <n v="41910"/>
    <s v="Shipping Company C"/>
    <s v="Run Liu"/>
    <s v="789 26th Street"/>
    <x v="9"/>
    <s v="FL"/>
    <n v="99999"/>
    <x v="0"/>
    <s v="Credit Card"/>
    <s v="Olive Oil"/>
    <x v="13"/>
    <n v="21.35"/>
    <n v="54"/>
    <x v="211"/>
    <n v="121.05450000000003"/>
  </r>
  <r>
    <n v="1265"/>
    <x v="105"/>
    <n v="26"/>
    <x v="14"/>
    <s v="789 26th Street"/>
    <x v="9"/>
    <x v="9"/>
    <n v="99999"/>
    <s v="USA"/>
    <x v="5"/>
    <x v="3"/>
    <n v="41910"/>
    <s v="Shipping Company C"/>
    <s v="Run Liu"/>
    <s v="789 26th Street"/>
    <x v="9"/>
    <s v="FL"/>
    <n v="99999"/>
    <x v="0"/>
    <s v="Credit Card"/>
    <s v="Clam Chowder"/>
    <x v="4"/>
    <n v="9.65"/>
    <n v="43"/>
    <x v="84"/>
    <n v="40.250150000000005"/>
  </r>
  <r>
    <n v="1266"/>
    <x v="105"/>
    <n v="26"/>
    <x v="14"/>
    <s v="789 26th Street"/>
    <x v="9"/>
    <x v="9"/>
    <n v="99999"/>
    <s v="USA"/>
    <x v="5"/>
    <x v="3"/>
    <d v="2014-09-28T00:00:00"/>
    <s v="Shipping Company C"/>
    <s v="Run Liu"/>
    <s v="789 26th Street"/>
    <x v="9"/>
    <s v="FL"/>
    <n v="99999"/>
    <x v="0"/>
    <s v="Credit Card"/>
    <s v="Crab Meat"/>
    <x v="8"/>
    <n v="18.399999999999999"/>
    <n v="71"/>
    <x v="143"/>
    <n v="134.55919999999998"/>
  </r>
  <r>
    <n v="1267"/>
    <x v="106"/>
    <n v="29"/>
    <x v="4"/>
    <s v="789 29th Street"/>
    <x v="3"/>
    <x v="3"/>
    <n v="99999"/>
    <s v="USA"/>
    <x v="3"/>
    <x v="0"/>
    <d v="2014-10-01T00:00:00"/>
    <s v="Shipping Company B"/>
    <s v="Soo Jung Lee"/>
    <s v="789 29th Street"/>
    <x v="3"/>
    <s v="CO"/>
    <n v="99999"/>
    <x v="0"/>
    <s v="Check"/>
    <s v="Beer"/>
    <x v="0"/>
    <n v="14"/>
    <n v="50"/>
    <x v="212"/>
    <n v="67.2"/>
  </r>
  <r>
    <n v="1268"/>
    <x v="102"/>
    <n v="6"/>
    <x v="6"/>
    <s v="123 6th Street"/>
    <x v="5"/>
    <x v="5"/>
    <n v="99999"/>
    <s v="USA"/>
    <x v="4"/>
    <x v="2"/>
    <d v="2014-09-08T00:00:00"/>
    <s v="Shipping Company C"/>
    <s v="Francisco Pérez-Olaeta"/>
    <s v="123 6th Street"/>
    <x v="5"/>
    <s v="WI"/>
    <n v="99999"/>
    <x v="0"/>
    <s v="Check"/>
    <s v="Chocolate"/>
    <x v="3"/>
    <n v="12.75"/>
    <n v="96"/>
    <x v="146"/>
    <n v="119.952"/>
  </r>
  <r>
    <n v="1270"/>
    <x v="107"/>
    <n v="4"/>
    <x v="1"/>
    <s v="123 4th Street"/>
    <x v="1"/>
    <x v="1"/>
    <n v="99999"/>
    <s v="USA"/>
    <x v="1"/>
    <x v="1"/>
    <d v="2014-09-06T00:00:00"/>
    <s v="Shipping Company A"/>
    <s v="Christina Lee"/>
    <s v="123 4th Street"/>
    <x v="1"/>
    <s v="NY"/>
    <n v="99999"/>
    <x v="0"/>
    <s v="Credit Card"/>
    <s v="Marmalade"/>
    <x v="6"/>
    <n v="81"/>
    <n v="54"/>
    <x v="213"/>
    <n v="437.40000000000003"/>
  </r>
  <r>
    <n v="1271"/>
    <x v="107"/>
    <n v="4"/>
    <x v="1"/>
    <s v="123 4th Street"/>
    <x v="1"/>
    <x v="1"/>
    <n v="99999"/>
    <s v="USA"/>
    <x v="1"/>
    <x v="1"/>
    <d v="2014-09-06T00:00:00"/>
    <s v="Shipping Company A"/>
    <s v="Christina Lee"/>
    <s v="123 4th Street"/>
    <x v="1"/>
    <s v="NY"/>
    <n v="99999"/>
    <x v="0"/>
    <s v="Credit Card"/>
    <s v="Long Grain Rice"/>
    <x v="14"/>
    <n v="7"/>
    <n v="39"/>
    <x v="214"/>
    <n v="27.3"/>
  </r>
  <r>
    <n v="1273"/>
    <x v="103"/>
    <n v="8"/>
    <x v="3"/>
    <s v="123 8th Street"/>
    <x v="2"/>
    <x v="2"/>
    <n v="99999"/>
    <s v="USA"/>
    <x v="2"/>
    <x v="2"/>
    <d v="2014-09-10T00:00:00"/>
    <s v="Shipping Company C"/>
    <s v="Elizabeth Andersen"/>
    <s v="123 8th Street"/>
    <x v="2"/>
    <s v="OR"/>
    <n v="99999"/>
    <x v="0"/>
    <s v="Credit Card"/>
    <s v="Mozzarella"/>
    <x v="10"/>
    <n v="34.799999999999997"/>
    <n v="63"/>
    <x v="59"/>
    <n v="230.202"/>
  </r>
  <r>
    <n v="1276"/>
    <x v="108"/>
    <n v="3"/>
    <x v="5"/>
    <s v="123 3rd Street"/>
    <x v="4"/>
    <x v="4"/>
    <n v="99999"/>
    <s v="USA"/>
    <x v="0"/>
    <x v="0"/>
    <d v="2014-09-05T00:00:00"/>
    <s v="Shipping Company B"/>
    <s v="Thomas Axerr"/>
    <s v="123 3rd Street"/>
    <x v="4"/>
    <s v="CA"/>
    <n v="99999"/>
    <x v="0"/>
    <s v="Cash"/>
    <s v="Syrup"/>
    <x v="7"/>
    <n v="10"/>
    <n v="71"/>
    <x v="215"/>
    <n v="73.13"/>
  </r>
  <r>
    <n v="1277"/>
    <x v="108"/>
    <n v="3"/>
    <x v="5"/>
    <s v="123 3rd Street"/>
    <x v="4"/>
    <x v="4"/>
    <n v="99999"/>
    <s v="USA"/>
    <x v="0"/>
    <x v="0"/>
    <d v="2014-09-05T00:00:00"/>
    <s v="Shipping Company B"/>
    <s v="Thomas Axerr"/>
    <s v="123 3rd Street"/>
    <x v="4"/>
    <s v="CA"/>
    <n v="99999"/>
    <x v="0"/>
    <s v="Cash"/>
    <s v="Curry Sauce"/>
    <x v="5"/>
    <n v="40"/>
    <n v="88"/>
    <x v="216"/>
    <n v="366.08000000000004"/>
  </r>
  <r>
    <n v="1281"/>
    <x v="97"/>
    <n v="10"/>
    <x v="8"/>
    <s v="123 10th Street"/>
    <x v="7"/>
    <x v="7"/>
    <n v="99999"/>
    <s v="USA"/>
    <x v="6"/>
    <x v="1"/>
    <d v="2014-09-12T00:00:00"/>
    <s v="Shipping Company B"/>
    <s v="Roland Wacker"/>
    <s v="123 10th Street"/>
    <x v="7"/>
    <s v="IL"/>
    <n v="99999"/>
    <x v="0"/>
    <s v="Credit Card"/>
    <s v="Almonds"/>
    <x v="1"/>
    <n v="10"/>
    <n v="59"/>
    <x v="217"/>
    <n v="59.59"/>
  </r>
  <r>
    <n v="1282"/>
    <x v="109"/>
    <n v="6"/>
    <x v="6"/>
    <s v="123 6th Street"/>
    <x v="5"/>
    <x v="5"/>
    <n v="99999"/>
    <s v="USA"/>
    <x v="4"/>
    <x v="2"/>
    <d v="2014-10-08T00:00:00"/>
    <s v="Shipping Company B"/>
    <s v="Francisco Pérez-Olaeta"/>
    <s v="123 6th Street"/>
    <x v="5"/>
    <s v="WI"/>
    <n v="99999"/>
    <x v="0"/>
    <s v="Credit Card"/>
    <s v="Curry Sauce"/>
    <x v="5"/>
    <n v="40"/>
    <n v="94"/>
    <x v="218"/>
    <n v="376"/>
  </r>
  <r>
    <n v="1283"/>
    <x v="110"/>
    <n v="28"/>
    <x v="7"/>
    <s v="789 28th Street"/>
    <x v="6"/>
    <x v="6"/>
    <n v="99999"/>
    <s v="USA"/>
    <x v="5"/>
    <x v="3"/>
    <d v="2014-10-30T00:00:00"/>
    <s v="Shipping Company C"/>
    <s v="Amritansh Raghav"/>
    <s v="789 28th Street"/>
    <x v="6"/>
    <s v="TN"/>
    <n v="99999"/>
    <x v="0"/>
    <s v="Check"/>
    <s v="Coffee"/>
    <x v="0"/>
    <n v="46"/>
    <n v="86"/>
    <x v="177"/>
    <n v="379.77600000000001"/>
  </r>
  <r>
    <n v="1284"/>
    <x v="111"/>
    <n v="8"/>
    <x v="3"/>
    <s v="123 8th Street"/>
    <x v="2"/>
    <x v="2"/>
    <n v="99999"/>
    <s v="USA"/>
    <x v="2"/>
    <x v="2"/>
    <d v="2014-10-10T00:00:00"/>
    <s v="Shipping Company C"/>
    <s v="Elizabeth Andersen"/>
    <s v="123 8th Street"/>
    <x v="2"/>
    <s v="OR"/>
    <n v="99999"/>
    <x v="0"/>
    <s v="Check"/>
    <s v="Chocolate"/>
    <x v="3"/>
    <n v="12.75"/>
    <n v="61"/>
    <x v="219"/>
    <n v="78.552750000000003"/>
  </r>
  <r>
    <n v="1285"/>
    <x v="112"/>
    <n v="10"/>
    <x v="8"/>
    <s v="123 10th Street"/>
    <x v="7"/>
    <x v="7"/>
    <n v="99999"/>
    <s v="USA"/>
    <x v="6"/>
    <x v="1"/>
    <d v="2014-10-12T00:00:00"/>
    <s v="Shipping Company B"/>
    <s v="Roland Wacker"/>
    <s v="123 10th Street"/>
    <x v="7"/>
    <s v="IL"/>
    <n v="99999"/>
    <x v="0"/>
    <s v="Credit Card"/>
    <s v="Green Tea"/>
    <x v="0"/>
    <n v="2.99"/>
    <n v="32"/>
    <x v="220"/>
    <n v="9.7593600000000009"/>
  </r>
  <r>
    <n v="1286"/>
    <x v="113"/>
    <n v="7"/>
    <x v="9"/>
    <s v="123 7th Street"/>
    <x v="8"/>
    <x v="8"/>
    <n v="99999"/>
    <s v="USA"/>
    <x v="2"/>
    <x v="2"/>
    <m/>
    <m/>
    <s v="Ming-Yang Xie"/>
    <s v="123 7th Street"/>
    <x v="8"/>
    <s v="ID"/>
    <n v="99999"/>
    <x v="0"/>
    <m/>
    <s v="Coffee"/>
    <x v="0"/>
    <n v="46"/>
    <n v="62"/>
    <x v="221"/>
    <n v="290.904"/>
  </r>
  <r>
    <n v="1287"/>
    <x v="112"/>
    <n v="10"/>
    <x v="8"/>
    <s v="123 10th Street"/>
    <x v="7"/>
    <x v="7"/>
    <n v="99999"/>
    <s v="USA"/>
    <x v="6"/>
    <x v="1"/>
    <d v="2014-10-12T00:00:00"/>
    <s v="Shipping Company A"/>
    <s v="Roland Wacker"/>
    <s v="123 10th Street"/>
    <x v="7"/>
    <s v="IL"/>
    <n v="99999"/>
    <x v="0"/>
    <m/>
    <s v="Boysenberry Spread"/>
    <x v="6"/>
    <n v="25"/>
    <n v="60"/>
    <x v="222"/>
    <n v="154.5"/>
  </r>
  <r>
    <n v="1288"/>
    <x v="112"/>
    <n v="10"/>
    <x v="8"/>
    <s v="123 10th Street"/>
    <x v="7"/>
    <x v="7"/>
    <n v="99999"/>
    <s v="USA"/>
    <x v="6"/>
    <x v="1"/>
    <d v="2014-10-12T00:00:00"/>
    <s v="Shipping Company A"/>
    <s v="Roland Wacker"/>
    <s v="123 10th Street"/>
    <x v="7"/>
    <s v="IL"/>
    <n v="99999"/>
    <x v="0"/>
    <m/>
    <s v="Cajun Seasoning"/>
    <x v="7"/>
    <n v="22"/>
    <n v="51"/>
    <x v="223"/>
    <n v="109.956"/>
  </r>
  <r>
    <n v="1289"/>
    <x v="112"/>
    <n v="10"/>
    <x v="8"/>
    <s v="123 10th Street"/>
    <x v="7"/>
    <x v="7"/>
    <n v="99999"/>
    <s v="USA"/>
    <x v="6"/>
    <x v="1"/>
    <d v="2014-10-12T00:00:00"/>
    <s v="Shipping Company A"/>
    <s v="Roland Wacker"/>
    <s v="123 10th Street"/>
    <x v="7"/>
    <s v="IL"/>
    <n v="99999"/>
    <x v="0"/>
    <m/>
    <s v="Chocolate Biscuits Mix"/>
    <x v="2"/>
    <n v="9.1999999999999993"/>
    <n v="49"/>
    <x v="224"/>
    <n v="44.629199999999997"/>
  </r>
  <r>
    <n v="1290"/>
    <x v="114"/>
    <n v="11"/>
    <x v="10"/>
    <s v="123 11th Street"/>
    <x v="9"/>
    <x v="9"/>
    <n v="99999"/>
    <s v="USA"/>
    <x v="5"/>
    <x v="3"/>
    <m/>
    <s v="Shipping Company C"/>
    <s v="Peter Krschne"/>
    <s v="123 11th Street"/>
    <x v="9"/>
    <s v="FL"/>
    <n v="99999"/>
    <x v="0"/>
    <m/>
    <s v="Dried Plums"/>
    <x v="1"/>
    <n v="3.5"/>
    <n v="20"/>
    <x v="225"/>
    <n v="6.93"/>
  </r>
  <r>
    <n v="1291"/>
    <x v="114"/>
    <n v="11"/>
    <x v="10"/>
    <s v="123 11th Street"/>
    <x v="9"/>
    <x v="9"/>
    <n v="99999"/>
    <s v="USA"/>
    <x v="5"/>
    <x v="3"/>
    <m/>
    <s v="Shipping Company C"/>
    <s v="Peter Krschne"/>
    <s v="123 11th Street"/>
    <x v="9"/>
    <s v="FL"/>
    <n v="99999"/>
    <x v="0"/>
    <m/>
    <s v="Green Tea"/>
    <x v="0"/>
    <n v="2.99"/>
    <n v="49"/>
    <x v="20"/>
    <n v="14.651000000000003"/>
  </r>
  <r>
    <n v="1292"/>
    <x v="115"/>
    <n v="1"/>
    <x v="11"/>
    <s v="123 1st Street"/>
    <x v="10"/>
    <x v="10"/>
    <n v="99999"/>
    <s v="USA"/>
    <x v="2"/>
    <x v="2"/>
    <m/>
    <m/>
    <s v="Anna Bedecs"/>
    <s v="123 1st Street"/>
    <x v="10"/>
    <s v="WA"/>
    <n v="99999"/>
    <x v="0"/>
    <m/>
    <s v="Chai"/>
    <x v="0"/>
    <n v="18"/>
    <n v="22"/>
    <x v="226"/>
    <n v="38.015999999999998"/>
  </r>
  <r>
    <n v="1293"/>
    <x v="115"/>
    <n v="1"/>
    <x v="11"/>
    <s v="123 1st Street"/>
    <x v="10"/>
    <x v="10"/>
    <n v="99999"/>
    <s v="USA"/>
    <x v="2"/>
    <x v="2"/>
    <m/>
    <m/>
    <s v="Anna Bedecs"/>
    <s v="123 1st Street"/>
    <x v="10"/>
    <s v="WA"/>
    <n v="99999"/>
    <x v="0"/>
    <m/>
    <s v="Coffee"/>
    <x v="0"/>
    <n v="46"/>
    <n v="73"/>
    <x v="227"/>
    <n v="339.15800000000002"/>
  </r>
  <r>
    <n v="1294"/>
    <x v="115"/>
    <n v="1"/>
    <x v="11"/>
    <s v="123 1st Street"/>
    <x v="10"/>
    <x v="10"/>
    <n v="99999"/>
    <s v="USA"/>
    <x v="2"/>
    <x v="2"/>
    <m/>
    <m/>
    <s v="Anna Bedecs"/>
    <s v="123 1st Street"/>
    <x v="10"/>
    <s v="WA"/>
    <n v="99999"/>
    <x v="0"/>
    <m/>
    <s v="Green Tea"/>
    <x v="0"/>
    <n v="2.99"/>
    <n v="85"/>
    <x v="228"/>
    <n v="24.652550000000002"/>
  </r>
  <r>
    <n v="1295"/>
    <x v="110"/>
    <n v="28"/>
    <x v="7"/>
    <s v="789 28th Street"/>
    <x v="6"/>
    <x v="6"/>
    <n v="99999"/>
    <s v="USA"/>
    <x v="5"/>
    <x v="3"/>
    <d v="2014-10-30T00:00:00"/>
    <s v="Shipping Company C"/>
    <s v="Amritansh Raghav"/>
    <s v="789 28th Street"/>
    <x v="6"/>
    <s v="TN"/>
    <n v="99999"/>
    <x v="0"/>
    <s v="Credit Card"/>
    <s v="Clam Chowder"/>
    <x v="4"/>
    <n v="9.65"/>
    <n v="44"/>
    <x v="229"/>
    <n v="44.158400000000007"/>
  </r>
  <r>
    <n v="1296"/>
    <x v="110"/>
    <n v="28"/>
    <x v="7"/>
    <s v="789 28th Street"/>
    <x v="6"/>
    <x v="6"/>
    <n v="99999"/>
    <s v="USA"/>
    <x v="5"/>
    <x v="3"/>
    <d v="2014-10-30T00:00:00"/>
    <s v="Shipping Company C"/>
    <s v="Amritansh Raghav"/>
    <s v="789 28th Street"/>
    <x v="6"/>
    <s v="TN"/>
    <n v="99999"/>
    <x v="0"/>
    <s v="Credit Card"/>
    <s v="Crab Meat"/>
    <x v="8"/>
    <n v="18.399999999999999"/>
    <n v="24"/>
    <x v="230"/>
    <n v="42.835199999999993"/>
  </r>
  <r>
    <n v="1297"/>
    <x v="116"/>
    <n v="9"/>
    <x v="12"/>
    <s v="123 9th Street"/>
    <x v="11"/>
    <x v="11"/>
    <n v="99999"/>
    <s v="USA"/>
    <x v="7"/>
    <x v="0"/>
    <d v="2014-10-11T00:00:00"/>
    <s v="Shipping Company A"/>
    <s v="Sven Mortensen"/>
    <s v="123 9th Street"/>
    <x v="11"/>
    <s v="UT"/>
    <n v="99999"/>
    <x v="0"/>
    <s v="Check"/>
    <s v="Ravioli"/>
    <x v="9"/>
    <n v="19.5"/>
    <n v="64"/>
    <x v="231"/>
    <n v="119.80800000000001"/>
  </r>
  <r>
    <n v="1298"/>
    <x v="116"/>
    <n v="9"/>
    <x v="12"/>
    <s v="123 9th Street"/>
    <x v="11"/>
    <x v="11"/>
    <n v="99999"/>
    <s v="USA"/>
    <x v="7"/>
    <x v="0"/>
    <d v="2014-10-11T00:00:00"/>
    <s v="Shipping Company A"/>
    <s v="Sven Mortensen"/>
    <s v="123 9th Street"/>
    <x v="11"/>
    <s v="UT"/>
    <n v="99999"/>
    <x v="0"/>
    <s v="Check"/>
    <s v="Mozzarella"/>
    <x v="10"/>
    <n v="34.799999999999997"/>
    <n v="70"/>
    <x v="232"/>
    <n v="246.03600000000003"/>
  </r>
  <r>
    <n v="1299"/>
    <x v="109"/>
    <n v="6"/>
    <x v="6"/>
    <s v="123 6th Street"/>
    <x v="5"/>
    <x v="5"/>
    <n v="99999"/>
    <s v="USA"/>
    <x v="4"/>
    <x v="2"/>
    <d v="2014-10-08T00:00:00"/>
    <s v="Shipping Company B"/>
    <s v="Francisco Pérez-Olaeta"/>
    <s v="123 6th Street"/>
    <x v="5"/>
    <s v="WI"/>
    <n v="99999"/>
    <x v="0"/>
    <s v="Credit Card"/>
    <s v="Beer"/>
    <x v="0"/>
    <n v="14"/>
    <n v="98"/>
    <x v="233"/>
    <n v="138.57200000000003"/>
  </r>
  <r>
    <n v="1300"/>
    <x v="111"/>
    <n v="8"/>
    <x v="3"/>
    <s v="123 8th Street"/>
    <x v="2"/>
    <x v="2"/>
    <n v="99999"/>
    <s v="USA"/>
    <x v="2"/>
    <x v="2"/>
    <d v="2014-10-10T00:00:00"/>
    <s v="Shipping Company B"/>
    <s v="Elizabeth Andersen"/>
    <s v="123 8th Street"/>
    <x v="2"/>
    <s v="OR"/>
    <n v="99999"/>
    <x v="0"/>
    <s v="Check"/>
    <s v="Curry Sauce"/>
    <x v="5"/>
    <n v="40"/>
    <n v="48"/>
    <x v="208"/>
    <n v="188.16"/>
  </r>
  <r>
    <n v="1301"/>
    <x v="111"/>
    <n v="8"/>
    <x v="3"/>
    <s v="123 8th Street"/>
    <x v="2"/>
    <x v="2"/>
    <n v="99999"/>
    <s v="USA"/>
    <x v="2"/>
    <x v="2"/>
    <d v="2014-10-10T00:00:00"/>
    <s v="Shipping Company B"/>
    <s v="Elizabeth Andersen"/>
    <s v="123 8th Street"/>
    <x v="2"/>
    <s v="OR"/>
    <n v="99999"/>
    <x v="0"/>
    <s v="Check"/>
    <s v="Chocolate Biscuits Mix"/>
    <x v="2"/>
    <n v="9.1999999999999993"/>
    <n v="100"/>
    <x v="234"/>
    <n v="91.08"/>
  </r>
  <r>
    <n v="1302"/>
    <x v="117"/>
    <n v="25"/>
    <x v="13"/>
    <s v="789 25th Street"/>
    <x v="7"/>
    <x v="7"/>
    <n v="99999"/>
    <s v="USA"/>
    <x v="6"/>
    <x v="1"/>
    <d v="2014-10-27T00:00:00"/>
    <s v="Shipping Company A"/>
    <s v="John Rodman"/>
    <s v="789 25th Street"/>
    <x v="7"/>
    <s v="IL"/>
    <n v="99999"/>
    <x v="0"/>
    <s v="Cash"/>
    <s v="Scones"/>
    <x v="2"/>
    <n v="10"/>
    <n v="90"/>
    <x v="235"/>
    <n v="87.3"/>
  </r>
  <r>
    <n v="1303"/>
    <x v="118"/>
    <n v="26"/>
    <x v="14"/>
    <s v="789 26th Street"/>
    <x v="9"/>
    <x v="9"/>
    <n v="99999"/>
    <s v="USA"/>
    <x v="5"/>
    <x v="3"/>
    <d v="2014-10-28T00:00:00"/>
    <s v="Shipping Company C"/>
    <s v="Run Liu"/>
    <s v="789 26th Street"/>
    <x v="9"/>
    <s v="FL"/>
    <n v="99999"/>
    <x v="0"/>
    <s v="Credit Card"/>
    <s v="Olive Oil"/>
    <x v="13"/>
    <n v="21.35"/>
    <n v="49"/>
    <x v="236"/>
    <n v="102.5227"/>
  </r>
  <r>
    <n v="1304"/>
    <x v="118"/>
    <n v="26"/>
    <x v="14"/>
    <s v="789 26th Street"/>
    <x v="9"/>
    <x v="9"/>
    <n v="99999"/>
    <s v="USA"/>
    <x v="5"/>
    <x v="3"/>
    <d v="2014-10-28T00:00:00"/>
    <s v="Shipping Company C"/>
    <s v="Run Liu"/>
    <s v="789 26th Street"/>
    <x v="9"/>
    <s v="FL"/>
    <n v="99999"/>
    <x v="0"/>
    <s v="Credit Card"/>
    <s v="Clam Chowder"/>
    <x v="4"/>
    <n v="9.65"/>
    <n v="71"/>
    <x v="237"/>
    <n v="65.7744"/>
  </r>
  <r>
    <n v="1305"/>
    <x v="118"/>
    <n v="26"/>
    <x v="14"/>
    <s v="789 26th Street"/>
    <x v="9"/>
    <x v="9"/>
    <n v="99999"/>
    <s v="USA"/>
    <x v="5"/>
    <x v="3"/>
    <d v="2014-10-28T00:00:00"/>
    <s v="Shipping Company C"/>
    <s v="Run Liu"/>
    <s v="789 26th Street"/>
    <x v="9"/>
    <s v="FL"/>
    <n v="99999"/>
    <x v="0"/>
    <s v="Credit Card"/>
    <s v="Crab Meat"/>
    <x v="8"/>
    <n v="18.399999999999999"/>
    <n v="10"/>
    <x v="238"/>
    <n v="19.136000000000003"/>
  </r>
  <r>
    <n v="1306"/>
    <x v="119"/>
    <n v="29"/>
    <x v="4"/>
    <s v="789 29th Street"/>
    <x v="3"/>
    <x v="3"/>
    <n v="99999"/>
    <s v="USA"/>
    <x v="3"/>
    <x v="0"/>
    <d v="2014-10-31T00:00:00"/>
    <s v="Shipping Company B"/>
    <s v="Soo Jung Lee"/>
    <s v="789 29th Street"/>
    <x v="3"/>
    <s v="CO"/>
    <n v="99999"/>
    <x v="0"/>
    <s v="Check"/>
    <s v="Beer"/>
    <x v="0"/>
    <n v="14"/>
    <n v="78"/>
    <x v="239"/>
    <n v="112.476"/>
  </r>
  <r>
    <n v="1307"/>
    <x v="109"/>
    <n v="6"/>
    <x v="6"/>
    <s v="123 6th Street"/>
    <x v="5"/>
    <x v="5"/>
    <n v="99999"/>
    <s v="USA"/>
    <x v="4"/>
    <x v="2"/>
    <d v="2014-10-08T00:00:00"/>
    <s v="Shipping Company C"/>
    <s v="Francisco Pérez-Olaeta"/>
    <s v="123 6th Street"/>
    <x v="5"/>
    <s v="WI"/>
    <n v="99999"/>
    <x v="0"/>
    <s v="Check"/>
    <s v="Chocolate"/>
    <x v="3"/>
    <n v="12.75"/>
    <n v="44"/>
    <x v="134"/>
    <n v="53.856000000000002"/>
  </r>
  <r>
    <n v="1309"/>
    <x v="120"/>
    <n v="4"/>
    <x v="1"/>
    <s v="123 4th Street"/>
    <x v="1"/>
    <x v="1"/>
    <n v="99999"/>
    <s v="USA"/>
    <x v="1"/>
    <x v="1"/>
    <d v="2014-10-06T00:00:00"/>
    <s v="Shipping Company A"/>
    <s v="Christina Lee"/>
    <s v="123 4th Street"/>
    <x v="1"/>
    <s v="NY"/>
    <n v="99999"/>
    <x v="0"/>
    <s v="Credit Card"/>
    <s v="Marmalade"/>
    <x v="6"/>
    <n v="81"/>
    <n v="82"/>
    <x v="240"/>
    <n v="697.41000000000008"/>
  </r>
  <r>
    <n v="1310"/>
    <x v="120"/>
    <n v="4"/>
    <x v="1"/>
    <s v="123 4th Street"/>
    <x v="1"/>
    <x v="1"/>
    <n v="99999"/>
    <s v="USA"/>
    <x v="1"/>
    <x v="1"/>
    <d v="2014-10-06T00:00:00"/>
    <s v="Shipping Company A"/>
    <s v="Christina Lee"/>
    <s v="123 4th Street"/>
    <x v="1"/>
    <s v="NY"/>
    <n v="99999"/>
    <x v="0"/>
    <s v="Credit Card"/>
    <s v="Long Grain Rice"/>
    <x v="14"/>
    <n v="7"/>
    <n v="29"/>
    <x v="241"/>
    <n v="20.3"/>
  </r>
  <r>
    <n v="1312"/>
    <x v="111"/>
    <n v="8"/>
    <x v="3"/>
    <s v="123 8th Street"/>
    <x v="2"/>
    <x v="2"/>
    <n v="99999"/>
    <s v="USA"/>
    <x v="2"/>
    <x v="2"/>
    <d v="2014-10-10T00:00:00"/>
    <s v="Shipping Company C"/>
    <s v="Elizabeth Andersen"/>
    <s v="123 8th Street"/>
    <x v="2"/>
    <s v="OR"/>
    <n v="99999"/>
    <x v="0"/>
    <s v="Credit Card"/>
    <s v="Mozzarella"/>
    <x v="10"/>
    <n v="34.799999999999997"/>
    <n v="93"/>
    <x v="242"/>
    <n v="313.93079999999998"/>
  </r>
  <r>
    <n v="1315"/>
    <x v="121"/>
    <n v="3"/>
    <x v="5"/>
    <s v="123 3rd Street"/>
    <x v="4"/>
    <x v="4"/>
    <n v="99999"/>
    <s v="USA"/>
    <x v="0"/>
    <x v="0"/>
    <d v="2014-10-05T00:00:00"/>
    <s v="Shipping Company B"/>
    <s v="Thomas Axerr"/>
    <s v="123 3rd Street"/>
    <x v="4"/>
    <s v="CA"/>
    <n v="99999"/>
    <x v="0"/>
    <s v="Cash"/>
    <s v="Syrup"/>
    <x v="7"/>
    <n v="10"/>
    <n v="11"/>
    <x v="243"/>
    <n v="11.440000000000001"/>
  </r>
  <r>
    <n v="1316"/>
    <x v="121"/>
    <n v="3"/>
    <x v="5"/>
    <s v="123 3rd Street"/>
    <x v="4"/>
    <x v="4"/>
    <n v="99999"/>
    <s v="USA"/>
    <x v="0"/>
    <x v="0"/>
    <d v="2014-10-05T00:00:00"/>
    <s v="Shipping Company B"/>
    <s v="Thomas Axerr"/>
    <s v="123 3rd Street"/>
    <x v="4"/>
    <s v="CA"/>
    <n v="99999"/>
    <x v="0"/>
    <s v="Cash"/>
    <s v="Curry Sauce"/>
    <x v="5"/>
    <n v="40"/>
    <n v="91"/>
    <x v="157"/>
    <n v="364"/>
  </r>
  <r>
    <n v="1320"/>
    <x v="112"/>
    <n v="10"/>
    <x v="8"/>
    <s v="123 10th Street"/>
    <x v="7"/>
    <x v="7"/>
    <n v="99999"/>
    <s v="USA"/>
    <x v="6"/>
    <x v="1"/>
    <d v="2014-10-12T00:00:00"/>
    <s v="Shipping Company B"/>
    <s v="Roland Wacker"/>
    <s v="123 10th Street"/>
    <x v="7"/>
    <s v="IL"/>
    <n v="99999"/>
    <x v="0"/>
    <s v="Credit Card"/>
    <s v="Almonds"/>
    <x v="1"/>
    <n v="10"/>
    <n v="12"/>
    <x v="244"/>
    <n v="12.36"/>
  </r>
  <r>
    <n v="1322"/>
    <x v="112"/>
    <n v="10"/>
    <x v="8"/>
    <s v="123 10th Street"/>
    <x v="7"/>
    <x v="7"/>
    <n v="99999"/>
    <s v="USA"/>
    <x v="6"/>
    <x v="1"/>
    <m/>
    <s v="Shipping Company A"/>
    <s v="Roland Wacker"/>
    <s v="123 10th Street"/>
    <x v="7"/>
    <s v="IL"/>
    <n v="99999"/>
    <x v="0"/>
    <m/>
    <s v="Dried Plums"/>
    <x v="1"/>
    <n v="3.5"/>
    <n v="78"/>
    <x v="214"/>
    <n v="27.3"/>
  </r>
  <r>
    <n v="1323"/>
    <x v="114"/>
    <n v="11"/>
    <x v="10"/>
    <s v="123 11th Street"/>
    <x v="9"/>
    <x v="9"/>
    <n v="99999"/>
    <s v="USA"/>
    <x v="5"/>
    <x v="3"/>
    <m/>
    <s v="Shipping Company C"/>
    <s v="Peter Krschne"/>
    <s v="123 11th Street"/>
    <x v="9"/>
    <s v="FL"/>
    <n v="99999"/>
    <x v="0"/>
    <m/>
    <s v="Curry Sauce"/>
    <x v="5"/>
    <n v="40"/>
    <n v="60"/>
    <x v="245"/>
    <n v="228"/>
  </r>
  <r>
    <n v="1324"/>
    <x v="115"/>
    <n v="1"/>
    <x v="11"/>
    <s v="123 1st Street"/>
    <x v="10"/>
    <x v="10"/>
    <n v="99999"/>
    <s v="USA"/>
    <x v="2"/>
    <x v="2"/>
    <m/>
    <s v="Shipping Company C"/>
    <s v="Anna Bedecs"/>
    <s v="123 1st Street"/>
    <x v="10"/>
    <s v="WA"/>
    <n v="99999"/>
    <x v="0"/>
    <m/>
    <s v="Crab Meat"/>
    <x v="8"/>
    <n v="18.399999999999999"/>
    <n v="23"/>
    <x v="246"/>
    <n v="43.589600000000004"/>
  </r>
  <r>
    <n v="1325"/>
    <x v="110"/>
    <n v="28"/>
    <x v="7"/>
    <s v="789 28th Street"/>
    <x v="6"/>
    <x v="6"/>
    <n v="99999"/>
    <s v="USA"/>
    <x v="5"/>
    <x v="3"/>
    <d v="2014-10-30T00:00:00"/>
    <s v="Shipping Company C"/>
    <s v="Amritansh Raghav"/>
    <s v="789 28th Street"/>
    <x v="6"/>
    <s v="TN"/>
    <n v="99999"/>
    <x v="0"/>
    <s v="Credit Card"/>
    <s v="Coffee"/>
    <x v="0"/>
    <n v="46"/>
    <n v="34"/>
    <x v="247"/>
    <n v="157.964"/>
  </r>
  <r>
    <n v="1326"/>
    <x v="116"/>
    <n v="9"/>
    <x v="12"/>
    <s v="123 9th Street"/>
    <x v="11"/>
    <x v="11"/>
    <n v="99999"/>
    <s v="USA"/>
    <x v="7"/>
    <x v="0"/>
    <d v="2014-10-11T00:00:00"/>
    <s v="Shipping Company A"/>
    <s v="Sven Mortensen"/>
    <s v="123 9th Street"/>
    <x v="11"/>
    <s v="UT"/>
    <n v="99999"/>
    <x v="0"/>
    <s v="Check"/>
    <s v="Clam Chowder"/>
    <x v="4"/>
    <n v="9.65"/>
    <n v="89"/>
    <x v="248"/>
    <n v="86.743850000000009"/>
  </r>
  <r>
    <n v="1327"/>
    <x v="109"/>
    <n v="6"/>
    <x v="6"/>
    <s v="123 6th Street"/>
    <x v="5"/>
    <x v="5"/>
    <n v="99999"/>
    <s v="USA"/>
    <x v="4"/>
    <x v="2"/>
    <d v="2014-10-08T00:00:00"/>
    <s v="Shipping Company B"/>
    <s v="Francisco Pérez-Olaeta"/>
    <s v="123 6th Street"/>
    <x v="5"/>
    <s v="WI"/>
    <n v="99999"/>
    <x v="0"/>
    <s v="Credit Card"/>
    <s v="Chocolate"/>
    <x v="3"/>
    <n v="12.75"/>
    <n v="82"/>
    <x v="249"/>
    <n v="103.50450000000001"/>
  </r>
  <r>
    <n v="1328"/>
    <x v="111"/>
    <n v="8"/>
    <x v="3"/>
    <s v="123 8th Street"/>
    <x v="2"/>
    <x v="2"/>
    <n v="99999"/>
    <s v="USA"/>
    <x v="2"/>
    <x v="2"/>
    <d v="2014-10-10T00:00:00"/>
    <s v="Shipping Company B"/>
    <s v="Elizabeth Andersen"/>
    <s v="123 8th Street"/>
    <x v="2"/>
    <s v="OR"/>
    <n v="99999"/>
    <x v="0"/>
    <s v="Check"/>
    <s v="Chocolate"/>
    <x v="3"/>
    <n v="12.75"/>
    <n v="43"/>
    <x v="250"/>
    <n v="52.631999999999998"/>
  </r>
  <r>
    <n v="1329"/>
    <x v="122"/>
    <n v="10"/>
    <x v="8"/>
    <s v="123 10th Street"/>
    <x v="7"/>
    <x v="7"/>
    <n v="99999"/>
    <s v="USA"/>
    <x v="6"/>
    <x v="1"/>
    <d v="2014-11-12T00:00:00"/>
    <s v="Shipping Company A"/>
    <s v="Roland Wacker"/>
    <s v="123 10th Street"/>
    <x v="7"/>
    <s v="IL"/>
    <n v="99999"/>
    <x v="0"/>
    <m/>
    <s v="Cajun Seasoning"/>
    <x v="7"/>
    <n v="22"/>
    <n v="96"/>
    <x v="251"/>
    <n v="221.76000000000002"/>
  </r>
  <r>
    <n v="1330"/>
    <x v="122"/>
    <n v="10"/>
    <x v="8"/>
    <s v="123 10th Street"/>
    <x v="7"/>
    <x v="7"/>
    <n v="99999"/>
    <s v="USA"/>
    <x v="6"/>
    <x v="1"/>
    <d v="2014-11-12T00:00:00"/>
    <s v="Shipping Company A"/>
    <s v="Roland Wacker"/>
    <s v="123 10th Street"/>
    <x v="7"/>
    <s v="IL"/>
    <n v="99999"/>
    <x v="0"/>
    <m/>
    <s v="Chocolate Biscuits Mix"/>
    <x v="2"/>
    <n v="9.1999999999999993"/>
    <n v="34"/>
    <x v="252"/>
    <n v="31.279999999999998"/>
  </r>
  <r>
    <n v="1331"/>
    <x v="123"/>
    <n v="11"/>
    <x v="10"/>
    <s v="123 11th Street"/>
    <x v="9"/>
    <x v="9"/>
    <n v="99999"/>
    <s v="USA"/>
    <x v="5"/>
    <x v="3"/>
    <m/>
    <s v="Shipping Company C"/>
    <s v="Peter Krschne"/>
    <s v="123 11th Street"/>
    <x v="9"/>
    <s v="FL"/>
    <n v="99999"/>
    <x v="0"/>
    <m/>
    <s v="Dried Plums"/>
    <x v="1"/>
    <n v="3.5"/>
    <n v="42"/>
    <x v="253"/>
    <n v="15.141000000000002"/>
  </r>
  <r>
    <n v="1332"/>
    <x v="123"/>
    <n v="11"/>
    <x v="10"/>
    <s v="123 11th Street"/>
    <x v="9"/>
    <x v="9"/>
    <n v="99999"/>
    <s v="USA"/>
    <x v="5"/>
    <x v="3"/>
    <m/>
    <s v="Shipping Company C"/>
    <s v="Peter Krschne"/>
    <s v="123 11th Street"/>
    <x v="9"/>
    <s v="FL"/>
    <n v="99999"/>
    <x v="0"/>
    <m/>
    <s v="Green Tea"/>
    <x v="0"/>
    <n v="2.99"/>
    <n v="100"/>
    <x v="254"/>
    <n v="30.498000000000001"/>
  </r>
  <r>
    <n v="1333"/>
    <x v="124"/>
    <n v="1"/>
    <x v="11"/>
    <s v="123 1st Street"/>
    <x v="10"/>
    <x v="10"/>
    <n v="99999"/>
    <s v="USA"/>
    <x v="2"/>
    <x v="2"/>
    <m/>
    <m/>
    <s v="Anna Bedecs"/>
    <s v="123 1st Street"/>
    <x v="10"/>
    <s v="WA"/>
    <n v="99999"/>
    <x v="0"/>
    <m/>
    <s v="Chai"/>
    <x v="0"/>
    <n v="18"/>
    <n v="42"/>
    <x v="21"/>
    <n v="76.356000000000009"/>
  </r>
  <r>
    <n v="1334"/>
    <x v="124"/>
    <n v="1"/>
    <x v="11"/>
    <s v="123 1st Street"/>
    <x v="10"/>
    <x v="10"/>
    <n v="99999"/>
    <s v="USA"/>
    <x v="2"/>
    <x v="2"/>
    <m/>
    <m/>
    <s v="Anna Bedecs"/>
    <s v="123 1st Street"/>
    <x v="10"/>
    <s v="WA"/>
    <n v="99999"/>
    <x v="0"/>
    <m/>
    <s v="Coffee"/>
    <x v="0"/>
    <n v="46"/>
    <n v="16"/>
    <x v="129"/>
    <n v="70.656000000000006"/>
  </r>
  <r>
    <n v="1335"/>
    <x v="124"/>
    <n v="1"/>
    <x v="11"/>
    <s v="123 1st Street"/>
    <x v="10"/>
    <x v="10"/>
    <n v="99999"/>
    <s v="USA"/>
    <x v="2"/>
    <x v="2"/>
    <m/>
    <m/>
    <s v="Anna Bedecs"/>
    <s v="123 1st Street"/>
    <x v="10"/>
    <s v="WA"/>
    <n v="99999"/>
    <x v="0"/>
    <m/>
    <s v="Green Tea"/>
    <x v="0"/>
    <n v="2.99"/>
    <n v="22"/>
    <x v="255"/>
    <n v="6.3806599999999998"/>
  </r>
  <r>
    <n v="1336"/>
    <x v="125"/>
    <n v="28"/>
    <x v="7"/>
    <s v="789 28th Street"/>
    <x v="6"/>
    <x v="6"/>
    <n v="99999"/>
    <s v="USA"/>
    <x v="5"/>
    <x v="3"/>
    <d v="2014-11-30T00:00:00"/>
    <s v="Shipping Company C"/>
    <s v="Amritansh Raghav"/>
    <s v="789 28th Street"/>
    <x v="6"/>
    <s v="TN"/>
    <n v="99999"/>
    <x v="0"/>
    <s v="Credit Card"/>
    <s v="Clam Chowder"/>
    <x v="4"/>
    <n v="9.65"/>
    <n v="46"/>
    <x v="256"/>
    <n v="45.721700000000006"/>
  </r>
  <r>
    <n v="1337"/>
    <x v="125"/>
    <n v="28"/>
    <x v="7"/>
    <s v="789 28th Street"/>
    <x v="6"/>
    <x v="6"/>
    <n v="99999"/>
    <s v="USA"/>
    <x v="5"/>
    <x v="3"/>
    <n v="41973"/>
    <s v="Shipping Company C"/>
    <s v="Amritansh Raghav"/>
    <s v="789 28th Street"/>
    <x v="6"/>
    <s v="TN"/>
    <n v="99999"/>
    <x v="0"/>
    <s v="Credit Card"/>
    <s v="Crab Meat"/>
    <x v="8"/>
    <n v="18.399999999999999"/>
    <n v="100"/>
    <x v="257"/>
    <n v="184"/>
  </r>
  <r>
    <n v="1338"/>
    <x v="126"/>
    <n v="9"/>
    <x v="12"/>
    <s v="123 9th Street"/>
    <x v="11"/>
    <x v="11"/>
    <n v="99999"/>
    <s v="USA"/>
    <x v="7"/>
    <x v="0"/>
    <n v="41954"/>
    <s v="Shipping Company A"/>
    <s v="Sven Mortensen"/>
    <s v="123 9th Street"/>
    <x v="11"/>
    <s v="UT"/>
    <n v="99999"/>
    <x v="0"/>
    <s v="Check"/>
    <s v="Ravioli"/>
    <x v="9"/>
    <n v="19.5"/>
    <n v="87"/>
    <x v="258"/>
    <n v="174.73950000000002"/>
  </r>
  <r>
    <n v="1339"/>
    <x v="126"/>
    <n v="9"/>
    <x v="12"/>
    <s v="123 9th Street"/>
    <x v="11"/>
    <x v="11"/>
    <n v="99999"/>
    <s v="USA"/>
    <x v="7"/>
    <x v="0"/>
    <n v="41954"/>
    <s v="Shipping Company A"/>
    <s v="Sven Mortensen"/>
    <s v="123 9th Street"/>
    <x v="11"/>
    <s v="UT"/>
    <n v="99999"/>
    <x v="0"/>
    <s v="Check"/>
    <s v="Mozzarella"/>
    <x v="10"/>
    <n v="34.799999999999997"/>
    <n v="58"/>
    <x v="259"/>
    <n v="205.8768"/>
  </r>
  <r>
    <n v="1340"/>
    <x v="127"/>
    <n v="6"/>
    <x v="6"/>
    <s v="123 6th Street"/>
    <x v="5"/>
    <x v="5"/>
    <n v="99999"/>
    <s v="USA"/>
    <x v="4"/>
    <x v="2"/>
    <n v="41951"/>
    <s v="Shipping Company B"/>
    <s v="Francisco Pérez-Olaeta"/>
    <s v="123 6th Street"/>
    <x v="5"/>
    <s v="WI"/>
    <n v="99999"/>
    <x v="0"/>
    <s v="Credit Card"/>
    <s v="Beer"/>
    <x v="0"/>
    <n v="14"/>
    <n v="85"/>
    <x v="260"/>
    <n v="120.19"/>
  </r>
  <r>
    <n v="1341"/>
    <x v="128"/>
    <n v="8"/>
    <x v="3"/>
    <s v="123 8th Street"/>
    <x v="2"/>
    <x v="2"/>
    <n v="99999"/>
    <s v="USA"/>
    <x v="2"/>
    <x v="2"/>
    <n v="41953"/>
    <s v="Shipping Company B"/>
    <s v="Elizabeth Andersen"/>
    <s v="123 8th Street"/>
    <x v="2"/>
    <s v="OR"/>
    <n v="99999"/>
    <x v="0"/>
    <s v="Check"/>
    <s v="Curry Sauce"/>
    <x v="5"/>
    <n v="40"/>
    <n v="28"/>
    <x v="139"/>
    <n v="110.88"/>
  </r>
  <r>
    <n v="1342"/>
    <x v="128"/>
    <n v="8"/>
    <x v="3"/>
    <s v="123 8th Street"/>
    <x v="2"/>
    <x v="2"/>
    <n v="99999"/>
    <s v="USA"/>
    <x v="2"/>
    <x v="2"/>
    <d v="2014-11-10T00:00:00"/>
    <s v="Shipping Company B"/>
    <s v="Elizabeth Andersen"/>
    <s v="123 8th Street"/>
    <x v="2"/>
    <s v="OR"/>
    <n v="99999"/>
    <x v="0"/>
    <s v="Check"/>
    <s v="Chocolate Biscuits Mix"/>
    <x v="2"/>
    <n v="9.1999999999999993"/>
    <n v="19"/>
    <x v="261"/>
    <n v="17.130400000000002"/>
  </r>
  <r>
    <n v="1343"/>
    <x v="129"/>
    <n v="25"/>
    <x v="13"/>
    <s v="789 25th Street"/>
    <x v="7"/>
    <x v="7"/>
    <n v="99999"/>
    <s v="USA"/>
    <x v="6"/>
    <x v="1"/>
    <d v="2014-11-27T00:00:00"/>
    <s v="Shipping Company A"/>
    <s v="John Rodman"/>
    <s v="789 25th Street"/>
    <x v="7"/>
    <s v="IL"/>
    <n v="99999"/>
    <x v="0"/>
    <s v="Cash"/>
    <s v="Scones"/>
    <x v="2"/>
    <n v="10"/>
    <n v="99"/>
    <x v="82"/>
    <n v="102.96000000000001"/>
  </r>
  <r>
    <n v="1344"/>
    <x v="130"/>
    <n v="26"/>
    <x v="14"/>
    <s v="789 26th Street"/>
    <x v="9"/>
    <x v="9"/>
    <n v="99999"/>
    <s v="USA"/>
    <x v="5"/>
    <x v="3"/>
    <d v="2014-11-28T00:00:00"/>
    <s v="Shipping Company C"/>
    <s v="Run Liu"/>
    <s v="789 26th Street"/>
    <x v="9"/>
    <s v="FL"/>
    <n v="99999"/>
    <x v="0"/>
    <s v="Credit Card"/>
    <s v="Olive Oil"/>
    <x v="13"/>
    <n v="21.35"/>
    <n v="69"/>
    <x v="262"/>
    <n v="153.20760000000004"/>
  </r>
  <r>
    <n v="1345"/>
    <x v="130"/>
    <n v="26"/>
    <x v="14"/>
    <s v="789 26th Street"/>
    <x v="9"/>
    <x v="9"/>
    <n v="99999"/>
    <s v="USA"/>
    <x v="5"/>
    <x v="3"/>
    <d v="2014-11-28T00:00:00"/>
    <s v="Shipping Company C"/>
    <s v="Run Liu"/>
    <s v="789 26th Street"/>
    <x v="9"/>
    <s v="FL"/>
    <n v="99999"/>
    <x v="0"/>
    <s v="Credit Card"/>
    <s v="Clam Chowder"/>
    <x v="4"/>
    <n v="9.65"/>
    <n v="37"/>
    <x v="263"/>
    <n v="33.919750000000001"/>
  </r>
  <r>
    <n v="1346"/>
    <x v="130"/>
    <n v="26"/>
    <x v="14"/>
    <s v="789 26th Street"/>
    <x v="9"/>
    <x v="9"/>
    <n v="99999"/>
    <s v="USA"/>
    <x v="5"/>
    <x v="3"/>
    <d v="2014-11-28T00:00:00"/>
    <s v="Shipping Company C"/>
    <s v="Run Liu"/>
    <s v="789 26th Street"/>
    <x v="9"/>
    <s v="FL"/>
    <n v="99999"/>
    <x v="0"/>
    <s v="Credit Card"/>
    <s v="Crab Meat"/>
    <x v="8"/>
    <n v="18.399999999999999"/>
    <n v="64"/>
    <x v="107"/>
    <n v="118.93759999999999"/>
  </r>
  <r>
    <n v="1347"/>
    <x v="131"/>
    <n v="29"/>
    <x v="4"/>
    <s v="789 29th Street"/>
    <x v="3"/>
    <x v="3"/>
    <n v="99999"/>
    <s v="USA"/>
    <x v="3"/>
    <x v="0"/>
    <d v="2014-12-01T00:00:00"/>
    <s v="Shipping Company B"/>
    <s v="Soo Jung Lee"/>
    <s v="789 29th Street"/>
    <x v="3"/>
    <s v="CO"/>
    <n v="99999"/>
    <x v="0"/>
    <s v="Check"/>
    <s v="Beer"/>
    <x v="0"/>
    <n v="14"/>
    <n v="38"/>
    <x v="197"/>
    <n v="55.328000000000003"/>
  </r>
  <r>
    <n v="1348"/>
    <x v="127"/>
    <n v="6"/>
    <x v="6"/>
    <s v="123 6th Street"/>
    <x v="5"/>
    <x v="5"/>
    <n v="99999"/>
    <s v="USA"/>
    <x v="4"/>
    <x v="2"/>
    <d v="2014-11-08T00:00:00"/>
    <s v="Shipping Company C"/>
    <s v="Francisco Pérez-Olaeta"/>
    <s v="123 6th Street"/>
    <x v="5"/>
    <s v="WI"/>
    <n v="99999"/>
    <x v="0"/>
    <s v="Check"/>
    <s v="Chocolate"/>
    <x v="3"/>
    <n v="12.75"/>
    <n v="15"/>
    <x v="264"/>
    <n v="18.55125"/>
  </r>
  <r>
    <n v="1350"/>
    <x v="132"/>
    <n v="4"/>
    <x v="1"/>
    <s v="123 4th Street"/>
    <x v="1"/>
    <x v="1"/>
    <n v="99999"/>
    <s v="USA"/>
    <x v="1"/>
    <x v="1"/>
    <d v="2014-11-06T00:00:00"/>
    <s v="Shipping Company A"/>
    <s v="Christina Lee"/>
    <s v="123 4th Street"/>
    <x v="1"/>
    <s v="NY"/>
    <n v="99999"/>
    <x v="0"/>
    <s v="Credit Card"/>
    <s v="Marmalade"/>
    <x v="6"/>
    <n v="81"/>
    <n v="52"/>
    <x v="265"/>
    <n v="412.77600000000001"/>
  </r>
  <r>
    <n v="1351"/>
    <x v="132"/>
    <n v="4"/>
    <x v="1"/>
    <s v="123 4th Street"/>
    <x v="1"/>
    <x v="1"/>
    <n v="99999"/>
    <s v="USA"/>
    <x v="1"/>
    <x v="1"/>
    <d v="2014-11-06T00:00:00"/>
    <s v="Shipping Company A"/>
    <s v="Christina Lee"/>
    <s v="123 4th Street"/>
    <x v="1"/>
    <s v="NY"/>
    <n v="99999"/>
    <x v="0"/>
    <s v="Credit Card"/>
    <s v="Long Grain Rice"/>
    <x v="14"/>
    <n v="7"/>
    <n v="37"/>
    <x v="58"/>
    <n v="25.382000000000001"/>
  </r>
  <r>
    <n v="1353"/>
    <x v="128"/>
    <n v="8"/>
    <x v="3"/>
    <s v="123 8th Street"/>
    <x v="2"/>
    <x v="2"/>
    <n v="99999"/>
    <s v="USA"/>
    <x v="2"/>
    <x v="2"/>
    <d v="2014-11-10T00:00:00"/>
    <s v="Shipping Company C"/>
    <s v="Elizabeth Andersen"/>
    <s v="123 8th Street"/>
    <x v="2"/>
    <s v="OR"/>
    <n v="99999"/>
    <x v="0"/>
    <s v="Credit Card"/>
    <s v="Mozzarella"/>
    <x v="10"/>
    <n v="34.799999999999997"/>
    <n v="24"/>
    <x v="266"/>
    <n v="80.179199999999994"/>
  </r>
  <r>
    <n v="1356"/>
    <x v="133"/>
    <n v="3"/>
    <x v="5"/>
    <s v="123 3rd Street"/>
    <x v="4"/>
    <x v="4"/>
    <n v="99999"/>
    <s v="USA"/>
    <x v="0"/>
    <x v="0"/>
    <d v="2014-11-05T00:00:00"/>
    <s v="Shipping Company B"/>
    <s v="Thomas Axerr"/>
    <s v="123 3rd Street"/>
    <x v="4"/>
    <s v="CA"/>
    <n v="99999"/>
    <x v="0"/>
    <s v="Cash"/>
    <s v="Syrup"/>
    <x v="7"/>
    <n v="10"/>
    <n v="36"/>
    <x v="267"/>
    <n v="37.08"/>
  </r>
  <r>
    <n v="1357"/>
    <x v="133"/>
    <n v="3"/>
    <x v="5"/>
    <s v="123 3rd Street"/>
    <x v="4"/>
    <x v="4"/>
    <n v="99999"/>
    <s v="USA"/>
    <x v="0"/>
    <x v="0"/>
    <d v="2014-11-05T00:00:00"/>
    <s v="Shipping Company B"/>
    <s v="Thomas Axerr"/>
    <s v="123 3rd Street"/>
    <x v="4"/>
    <s v="CA"/>
    <n v="99999"/>
    <x v="0"/>
    <s v="Cash"/>
    <s v="Curry Sauce"/>
    <x v="5"/>
    <n v="40"/>
    <n v="24"/>
    <x v="268"/>
    <n v="96"/>
  </r>
  <r>
    <n v="1361"/>
    <x v="122"/>
    <n v="10"/>
    <x v="8"/>
    <s v="123 10th Street"/>
    <x v="7"/>
    <x v="7"/>
    <n v="99999"/>
    <s v="USA"/>
    <x v="6"/>
    <x v="1"/>
    <d v="2014-11-12T00:00:00"/>
    <s v="Shipping Company B"/>
    <s v="Roland Wacker"/>
    <s v="123 10th Street"/>
    <x v="7"/>
    <s v="IL"/>
    <n v="99999"/>
    <x v="0"/>
    <s v="Credit Card"/>
    <s v="Almonds"/>
    <x v="1"/>
    <n v="10"/>
    <n v="20"/>
    <x v="269"/>
    <n v="20"/>
  </r>
  <r>
    <n v="1363"/>
    <x v="122"/>
    <n v="10"/>
    <x v="8"/>
    <s v="123 10th Street"/>
    <x v="7"/>
    <x v="7"/>
    <n v="99999"/>
    <s v="USA"/>
    <x v="6"/>
    <x v="1"/>
    <m/>
    <s v="Shipping Company A"/>
    <s v="Roland Wacker"/>
    <s v="123 10th Street"/>
    <x v="7"/>
    <s v="IL"/>
    <n v="99999"/>
    <x v="0"/>
    <m/>
    <s v="Dried Plums"/>
    <x v="1"/>
    <n v="3.5"/>
    <n v="11"/>
    <x v="4"/>
    <n v="3.7345000000000002"/>
  </r>
  <r>
    <n v="1364"/>
    <x v="123"/>
    <n v="11"/>
    <x v="10"/>
    <s v="123 11th Street"/>
    <x v="9"/>
    <x v="9"/>
    <n v="99999"/>
    <s v="USA"/>
    <x v="5"/>
    <x v="3"/>
    <m/>
    <s v="Shipping Company C"/>
    <s v="Peter Krschne"/>
    <s v="123 11th Street"/>
    <x v="9"/>
    <s v="FL"/>
    <n v="99999"/>
    <x v="0"/>
    <m/>
    <s v="Curry Sauce"/>
    <x v="5"/>
    <n v="40"/>
    <n v="78"/>
    <x v="189"/>
    <n v="299.52"/>
  </r>
  <r>
    <n v="1365"/>
    <x v="124"/>
    <n v="1"/>
    <x v="11"/>
    <s v="123 1st Street"/>
    <x v="10"/>
    <x v="10"/>
    <n v="99999"/>
    <s v="USA"/>
    <x v="2"/>
    <x v="2"/>
    <m/>
    <s v="Shipping Company C"/>
    <s v="Anna Bedecs"/>
    <s v="123 1st Street"/>
    <x v="10"/>
    <s v="WA"/>
    <n v="99999"/>
    <x v="0"/>
    <m/>
    <s v="Crab Meat"/>
    <x v="8"/>
    <n v="18.399999999999999"/>
    <n v="76"/>
    <x v="270"/>
    <n v="144.0352"/>
  </r>
  <r>
    <n v="1366"/>
    <x v="125"/>
    <n v="28"/>
    <x v="7"/>
    <s v="789 28th Street"/>
    <x v="6"/>
    <x v="6"/>
    <n v="99999"/>
    <s v="USA"/>
    <x v="5"/>
    <x v="3"/>
    <d v="2014-11-30T00:00:00"/>
    <s v="Shipping Company C"/>
    <s v="Amritansh Raghav"/>
    <s v="789 28th Street"/>
    <x v="6"/>
    <s v="TN"/>
    <n v="99999"/>
    <x v="0"/>
    <s v="Credit Card"/>
    <s v="Coffee"/>
    <x v="0"/>
    <n v="46"/>
    <n v="57"/>
    <x v="271"/>
    <n v="272.68799999999999"/>
  </r>
  <r>
    <n v="1367"/>
    <x v="126"/>
    <n v="9"/>
    <x v="12"/>
    <s v="123 9th Street"/>
    <x v="11"/>
    <x v="11"/>
    <n v="99999"/>
    <s v="USA"/>
    <x v="7"/>
    <x v="0"/>
    <d v="2014-11-11T00:00:00"/>
    <s v="Shipping Company A"/>
    <s v="Sven Mortensen"/>
    <s v="123 9th Street"/>
    <x v="11"/>
    <s v="UT"/>
    <n v="99999"/>
    <x v="0"/>
    <s v="Check"/>
    <s v="Clam Chowder"/>
    <x v="4"/>
    <n v="9.65"/>
    <n v="14"/>
    <x v="272"/>
    <n v="12.9696"/>
  </r>
  <r>
    <n v="1368"/>
    <x v="134"/>
    <n v="27"/>
    <x v="0"/>
    <s v="789 27th Street"/>
    <x v="0"/>
    <x v="0"/>
    <n v="99999"/>
    <s v="USA"/>
    <x v="0"/>
    <x v="0"/>
    <d v="2014-12-29T00:00:00"/>
    <s v="Shipping Company B"/>
    <s v="Karen Toh"/>
    <s v="789 27th Street"/>
    <x v="0"/>
    <s v="NV"/>
    <n v="99999"/>
    <x v="0"/>
    <s v="Check"/>
    <s v="Beer"/>
    <x v="0"/>
    <n v="14"/>
    <n v="14"/>
    <x v="273"/>
    <n v="19.796000000000003"/>
  </r>
  <r>
    <n v="1369"/>
    <x v="134"/>
    <n v="27"/>
    <x v="0"/>
    <s v="789 27th Street"/>
    <x v="0"/>
    <x v="0"/>
    <n v="99999"/>
    <s v="USA"/>
    <x v="0"/>
    <x v="0"/>
    <d v="2014-12-29T00:00:00"/>
    <s v="Shipping Company B"/>
    <s v="Karen Toh"/>
    <s v="789 27th Street"/>
    <x v="0"/>
    <s v="NV"/>
    <n v="99999"/>
    <x v="0"/>
    <s v="Check"/>
    <s v="Dried Plums"/>
    <x v="1"/>
    <n v="3.5"/>
    <n v="70"/>
    <x v="274"/>
    <n v="25.234999999999999"/>
  </r>
  <r>
    <n v="1370"/>
    <x v="135"/>
    <n v="4"/>
    <x v="1"/>
    <s v="123 4th Street"/>
    <x v="1"/>
    <x v="1"/>
    <n v="99999"/>
    <s v="USA"/>
    <x v="1"/>
    <x v="1"/>
    <d v="2014-12-06T00:00:00"/>
    <s v="Shipping Company A"/>
    <s v="Christina Lee"/>
    <s v="123 4th Street"/>
    <x v="1"/>
    <s v="NY"/>
    <n v="99999"/>
    <x v="0"/>
    <s v="Credit Card"/>
    <s v="Dried Pears"/>
    <x v="1"/>
    <n v="30"/>
    <n v="100"/>
    <x v="275"/>
    <n v="291"/>
  </r>
  <r>
    <n v="1371"/>
    <x v="135"/>
    <n v="4"/>
    <x v="1"/>
    <s v="123 4th Street"/>
    <x v="1"/>
    <x v="1"/>
    <n v="99999"/>
    <s v="USA"/>
    <x v="1"/>
    <x v="1"/>
    <d v="2014-12-06T00:00:00"/>
    <s v="Shipping Company A"/>
    <s v="Christina Lee"/>
    <s v="123 4th Street"/>
    <x v="1"/>
    <s v="NY"/>
    <n v="99999"/>
    <x v="0"/>
    <s v="Credit Card"/>
    <s v="Dried Apples"/>
    <x v="1"/>
    <n v="53"/>
    <n v="27"/>
    <x v="276"/>
    <n v="143.1"/>
  </r>
  <r>
    <n v="1372"/>
    <x v="135"/>
    <n v="4"/>
    <x v="1"/>
    <s v="123 4th Street"/>
    <x v="1"/>
    <x v="1"/>
    <n v="99999"/>
    <s v="USA"/>
    <x v="1"/>
    <x v="1"/>
    <d v="2014-12-06T00:00:00"/>
    <s v="Shipping Company A"/>
    <s v="Christina Lee"/>
    <s v="123 4th Street"/>
    <x v="1"/>
    <s v="NY"/>
    <n v="99999"/>
    <x v="0"/>
    <s v="Credit Card"/>
    <s v="Dried Plums"/>
    <x v="1"/>
    <n v="3.5"/>
    <n v="70"/>
    <x v="274"/>
    <n v="24.009999999999998"/>
  </r>
  <r>
    <n v="1373"/>
    <x v="136"/>
    <n v="12"/>
    <x v="2"/>
    <s v="123 12th Street"/>
    <x v="0"/>
    <x v="0"/>
    <n v="99999"/>
    <s v="USA"/>
    <x v="0"/>
    <x v="0"/>
    <d v="2014-12-14T00:00:00"/>
    <s v="Shipping Company B"/>
    <s v="John Edwards"/>
    <s v="123 12th Street"/>
    <x v="0"/>
    <s v="NV"/>
    <n v="99999"/>
    <x v="0"/>
    <s v="Credit Card"/>
    <s v="Chai"/>
    <x v="0"/>
    <n v="18"/>
    <n v="57"/>
    <x v="277"/>
    <n v="102.60000000000001"/>
  </r>
  <r>
    <n v="1374"/>
    <x v="136"/>
    <n v="12"/>
    <x v="2"/>
    <s v="123 12th Street"/>
    <x v="0"/>
    <x v="0"/>
    <n v="99999"/>
    <s v="USA"/>
    <x v="0"/>
    <x v="0"/>
    <d v="2014-12-14T00:00:00"/>
    <s v="Shipping Company B"/>
    <s v="John Edwards"/>
    <s v="123 12th Street"/>
    <x v="0"/>
    <s v="NV"/>
    <n v="99999"/>
    <x v="0"/>
    <s v="Credit Card"/>
    <s v="Coffee"/>
    <x v="0"/>
    <n v="46"/>
    <n v="83"/>
    <x v="278"/>
    <n v="374.16399999999999"/>
  </r>
  <r>
    <n v="1375"/>
    <x v="137"/>
    <n v="8"/>
    <x v="3"/>
    <s v="123 8th Street"/>
    <x v="2"/>
    <x v="2"/>
    <n v="99999"/>
    <s v="USA"/>
    <x v="2"/>
    <x v="2"/>
    <d v="2014-12-10T00:00:00"/>
    <s v="Shipping Company C"/>
    <s v="Elizabeth Andersen"/>
    <s v="123 8th Street"/>
    <x v="2"/>
    <s v="OR"/>
    <n v="99999"/>
    <x v="0"/>
    <s v="Credit Card"/>
    <s v="Chocolate Biscuits Mix"/>
    <x v="2"/>
    <n v="9.1999999999999993"/>
    <n v="76"/>
    <x v="279"/>
    <n v="67.123199999999997"/>
  </r>
  <r>
    <n v="1376"/>
    <x v="135"/>
    <n v="4"/>
    <x v="1"/>
    <s v="123 4th Street"/>
    <x v="1"/>
    <x v="1"/>
    <n v="99999"/>
    <s v="USA"/>
    <x v="1"/>
    <x v="1"/>
    <n v="41979"/>
    <s v="Shipping Company C"/>
    <s v="Christina Lee"/>
    <s v="123 4th Street"/>
    <x v="1"/>
    <s v="NY"/>
    <n v="99999"/>
    <x v="0"/>
    <s v="Check"/>
    <s v="Chocolate Biscuits Mix"/>
    <x v="2"/>
    <n v="9.1999999999999993"/>
    <n v="80"/>
    <x v="129"/>
    <n v="72.864000000000004"/>
  </r>
  <r>
    <n v="1377"/>
    <x v="138"/>
    <n v="29"/>
    <x v="4"/>
    <s v="789 29th Street"/>
    <x v="3"/>
    <x v="3"/>
    <n v="99999"/>
    <s v="USA"/>
    <x v="3"/>
    <x v="0"/>
    <n v="42004"/>
    <s v="Shipping Company B"/>
    <s v="Soo Jung Lee"/>
    <s v="789 29th Street"/>
    <x v="3"/>
    <s v="CO"/>
    <n v="99999"/>
    <x v="0"/>
    <s v="Check"/>
    <s v="Chocolate"/>
    <x v="3"/>
    <n v="12.75"/>
    <n v="47"/>
    <x v="13"/>
    <n v="59.325750000000006"/>
  </r>
  <r>
    <n v="1378"/>
    <x v="139"/>
    <n v="3"/>
    <x v="5"/>
    <s v="123 3rd Street"/>
    <x v="4"/>
    <x v="4"/>
    <n v="99999"/>
    <s v="USA"/>
    <x v="0"/>
    <x v="0"/>
    <n v="41978"/>
    <s v="Shipping Company B"/>
    <s v="Thomas Axerr"/>
    <s v="123 3rd Street"/>
    <x v="4"/>
    <s v="CA"/>
    <n v="99999"/>
    <x v="0"/>
    <s v="Cash"/>
    <s v="Clam Chowder"/>
    <x v="4"/>
    <n v="9.65"/>
    <n v="96"/>
    <x v="280"/>
    <n v="94.492800000000017"/>
  </r>
  <r>
    <n v="1379"/>
    <x v="140"/>
    <n v="6"/>
    <x v="6"/>
    <s v="123 6th Street"/>
    <x v="5"/>
    <x v="5"/>
    <n v="99999"/>
    <s v="USA"/>
    <x v="4"/>
    <x v="2"/>
    <n v="41981"/>
    <s v="Shipping Company B"/>
    <s v="Francisco Pérez-Olaeta"/>
    <s v="123 6th Street"/>
    <x v="5"/>
    <s v="WI"/>
    <n v="99999"/>
    <x v="0"/>
    <s v="Credit Card"/>
    <s v="Curry Sauce"/>
    <x v="5"/>
    <n v="40"/>
    <n v="32"/>
    <x v="11"/>
    <n v="134.4"/>
  </r>
  <r>
    <n v="1380"/>
    <x v="141"/>
    <n v="28"/>
    <x v="7"/>
    <s v="789 28th Street"/>
    <x v="6"/>
    <x v="6"/>
    <n v="99999"/>
    <s v="USA"/>
    <x v="5"/>
    <x v="3"/>
    <d v="2014-12-30T00:00:00"/>
    <s v="Shipping Company C"/>
    <s v="Amritansh Raghav"/>
    <s v="789 28th Street"/>
    <x v="6"/>
    <s v="TN"/>
    <n v="99999"/>
    <x v="0"/>
    <s v="Check"/>
    <s v="Coffee"/>
    <x v="0"/>
    <n v="46"/>
    <n v="16"/>
    <x v="129"/>
    <n v="73.600000000000009"/>
  </r>
  <r>
    <n v="1381"/>
    <x v="137"/>
    <n v="8"/>
    <x v="3"/>
    <s v="123 8th Street"/>
    <x v="2"/>
    <x v="2"/>
    <n v="99999"/>
    <s v="USA"/>
    <x v="2"/>
    <x v="2"/>
    <d v="2014-12-10T00:00:00"/>
    <s v="Shipping Company C"/>
    <s v="Elizabeth Andersen"/>
    <s v="123 8th Street"/>
    <x v="2"/>
    <s v="OR"/>
    <n v="99999"/>
    <x v="0"/>
    <s v="Check"/>
    <s v="Chocolate"/>
    <x v="3"/>
    <n v="12.75"/>
    <n v="41"/>
    <x v="87"/>
    <n v="51.229500000000002"/>
  </r>
  <r>
    <n v="1382"/>
    <x v="142"/>
    <n v="10"/>
    <x v="8"/>
    <s v="123 10th Street"/>
    <x v="7"/>
    <x v="7"/>
    <n v="99999"/>
    <s v="USA"/>
    <x v="6"/>
    <x v="1"/>
    <d v="2014-12-12T00:00:00"/>
    <s v="Shipping Company B"/>
    <s v="Roland Wacker"/>
    <s v="123 10th Street"/>
    <x v="7"/>
    <s v="IL"/>
    <n v="99999"/>
    <x v="0"/>
    <s v="Credit Card"/>
    <s v="Green Tea"/>
    <x v="0"/>
    <n v="2.99"/>
    <n v="41"/>
    <x v="281"/>
    <n v="12.871950000000002"/>
  </r>
  <r>
    <n v="1383"/>
    <x v="143"/>
    <n v="7"/>
    <x v="9"/>
    <s v="123 7th Street"/>
    <x v="8"/>
    <x v="8"/>
    <n v="99999"/>
    <s v="USA"/>
    <x v="2"/>
    <x v="2"/>
    <m/>
    <m/>
    <s v="Ming-Yang Xie"/>
    <s v="123 7th Street"/>
    <x v="8"/>
    <s v="ID"/>
    <n v="99999"/>
    <x v="0"/>
    <m/>
    <s v="Coffee"/>
    <x v="0"/>
    <n v="46"/>
    <n v="41"/>
    <x v="282"/>
    <n v="194.25800000000004"/>
  </r>
  <r>
    <n v="1384"/>
    <x v="142"/>
    <n v="10"/>
    <x v="8"/>
    <s v="123 10th Street"/>
    <x v="7"/>
    <x v="7"/>
    <n v="99999"/>
    <s v="USA"/>
    <x v="6"/>
    <x v="1"/>
    <d v="2014-12-12T00:00:00"/>
    <s v="Shipping Company A"/>
    <s v="Roland Wacker"/>
    <s v="123 10th Street"/>
    <x v="7"/>
    <s v="IL"/>
    <n v="99999"/>
    <x v="0"/>
    <m/>
    <s v="Boysenberry Spread"/>
    <x v="6"/>
    <n v="25"/>
    <n v="94"/>
    <x v="283"/>
    <n v="235"/>
  </r>
  <r>
    <n v="1385"/>
    <x v="142"/>
    <n v="10"/>
    <x v="8"/>
    <s v="123 10th Street"/>
    <x v="7"/>
    <x v="7"/>
    <n v="99999"/>
    <s v="USA"/>
    <x v="6"/>
    <x v="1"/>
    <d v="2014-12-12T00:00:00"/>
    <s v="Shipping Company A"/>
    <s v="Roland Wacker"/>
    <s v="123 10th Street"/>
    <x v="7"/>
    <s v="IL"/>
    <n v="99999"/>
    <x v="0"/>
    <m/>
    <s v="Cajun Seasoning"/>
    <x v="7"/>
    <n v="22"/>
    <n v="20"/>
    <x v="284"/>
    <n v="46.2"/>
  </r>
  <r>
    <n v="1386"/>
    <x v="142"/>
    <n v="10"/>
    <x v="8"/>
    <s v="123 10th Street"/>
    <x v="7"/>
    <x v="7"/>
    <n v="99999"/>
    <s v="USA"/>
    <x v="6"/>
    <x v="1"/>
    <n v="41985"/>
    <s v="Shipping Company A"/>
    <s v="Roland Wacker"/>
    <s v="123 10th Street"/>
    <x v="7"/>
    <s v="IL"/>
    <n v="99999"/>
    <x v="0"/>
    <m/>
    <s v="Chocolate Biscuits Mix"/>
    <x v="2"/>
    <n v="9.1999999999999993"/>
    <n v="13"/>
    <x v="285"/>
    <n v="12.438400000000001"/>
  </r>
  <r>
    <n v="1387"/>
    <x v="144"/>
    <n v="11"/>
    <x v="10"/>
    <s v="123 11th Street"/>
    <x v="9"/>
    <x v="9"/>
    <n v="99999"/>
    <s v="USA"/>
    <x v="5"/>
    <x v="3"/>
    <m/>
    <s v="Shipping Company C"/>
    <s v="Peter Krschne"/>
    <s v="123 11th Street"/>
    <x v="9"/>
    <s v="FL"/>
    <n v="99999"/>
    <x v="0"/>
    <m/>
    <s v="Dried Plums"/>
    <x v="1"/>
    <n v="3.5"/>
    <n v="74"/>
    <x v="58"/>
    <n v="26.936000000000003"/>
  </r>
  <r>
    <n v="1388"/>
    <x v="144"/>
    <n v="11"/>
    <x v="10"/>
    <s v="123 11th Street"/>
    <x v="9"/>
    <x v="9"/>
    <n v="99999"/>
    <s v="USA"/>
    <x v="5"/>
    <x v="3"/>
    <m/>
    <s v="Shipping Company C"/>
    <s v="Peter Krschne"/>
    <s v="123 11th Street"/>
    <x v="9"/>
    <s v="FL"/>
    <n v="99999"/>
    <x v="0"/>
    <m/>
    <s v="Green Tea"/>
    <x v="0"/>
    <n v="2.99"/>
    <n v="53"/>
    <x v="286"/>
    <n v="16.005470000000003"/>
  </r>
  <r>
    <n v="1389"/>
    <x v="145"/>
    <n v="1"/>
    <x v="11"/>
    <s v="123 1st Street"/>
    <x v="10"/>
    <x v="10"/>
    <n v="99999"/>
    <s v="USA"/>
    <x v="2"/>
    <x v="2"/>
    <m/>
    <m/>
    <s v="Anna Bedecs"/>
    <s v="123 1st Street"/>
    <x v="10"/>
    <s v="WA"/>
    <n v="99999"/>
    <x v="0"/>
    <m/>
    <s v="Chai"/>
    <x v="0"/>
    <n v="18"/>
    <n v="99"/>
    <x v="287"/>
    <n v="174.63600000000002"/>
  </r>
  <r>
    <n v="1390"/>
    <x v="145"/>
    <n v="1"/>
    <x v="11"/>
    <s v="123 1st Street"/>
    <x v="10"/>
    <x v="10"/>
    <n v="99999"/>
    <s v="USA"/>
    <x v="2"/>
    <x v="2"/>
    <m/>
    <m/>
    <s v="Anna Bedecs"/>
    <s v="123 1st Street"/>
    <x v="10"/>
    <s v="WA"/>
    <n v="99999"/>
    <x v="0"/>
    <m/>
    <s v="Coffee"/>
    <x v="0"/>
    <n v="46"/>
    <n v="89"/>
    <x v="288"/>
    <n v="388.93"/>
  </r>
  <r>
    <n v="1391"/>
    <x v="145"/>
    <n v="1"/>
    <x v="11"/>
    <s v="123 1st Street"/>
    <x v="10"/>
    <x v="10"/>
    <n v="99999"/>
    <s v="USA"/>
    <x v="2"/>
    <x v="2"/>
    <m/>
    <m/>
    <s v="Anna Bedecs"/>
    <s v="123 1st Street"/>
    <x v="10"/>
    <s v="WA"/>
    <n v="99999"/>
    <x v="0"/>
    <m/>
    <s v="Green Tea"/>
    <x v="0"/>
    <n v="2.99"/>
    <n v="64"/>
    <x v="200"/>
    <n v="19.518720000000002"/>
  </r>
  <r>
    <n v="1392"/>
    <x v="141"/>
    <n v="28"/>
    <x v="7"/>
    <s v="789 28th Street"/>
    <x v="6"/>
    <x v="6"/>
    <n v="99999"/>
    <s v="USA"/>
    <x v="5"/>
    <x v="3"/>
    <d v="2014-12-30T00:00:00"/>
    <s v="Shipping Company C"/>
    <s v="Amritansh Raghav"/>
    <s v="789 28th Street"/>
    <x v="6"/>
    <s v="TN"/>
    <n v="99999"/>
    <x v="0"/>
    <s v="Credit Card"/>
    <s v="Clam Chowder"/>
    <x v="4"/>
    <n v="9.65"/>
    <n v="98"/>
    <x v="289"/>
    <n v="96.461400000000012"/>
  </r>
  <r>
    <n v="1393"/>
    <x v="141"/>
    <n v="28"/>
    <x v="7"/>
    <s v="789 28th Street"/>
    <x v="6"/>
    <x v="6"/>
    <n v="99999"/>
    <s v="USA"/>
    <x v="5"/>
    <x v="3"/>
    <d v="2014-12-30T00:00:00"/>
    <s v="Shipping Company C"/>
    <s v="Amritansh Raghav"/>
    <s v="789 28th Street"/>
    <x v="6"/>
    <s v="TN"/>
    <n v="99999"/>
    <x v="0"/>
    <s v="Credit Card"/>
    <s v="Crab Meat"/>
    <x v="8"/>
    <n v="18.399999999999999"/>
    <n v="86"/>
    <x v="290"/>
    <n v="155.0752"/>
  </r>
  <r>
    <n v="1394"/>
    <x v="146"/>
    <n v="9"/>
    <x v="12"/>
    <s v="123 9th Street"/>
    <x v="11"/>
    <x v="11"/>
    <n v="99999"/>
    <s v="USA"/>
    <x v="7"/>
    <x v="0"/>
    <d v="2014-12-11T00:00:00"/>
    <s v="Shipping Company A"/>
    <s v="Sven Mortensen"/>
    <s v="123 9th Street"/>
    <x v="11"/>
    <s v="UT"/>
    <n v="99999"/>
    <x v="0"/>
    <s v="Check"/>
    <s v="Ravioli"/>
    <x v="9"/>
    <n v="19.5"/>
    <n v="20"/>
    <x v="291"/>
    <n v="40.950000000000003"/>
  </r>
  <r>
    <n v="1395"/>
    <x v="146"/>
    <n v="9"/>
    <x v="12"/>
    <s v="123 9th Street"/>
    <x v="11"/>
    <x v="11"/>
    <n v="99999"/>
    <s v="USA"/>
    <x v="7"/>
    <x v="0"/>
    <d v="2014-12-11T00:00:00"/>
    <s v="Shipping Company A"/>
    <s v="Sven Mortensen"/>
    <s v="123 9th Street"/>
    <x v="11"/>
    <s v="UT"/>
    <n v="99999"/>
    <x v="0"/>
    <s v="Check"/>
    <s v="Mozzarella"/>
    <x v="10"/>
    <n v="34.799999999999997"/>
    <n v="69"/>
    <x v="292"/>
    <n v="240.12"/>
  </r>
  <r>
    <n v="1396"/>
    <x v="140"/>
    <n v="6"/>
    <x v="6"/>
    <s v="123 6th Street"/>
    <x v="5"/>
    <x v="5"/>
    <n v="99999"/>
    <s v="USA"/>
    <x v="4"/>
    <x v="2"/>
    <d v="2014-12-08T00:00:00"/>
    <s v="Shipping Company B"/>
    <s v="Francisco Pérez-Olaeta"/>
    <s v="123 6th Street"/>
    <x v="5"/>
    <s v="WI"/>
    <n v="99999"/>
    <x v="0"/>
    <s v="Credit Card"/>
    <s v="Beer"/>
    <x v="0"/>
    <n v="14"/>
    <n v="68"/>
    <x v="293"/>
    <n v="91.391999999999996"/>
  </r>
  <r>
    <n v="1397"/>
    <x v="137"/>
    <n v="8"/>
    <x v="3"/>
    <s v="123 8th Street"/>
    <x v="2"/>
    <x v="2"/>
    <n v="99999"/>
    <s v="USA"/>
    <x v="2"/>
    <x v="2"/>
    <d v="2014-12-10T00:00:00"/>
    <s v="Shipping Company B"/>
    <s v="Elizabeth Andersen"/>
    <s v="123 8th Street"/>
    <x v="2"/>
    <s v="OR"/>
    <n v="99999"/>
    <x v="0"/>
    <s v="Check"/>
    <s v="Curry Sauce"/>
    <x v="5"/>
    <n v="40"/>
    <n v="52"/>
    <x v="294"/>
    <n v="203.84"/>
  </r>
  <r>
    <n v="1398"/>
    <x v="137"/>
    <n v="8"/>
    <x v="3"/>
    <s v="123 8th Street"/>
    <x v="2"/>
    <x v="2"/>
    <n v="99999"/>
    <s v="USA"/>
    <x v="2"/>
    <x v="2"/>
    <d v="2014-12-10T00:00:00"/>
    <s v="Shipping Company B"/>
    <s v="Elizabeth Andersen"/>
    <s v="123 8th Street"/>
    <x v="2"/>
    <s v="OR"/>
    <n v="99999"/>
    <x v="0"/>
    <s v="Check"/>
    <s v="Chocolate Biscuits Mix"/>
    <x v="2"/>
    <n v="9.1999999999999993"/>
    <n v="40"/>
    <x v="295"/>
    <n v="38.640000000000008"/>
  </r>
  <r>
    <n v="1399"/>
    <x v="147"/>
    <n v="25"/>
    <x v="13"/>
    <s v="789 25th Street"/>
    <x v="7"/>
    <x v="7"/>
    <n v="99999"/>
    <s v="USA"/>
    <x v="6"/>
    <x v="1"/>
    <d v="2014-12-27T00:00:00"/>
    <s v="Shipping Company A"/>
    <s v="John Rodman"/>
    <s v="789 25th Street"/>
    <x v="7"/>
    <s v="IL"/>
    <n v="99999"/>
    <x v="0"/>
    <s v="Cash"/>
    <s v="Scones"/>
    <x v="2"/>
    <n v="10"/>
    <n v="100"/>
    <x v="116"/>
    <n v="98"/>
  </r>
  <r>
    <n v="1400"/>
    <x v="148"/>
    <n v="26"/>
    <x v="14"/>
    <s v="789 26th Street"/>
    <x v="9"/>
    <x v="9"/>
    <n v="99999"/>
    <s v="USA"/>
    <x v="5"/>
    <x v="3"/>
    <d v="2014-12-28T00:00:00"/>
    <s v="Shipping Company C"/>
    <s v="Run Liu"/>
    <s v="789 26th Street"/>
    <x v="9"/>
    <s v="FL"/>
    <n v="99999"/>
    <x v="0"/>
    <s v="Credit Card"/>
    <s v="Olive Oil"/>
    <x v="13"/>
    <n v="21.35"/>
    <n v="88"/>
    <x v="296"/>
    <n v="184.12240000000003"/>
  </r>
  <r>
    <n v="1401"/>
    <x v="148"/>
    <n v="26"/>
    <x v="14"/>
    <s v="789 26th Street"/>
    <x v="9"/>
    <x v="9"/>
    <n v="99999"/>
    <s v="USA"/>
    <x v="5"/>
    <x v="3"/>
    <d v="2014-12-28T00:00:00"/>
    <s v="Shipping Company C"/>
    <s v="Run Liu"/>
    <s v="789 26th Street"/>
    <x v="9"/>
    <s v="FL"/>
    <n v="99999"/>
    <x v="0"/>
    <s v="Credit Card"/>
    <s v="Clam Chowder"/>
    <x v="4"/>
    <n v="9.65"/>
    <n v="46"/>
    <x v="256"/>
    <n v="42.614400000000003"/>
  </r>
  <r>
    <n v="1402"/>
    <x v="148"/>
    <n v="26"/>
    <x v="14"/>
    <s v="789 26th Street"/>
    <x v="9"/>
    <x v="9"/>
    <n v="99999"/>
    <s v="USA"/>
    <x v="5"/>
    <x v="3"/>
    <d v="2014-12-28T00:00:00"/>
    <s v="Shipping Company C"/>
    <s v="Run Liu"/>
    <s v="789 26th Street"/>
    <x v="9"/>
    <s v="FL"/>
    <n v="99999"/>
    <x v="0"/>
    <s v="Credit Card"/>
    <s v="Crab Meat"/>
    <x v="8"/>
    <n v="18.399999999999999"/>
    <n v="93"/>
    <x v="297"/>
    <n v="167.69759999999999"/>
  </r>
  <r>
    <n v="1403"/>
    <x v="138"/>
    <n v="29"/>
    <x v="4"/>
    <s v="789 29th Street"/>
    <x v="3"/>
    <x v="3"/>
    <n v="99999"/>
    <s v="USA"/>
    <x v="3"/>
    <x v="0"/>
    <d v="2014-12-31T00:00:00"/>
    <s v="Shipping Company B"/>
    <s v="Soo Jung Lee"/>
    <s v="789 29th Street"/>
    <x v="3"/>
    <s v="CO"/>
    <n v="99999"/>
    <x v="0"/>
    <s v="Check"/>
    <s v="Beer"/>
    <x v="0"/>
    <n v="14"/>
    <n v="96"/>
    <x v="298"/>
    <n v="141.12"/>
  </r>
  <r>
    <n v="1404"/>
    <x v="140"/>
    <n v="6"/>
    <x v="6"/>
    <s v="123 6th Street"/>
    <x v="5"/>
    <x v="5"/>
    <n v="99999"/>
    <s v="USA"/>
    <x v="4"/>
    <x v="2"/>
    <d v="2014-12-08T00:00:00"/>
    <s v="Shipping Company C"/>
    <s v="Francisco Pérez-Olaeta"/>
    <s v="123 6th Street"/>
    <x v="5"/>
    <s v="WI"/>
    <n v="99999"/>
    <x v="0"/>
    <s v="Check"/>
    <s v="Chocolate"/>
    <x v="3"/>
    <n v="12.75"/>
    <n v="12"/>
    <x v="299"/>
    <n v="16.065000000000001"/>
  </r>
  <r>
    <n v="1406"/>
    <x v="135"/>
    <n v="4"/>
    <x v="1"/>
    <s v="123 4th Street"/>
    <x v="1"/>
    <x v="1"/>
    <n v="99999"/>
    <s v="USA"/>
    <x v="1"/>
    <x v="1"/>
    <d v="2014-12-06T00:00:00"/>
    <s v="Shipping Company A"/>
    <s v="Christina Lee"/>
    <s v="123 4th Street"/>
    <x v="1"/>
    <s v="NY"/>
    <n v="99999"/>
    <x v="0"/>
    <s v="Credit Card"/>
    <s v="Marmalade"/>
    <x v="6"/>
    <n v="81"/>
    <n v="38"/>
    <x v="300"/>
    <n v="292.41000000000003"/>
  </r>
  <r>
    <n v="1407"/>
    <x v="135"/>
    <n v="4"/>
    <x v="1"/>
    <s v="123 4th Street"/>
    <x v="1"/>
    <x v="1"/>
    <n v="99999"/>
    <s v="USA"/>
    <x v="1"/>
    <x v="1"/>
    <d v="2014-12-06T00:00:00"/>
    <s v="Shipping Company A"/>
    <s v="Christina Lee"/>
    <s v="123 4th Street"/>
    <x v="1"/>
    <s v="NY"/>
    <n v="99999"/>
    <x v="0"/>
    <s v="Credit Card"/>
    <s v="Long Grain Rice"/>
    <x v="14"/>
    <n v="7"/>
    <n v="42"/>
    <x v="108"/>
    <n v="29.106000000000002"/>
  </r>
  <r>
    <n v="1409"/>
    <x v="137"/>
    <n v="8"/>
    <x v="3"/>
    <s v="123 8th Street"/>
    <x v="2"/>
    <x v="2"/>
    <n v="99999"/>
    <s v="USA"/>
    <x v="2"/>
    <x v="2"/>
    <d v="2014-12-10T00:00:00"/>
    <s v="Shipping Company C"/>
    <s v="Elizabeth Andersen"/>
    <s v="123 8th Street"/>
    <x v="2"/>
    <s v="OR"/>
    <n v="99999"/>
    <x v="0"/>
    <s v="Credit Card"/>
    <s v="Mozzarella"/>
    <x v="10"/>
    <n v="34.799999999999997"/>
    <n v="100"/>
    <x v="301"/>
    <n v="344.52"/>
  </r>
  <r>
    <n v="1412"/>
    <x v="139"/>
    <n v="3"/>
    <x v="5"/>
    <s v="123 3rd Street"/>
    <x v="4"/>
    <x v="4"/>
    <n v="99999"/>
    <s v="USA"/>
    <x v="0"/>
    <x v="0"/>
    <d v="2014-12-05T00:00:00"/>
    <s v="Shipping Company B"/>
    <s v="Thomas Axerr"/>
    <s v="123 3rd Street"/>
    <x v="4"/>
    <s v="CA"/>
    <n v="99999"/>
    <x v="0"/>
    <s v="Cash"/>
    <s v="Syrup"/>
    <x v="7"/>
    <n v="10"/>
    <n v="89"/>
    <x v="302"/>
    <n v="87.22"/>
  </r>
  <r>
    <n v="1413"/>
    <x v="139"/>
    <n v="3"/>
    <x v="5"/>
    <s v="123 3rd Street"/>
    <x v="4"/>
    <x v="4"/>
    <n v="99999"/>
    <s v="USA"/>
    <x v="0"/>
    <x v="0"/>
    <d v="2014-12-05T00:00:00"/>
    <s v="Shipping Company B"/>
    <s v="Thomas Axerr"/>
    <s v="123 3rd Street"/>
    <x v="4"/>
    <s v="CA"/>
    <n v="99999"/>
    <x v="0"/>
    <s v="Cash"/>
    <s v="Curry Sauce"/>
    <x v="5"/>
    <n v="40"/>
    <n v="12"/>
    <x v="60"/>
    <n v="46.56"/>
  </r>
  <r>
    <n v="1417"/>
    <x v="142"/>
    <n v="10"/>
    <x v="8"/>
    <s v="123 10th Street"/>
    <x v="7"/>
    <x v="7"/>
    <n v="99999"/>
    <s v="USA"/>
    <x v="6"/>
    <x v="1"/>
    <d v="2014-12-12T00:00:00"/>
    <s v="Shipping Company B"/>
    <s v="Roland Wacker"/>
    <s v="123 10th Street"/>
    <x v="7"/>
    <s v="IL"/>
    <n v="99999"/>
    <x v="0"/>
    <s v="Credit Card"/>
    <s v="Almonds"/>
    <x v="1"/>
    <n v="10"/>
    <n v="97"/>
    <x v="303"/>
    <n v="100.88000000000001"/>
  </r>
  <r>
    <n v="1419"/>
    <x v="142"/>
    <n v="10"/>
    <x v="8"/>
    <s v="123 10th Street"/>
    <x v="7"/>
    <x v="7"/>
    <n v="99999"/>
    <s v="USA"/>
    <x v="6"/>
    <x v="1"/>
    <m/>
    <s v="Shipping Company A"/>
    <s v="Roland Wacker"/>
    <s v="123 10th Street"/>
    <x v="7"/>
    <s v="IL"/>
    <n v="99999"/>
    <x v="0"/>
    <m/>
    <s v="Dried Plums"/>
    <x v="1"/>
    <n v="3.5"/>
    <n v="53"/>
    <x v="304"/>
    <n v="17.622499999999999"/>
  </r>
  <r>
    <n v="1420"/>
    <x v="144"/>
    <n v="11"/>
    <x v="10"/>
    <s v="123 11th Street"/>
    <x v="9"/>
    <x v="9"/>
    <n v="99999"/>
    <s v="USA"/>
    <x v="5"/>
    <x v="3"/>
    <m/>
    <s v="Shipping Company C"/>
    <s v="Peter Krschne"/>
    <s v="123 11th Street"/>
    <x v="9"/>
    <s v="FL"/>
    <n v="99999"/>
    <x v="0"/>
    <m/>
    <s v="Curry Sauce"/>
    <x v="5"/>
    <n v="40"/>
    <n v="61"/>
    <x v="305"/>
    <n v="248.88"/>
  </r>
  <r>
    <n v="1421"/>
    <x v="145"/>
    <n v="1"/>
    <x v="11"/>
    <s v="123 1st Street"/>
    <x v="10"/>
    <x v="10"/>
    <n v="99999"/>
    <s v="USA"/>
    <x v="2"/>
    <x v="2"/>
    <m/>
    <s v="Shipping Company C"/>
    <s v="Anna Bedecs"/>
    <s v="123 1st Street"/>
    <x v="10"/>
    <s v="WA"/>
    <n v="99999"/>
    <x v="0"/>
    <m/>
    <s v="Crab Meat"/>
    <x v="8"/>
    <n v="18.399999999999999"/>
    <n v="45"/>
    <x v="306"/>
    <n v="81.143999999999991"/>
  </r>
  <r>
    <n v="1422"/>
    <x v="141"/>
    <n v="28"/>
    <x v="7"/>
    <s v="789 28th Street"/>
    <x v="6"/>
    <x v="6"/>
    <n v="99999"/>
    <s v="USA"/>
    <x v="5"/>
    <x v="3"/>
    <d v="2014-12-30T00:00:00"/>
    <s v="Shipping Company C"/>
    <s v="Amritansh Raghav"/>
    <s v="789 28th Street"/>
    <x v="6"/>
    <s v="TN"/>
    <n v="99999"/>
    <x v="0"/>
    <s v="Credit Card"/>
    <s v="Coffee"/>
    <x v="0"/>
    <n v="46"/>
    <n v="43"/>
    <x v="307"/>
    <n v="197.8"/>
  </r>
  <r>
    <n v="1423"/>
    <x v="146"/>
    <n v="9"/>
    <x v="12"/>
    <s v="123 9th Street"/>
    <x v="11"/>
    <x v="11"/>
    <n v="99999"/>
    <s v="USA"/>
    <x v="7"/>
    <x v="0"/>
    <d v="2014-12-11T00:00:00"/>
    <s v="Shipping Company A"/>
    <s v="Sven Mortensen"/>
    <s v="123 9th Street"/>
    <x v="11"/>
    <s v="UT"/>
    <n v="99999"/>
    <x v="0"/>
    <s v="Check"/>
    <s v="Clam Chowder"/>
    <x v="4"/>
    <n v="9.65"/>
    <n v="18"/>
    <x v="308"/>
    <n v="16.5015"/>
  </r>
  <r>
    <n v="1424"/>
    <x v="140"/>
    <n v="6"/>
    <x v="6"/>
    <s v="123 6th Street"/>
    <x v="5"/>
    <x v="5"/>
    <n v="99999"/>
    <s v="USA"/>
    <x v="4"/>
    <x v="2"/>
    <d v="2014-12-08T00:00:00"/>
    <s v="Shipping Company B"/>
    <s v="Francisco Pérez-Olaeta"/>
    <s v="123 6th Street"/>
    <x v="5"/>
    <s v="WI"/>
    <n v="99999"/>
    <x v="0"/>
    <s v="Credit Card"/>
    <s v="Chocolate"/>
    <x v="3"/>
    <n v="12.75"/>
    <n v="41"/>
    <x v="87"/>
    <n v="50.706750000000007"/>
  </r>
  <r>
    <n v="1425"/>
    <x v="137"/>
    <n v="8"/>
    <x v="3"/>
    <s v="123 8th Street"/>
    <x v="2"/>
    <x v="2"/>
    <n v="99999"/>
    <s v="USA"/>
    <x v="2"/>
    <x v="2"/>
    <n v="41983"/>
    <s v="Shipping Company B"/>
    <s v="Elizabeth Andersen"/>
    <s v="123 8th Street"/>
    <x v="2"/>
    <s v="OR"/>
    <n v="99999"/>
    <x v="0"/>
    <s v="Check"/>
    <s v="Chocolate"/>
    <x v="3"/>
    <n v="12.75"/>
    <n v="19"/>
    <x v="109"/>
    <n v="23.982750000000003"/>
  </r>
  <r>
    <n v="1426"/>
    <x v="147"/>
    <n v="25"/>
    <x v="13"/>
    <s v="789 25th Street"/>
    <x v="7"/>
    <x v="7"/>
    <n v="99999"/>
    <s v="USA"/>
    <x v="6"/>
    <x v="1"/>
    <n v="42000"/>
    <s v="Shipping Company A"/>
    <s v="John Rodman"/>
    <s v="789 25th Street"/>
    <x v="7"/>
    <s v="IL"/>
    <n v="99999"/>
    <x v="0"/>
    <s v="Cash"/>
    <s v="Cajun Seasoning"/>
    <x v="7"/>
    <n v="22"/>
    <n v="65"/>
    <x v="309"/>
    <n v="138.71"/>
  </r>
  <r>
    <n v="1427"/>
    <x v="148"/>
    <n v="26"/>
    <x v="14"/>
    <s v="789 26th Street"/>
    <x v="9"/>
    <x v="9"/>
    <n v="99999"/>
    <s v="USA"/>
    <x v="5"/>
    <x v="3"/>
    <n v="42001"/>
    <s v="Shipping Company C"/>
    <s v="Run Liu"/>
    <s v="789 26th Street"/>
    <x v="9"/>
    <s v="FL"/>
    <n v="99999"/>
    <x v="0"/>
    <s v="Credit Card"/>
    <s v="Boysenberry Spread"/>
    <x v="6"/>
    <n v="25"/>
    <n v="13"/>
    <x v="310"/>
    <n v="32.174999999999997"/>
  </r>
  <r>
    <n v="1428"/>
    <x v="138"/>
    <n v="29"/>
    <x v="4"/>
    <s v="789 29th Street"/>
    <x v="3"/>
    <x v="3"/>
    <n v="99999"/>
    <s v="USA"/>
    <x v="3"/>
    <x v="0"/>
    <n v="42004"/>
    <s v="Shipping Company B"/>
    <s v="Soo Jung Lee"/>
    <s v="789 29th Street"/>
    <x v="3"/>
    <s v="CO"/>
    <n v="99999"/>
    <x v="0"/>
    <s v="Check"/>
    <s v="Fruit Cocktail"/>
    <x v="12"/>
    <n v="39"/>
    <n v="54"/>
    <x v="311"/>
    <n v="214.81200000000004"/>
  </r>
  <r>
    <n v="1429"/>
    <x v="140"/>
    <n v="6"/>
    <x v="6"/>
    <s v="123 6th Street"/>
    <x v="5"/>
    <x v="5"/>
    <n v="99999"/>
    <s v="USA"/>
    <x v="4"/>
    <x v="2"/>
    <d v="2014-12-08T00:00:00"/>
    <s v="Shipping Company C"/>
    <s v="Francisco Pérez-Olaeta"/>
    <s v="123 6th Street"/>
    <x v="5"/>
    <s v="WI"/>
    <n v="99999"/>
    <x v="0"/>
    <s v="Check"/>
    <s v="Dried Pears"/>
    <x v="1"/>
    <n v="30"/>
    <n v="33"/>
    <x v="82"/>
    <n v="95.039999999999992"/>
  </r>
  <r>
    <n v="1430"/>
    <x v="140"/>
    <n v="6"/>
    <x v="6"/>
    <s v="123 6th Street"/>
    <x v="5"/>
    <x v="5"/>
    <n v="99999"/>
    <s v="USA"/>
    <x v="4"/>
    <x v="2"/>
    <d v="2014-12-08T00:00:00"/>
    <s v="Shipping Company C"/>
    <s v="Francisco Pérez-Olaeta"/>
    <s v="123 6th Street"/>
    <x v="5"/>
    <s v="WI"/>
    <n v="99999"/>
    <x v="0"/>
    <s v="Check"/>
    <s v="Dried Apples"/>
    <x v="1"/>
    <n v="53"/>
    <n v="34"/>
    <x v="312"/>
    <n v="185.60600000000002"/>
  </r>
  <r>
    <n v="1431"/>
    <x v="135"/>
    <n v="4"/>
    <x v="1"/>
    <s v="123 4th Street"/>
    <x v="1"/>
    <x v="1"/>
    <n v="99999"/>
    <s v="USA"/>
    <x v="1"/>
    <x v="1"/>
    <m/>
    <m/>
    <s v="Christina Lee"/>
    <s v="123 4th Street"/>
    <x v="1"/>
    <s v="NY"/>
    <n v="99999"/>
    <x v="0"/>
    <m/>
    <s v="Gnocchi"/>
    <x v="9"/>
    <n v="38"/>
    <n v="59"/>
    <x v="313"/>
    <n v="226.44200000000001"/>
  </r>
  <r>
    <n v="1432"/>
    <x v="139"/>
    <n v="3"/>
    <x v="5"/>
    <s v="123 3rd Street"/>
    <x v="4"/>
    <x v="4"/>
    <n v="99999"/>
    <s v="USA"/>
    <x v="0"/>
    <x v="0"/>
    <m/>
    <m/>
    <s v="Thomas Axerr"/>
    <s v="123 3rd Street"/>
    <x v="4"/>
    <s v="CA"/>
    <n v="99999"/>
    <x v="0"/>
    <m/>
    <s v="Green Tea"/>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2">
  <location ref="A3:B12"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axis="axisRow"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9"/>
  </rowFields>
  <rowItems count="9">
    <i>
      <x v="6"/>
    </i>
    <i>
      <x v="1"/>
    </i>
    <i>
      <x/>
    </i>
    <i>
      <x v="4"/>
    </i>
    <i>
      <x v="3"/>
    </i>
    <i>
      <x v="5"/>
    </i>
    <i>
      <x v="7"/>
    </i>
    <i>
      <x v="2"/>
    </i>
    <i t="grand">
      <x/>
    </i>
  </rowItems>
  <colItems count="1">
    <i/>
  </colItems>
  <dataFields count="1">
    <dataField name="Sum of Revenue" fld="24" baseField="0" baseItem="0" numFmtId="165"/>
  </dataFields>
  <formats count="1">
    <format dxfId="16">
      <pivotArea outline="0" collapsedLevelsAreSubtotals="1" fieldPosition="0"/>
    </format>
  </formats>
  <chartFormats count="2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6"/>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7"/>
          </reference>
        </references>
      </pivotArea>
    </chartFormat>
    <chartFormat chart="0" format="8">
      <pivotArea type="data" outline="0" fieldPosition="0">
        <references count="2">
          <reference field="4294967294" count="1" selected="0">
            <x v="0"/>
          </reference>
          <reference field="9" count="1" selected="0">
            <x v="2"/>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9" count="1" selected="0">
            <x v="6"/>
          </reference>
        </references>
      </pivotArea>
    </chartFormat>
    <chartFormat chart="5" format="20">
      <pivotArea type="data" outline="0" fieldPosition="0">
        <references count="2">
          <reference field="4294967294" count="1" selected="0">
            <x v="0"/>
          </reference>
          <reference field="9" count="1" selected="0">
            <x v="1"/>
          </reference>
        </references>
      </pivotArea>
    </chartFormat>
    <chartFormat chart="5" format="21">
      <pivotArea type="data" outline="0" fieldPosition="0">
        <references count="2">
          <reference field="4294967294" count="1" selected="0">
            <x v="0"/>
          </reference>
          <reference field="9" count="1" selected="0">
            <x v="0"/>
          </reference>
        </references>
      </pivotArea>
    </chartFormat>
    <chartFormat chart="5" format="22">
      <pivotArea type="data" outline="0" fieldPosition="0">
        <references count="2">
          <reference field="4294967294" count="1" selected="0">
            <x v="0"/>
          </reference>
          <reference field="9" count="1" selected="0">
            <x v="4"/>
          </reference>
        </references>
      </pivotArea>
    </chartFormat>
    <chartFormat chart="5" format="23">
      <pivotArea type="data" outline="0" fieldPosition="0">
        <references count="2">
          <reference field="4294967294" count="1" selected="0">
            <x v="0"/>
          </reference>
          <reference field="9" count="1" selected="0">
            <x v="3"/>
          </reference>
        </references>
      </pivotArea>
    </chartFormat>
    <chartFormat chart="5" format="24">
      <pivotArea type="data" outline="0" fieldPosition="0">
        <references count="2">
          <reference field="4294967294" count="1" selected="0">
            <x v="0"/>
          </reference>
          <reference field="9" count="1" selected="0">
            <x v="5"/>
          </reference>
        </references>
      </pivotArea>
    </chartFormat>
    <chartFormat chart="5" format="25">
      <pivotArea type="data" outline="0" fieldPosition="0">
        <references count="2">
          <reference field="4294967294" count="1" selected="0">
            <x v="0"/>
          </reference>
          <reference field="9" count="1" selected="0">
            <x v="7"/>
          </reference>
        </references>
      </pivotArea>
    </chartFormat>
    <chartFormat chart="5" format="26">
      <pivotArea type="data" outline="0" fieldPosition="0">
        <references count="2">
          <reference field="4294967294" count="1" selected="0">
            <x v="0"/>
          </reference>
          <reference field="9" count="1" selected="0">
            <x v="2"/>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9" count="1" selected="0">
            <x v="6"/>
          </reference>
        </references>
      </pivotArea>
    </chartFormat>
    <chartFormat chart="8" format="20">
      <pivotArea type="data" outline="0" fieldPosition="0">
        <references count="2">
          <reference field="4294967294" count="1" selected="0">
            <x v="0"/>
          </reference>
          <reference field="9" count="1" selected="0">
            <x v="1"/>
          </reference>
        </references>
      </pivotArea>
    </chartFormat>
    <chartFormat chart="8" format="21">
      <pivotArea type="data" outline="0" fieldPosition="0">
        <references count="2">
          <reference field="4294967294" count="1" selected="0">
            <x v="0"/>
          </reference>
          <reference field="9" count="1" selected="0">
            <x v="0"/>
          </reference>
        </references>
      </pivotArea>
    </chartFormat>
    <chartFormat chart="8" format="22">
      <pivotArea type="data" outline="0" fieldPosition="0">
        <references count="2">
          <reference field="4294967294" count="1" selected="0">
            <x v="0"/>
          </reference>
          <reference field="9" count="1" selected="0">
            <x v="4"/>
          </reference>
        </references>
      </pivotArea>
    </chartFormat>
    <chartFormat chart="8" format="23">
      <pivotArea type="data" outline="0" fieldPosition="0">
        <references count="2">
          <reference field="4294967294" count="1" selected="0">
            <x v="0"/>
          </reference>
          <reference field="9" count="1" selected="0">
            <x v="3"/>
          </reference>
        </references>
      </pivotArea>
    </chartFormat>
    <chartFormat chart="8" format="24">
      <pivotArea type="data" outline="0" fieldPosition="0">
        <references count="2">
          <reference field="4294967294" count="1" selected="0">
            <x v="0"/>
          </reference>
          <reference field="9" count="1" selected="0">
            <x v="5"/>
          </reference>
        </references>
      </pivotArea>
    </chartFormat>
    <chartFormat chart="8" format="25">
      <pivotArea type="data" outline="0" fieldPosition="0">
        <references count="2">
          <reference field="4294967294" count="1" selected="0">
            <x v="0"/>
          </reference>
          <reference field="9" count="1" selected="0">
            <x v="7"/>
          </reference>
        </references>
      </pivotArea>
    </chartFormat>
    <chartFormat chart="8" format="2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1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5">
  <location ref="A3:B14"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items count="13">
        <item x="8"/>
        <item x="7"/>
        <item x="3"/>
        <item x="0"/>
        <item x="4"/>
        <item x="6"/>
        <item x="9"/>
        <item x="5"/>
        <item x="1"/>
        <item x="2"/>
        <item x="11"/>
        <item x="10"/>
        <item t="default"/>
      </items>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3"/>
  </rowFields>
  <rowItems count="11">
    <i>
      <x v="5"/>
    </i>
    <i>
      <x v="8"/>
    </i>
    <i>
      <x v="2"/>
    </i>
    <i>
      <x v="6"/>
    </i>
    <i>
      <x/>
    </i>
    <i>
      <x v="9"/>
    </i>
    <i>
      <x v="10"/>
    </i>
    <i>
      <x v="14"/>
    </i>
    <i>
      <x v="3"/>
    </i>
    <i>
      <x v="11"/>
    </i>
    <i t="grand">
      <x/>
    </i>
  </rowItems>
  <colItems count="1">
    <i/>
  </colItems>
  <dataFields count="1">
    <dataField name="Sum of Revenue" fld="24" baseField="0" baseItem="0" numFmtId="165"/>
  </dataFields>
  <formats count="1">
    <format dxfId="15">
      <pivotArea outline="0" collapsedLevelsAreSubtotals="1" fieldPosition="0"/>
    </format>
  </formats>
  <chartFormats count="34">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22">
      <pivotArea type="data" outline="0" fieldPosition="0">
        <references count="2">
          <reference field="4294967294" count="1" selected="0">
            <x v="0"/>
          </reference>
          <reference field="3" count="1" selected="0">
            <x v="5"/>
          </reference>
        </references>
      </pivotArea>
    </chartFormat>
    <chartFormat chart="2" format="23">
      <pivotArea type="data" outline="0" fieldPosition="0">
        <references count="2">
          <reference field="4294967294" count="1" selected="0">
            <x v="0"/>
          </reference>
          <reference field="3" count="1" selected="0">
            <x v="8"/>
          </reference>
        </references>
      </pivotArea>
    </chartFormat>
    <chartFormat chart="2" format="24">
      <pivotArea type="data" outline="0" fieldPosition="0">
        <references count="2">
          <reference field="4294967294" count="1" selected="0">
            <x v="0"/>
          </reference>
          <reference field="3" count="1" selected="0">
            <x v="2"/>
          </reference>
        </references>
      </pivotArea>
    </chartFormat>
    <chartFormat chart="2" format="25">
      <pivotArea type="data" outline="0" fieldPosition="0">
        <references count="2">
          <reference field="4294967294" count="1" selected="0">
            <x v="0"/>
          </reference>
          <reference field="3" count="1" selected="0">
            <x v="6"/>
          </reference>
        </references>
      </pivotArea>
    </chartFormat>
    <chartFormat chart="2" format="26">
      <pivotArea type="data" outline="0" fieldPosition="0">
        <references count="2">
          <reference field="4294967294" count="1" selected="0">
            <x v="0"/>
          </reference>
          <reference field="3" count="1" selected="0">
            <x v="0"/>
          </reference>
        </references>
      </pivotArea>
    </chartFormat>
    <chartFormat chart="2" format="27">
      <pivotArea type="data" outline="0" fieldPosition="0">
        <references count="2">
          <reference field="4294967294" count="1" selected="0">
            <x v="0"/>
          </reference>
          <reference field="3" count="1" selected="0">
            <x v="9"/>
          </reference>
        </references>
      </pivotArea>
    </chartFormat>
    <chartFormat chart="2" format="28">
      <pivotArea type="data" outline="0" fieldPosition="0">
        <references count="2">
          <reference field="4294967294" count="1" selected="0">
            <x v="0"/>
          </reference>
          <reference field="3" count="1" selected="0">
            <x v="10"/>
          </reference>
        </references>
      </pivotArea>
    </chartFormat>
    <chartFormat chart="2" format="29">
      <pivotArea type="data" outline="0" fieldPosition="0">
        <references count="2">
          <reference field="4294967294" count="1" selected="0">
            <x v="0"/>
          </reference>
          <reference field="3" count="1" selected="0">
            <x v="14"/>
          </reference>
        </references>
      </pivotArea>
    </chartFormat>
    <chartFormat chart="2" format="30">
      <pivotArea type="data" outline="0" fieldPosition="0">
        <references count="2">
          <reference field="4294967294" count="1" selected="0">
            <x v="0"/>
          </reference>
          <reference field="3" count="1" selected="0">
            <x v="3"/>
          </reference>
        </references>
      </pivotArea>
    </chartFormat>
    <chartFormat chart="2" format="31">
      <pivotArea type="data" outline="0" fieldPosition="0">
        <references count="2">
          <reference field="4294967294" count="1" selected="0">
            <x v="0"/>
          </reference>
          <reference field="3" count="1" selected="0">
            <x v="11"/>
          </reference>
        </references>
      </pivotArea>
    </chartFormat>
    <chartFormat chart="9" format="32" series="1">
      <pivotArea type="data" outline="0" fieldPosition="0">
        <references count="1">
          <reference field="4294967294" count="1" selected="0">
            <x v="0"/>
          </reference>
        </references>
      </pivotArea>
    </chartFormat>
    <chartFormat chart="9" format="33">
      <pivotArea type="data" outline="0" fieldPosition="0">
        <references count="2">
          <reference field="4294967294" count="1" selected="0">
            <x v="0"/>
          </reference>
          <reference field="3" count="1" selected="0">
            <x v="5"/>
          </reference>
        </references>
      </pivotArea>
    </chartFormat>
    <chartFormat chart="9" format="34">
      <pivotArea type="data" outline="0" fieldPosition="0">
        <references count="2">
          <reference field="4294967294" count="1" selected="0">
            <x v="0"/>
          </reference>
          <reference field="3" count="1" selected="0">
            <x v="8"/>
          </reference>
        </references>
      </pivotArea>
    </chartFormat>
    <chartFormat chart="9" format="35">
      <pivotArea type="data" outline="0" fieldPosition="0">
        <references count="2">
          <reference field="4294967294" count="1" selected="0">
            <x v="0"/>
          </reference>
          <reference field="3" count="1" selected="0">
            <x v="2"/>
          </reference>
        </references>
      </pivotArea>
    </chartFormat>
    <chartFormat chart="9" format="36">
      <pivotArea type="data" outline="0" fieldPosition="0">
        <references count="2">
          <reference field="4294967294" count="1" selected="0">
            <x v="0"/>
          </reference>
          <reference field="3" count="1" selected="0">
            <x v="6"/>
          </reference>
        </references>
      </pivotArea>
    </chartFormat>
    <chartFormat chart="9" format="37">
      <pivotArea type="data" outline="0" fieldPosition="0">
        <references count="2">
          <reference field="4294967294" count="1" selected="0">
            <x v="0"/>
          </reference>
          <reference field="3" count="1" selected="0">
            <x v="0"/>
          </reference>
        </references>
      </pivotArea>
    </chartFormat>
    <chartFormat chart="9" format="38">
      <pivotArea type="data" outline="0" fieldPosition="0">
        <references count="2">
          <reference field="4294967294" count="1" selected="0">
            <x v="0"/>
          </reference>
          <reference field="3" count="1" selected="0">
            <x v="9"/>
          </reference>
        </references>
      </pivotArea>
    </chartFormat>
    <chartFormat chart="9" format="39">
      <pivotArea type="data" outline="0" fieldPosition="0">
        <references count="2">
          <reference field="4294967294" count="1" selected="0">
            <x v="0"/>
          </reference>
          <reference field="3" count="1" selected="0">
            <x v="10"/>
          </reference>
        </references>
      </pivotArea>
    </chartFormat>
    <chartFormat chart="9" format="40">
      <pivotArea type="data" outline="0" fieldPosition="0">
        <references count="2">
          <reference field="4294967294" count="1" selected="0">
            <x v="0"/>
          </reference>
          <reference field="3" count="1" selected="0">
            <x v="14"/>
          </reference>
        </references>
      </pivotArea>
    </chartFormat>
    <chartFormat chart="9" format="41">
      <pivotArea type="data" outline="0" fieldPosition="0">
        <references count="2">
          <reference field="4294967294" count="1" selected="0">
            <x v="0"/>
          </reference>
          <reference field="3" count="1" selected="0">
            <x v="3"/>
          </reference>
        </references>
      </pivotArea>
    </chartFormat>
    <chartFormat chart="9" format="42">
      <pivotArea type="data" outline="0" fieldPosition="0">
        <references count="2">
          <reference field="4294967294" count="1" selected="0">
            <x v="0"/>
          </reference>
          <reference field="3" count="1" selected="0">
            <x v="11"/>
          </reference>
        </references>
      </pivotArea>
    </chartFormat>
    <chartFormat chart="10" format="43" series="1">
      <pivotArea type="data" outline="0" fieldPosition="0">
        <references count="1">
          <reference field="4294967294" count="1" selected="0">
            <x v="0"/>
          </reference>
        </references>
      </pivotArea>
    </chartFormat>
    <chartFormat chart="10" format="44">
      <pivotArea type="data" outline="0" fieldPosition="0">
        <references count="2">
          <reference field="4294967294" count="1" selected="0">
            <x v="0"/>
          </reference>
          <reference field="3" count="1" selected="0">
            <x v="5"/>
          </reference>
        </references>
      </pivotArea>
    </chartFormat>
    <chartFormat chart="10" format="45">
      <pivotArea type="data" outline="0" fieldPosition="0">
        <references count="2">
          <reference field="4294967294" count="1" selected="0">
            <x v="0"/>
          </reference>
          <reference field="3" count="1" selected="0">
            <x v="8"/>
          </reference>
        </references>
      </pivotArea>
    </chartFormat>
    <chartFormat chart="10" format="46">
      <pivotArea type="data" outline="0" fieldPosition="0">
        <references count="2">
          <reference field="4294967294" count="1" selected="0">
            <x v="0"/>
          </reference>
          <reference field="3" count="1" selected="0">
            <x v="2"/>
          </reference>
        </references>
      </pivotArea>
    </chartFormat>
    <chartFormat chart="10" format="47">
      <pivotArea type="data" outline="0" fieldPosition="0">
        <references count="2">
          <reference field="4294967294" count="1" selected="0">
            <x v="0"/>
          </reference>
          <reference field="3" count="1" selected="0">
            <x v="6"/>
          </reference>
        </references>
      </pivotArea>
    </chartFormat>
    <chartFormat chart="10" format="48">
      <pivotArea type="data" outline="0" fieldPosition="0">
        <references count="2">
          <reference field="4294967294" count="1" selected="0">
            <x v="0"/>
          </reference>
          <reference field="3" count="1" selected="0">
            <x v="0"/>
          </reference>
        </references>
      </pivotArea>
    </chartFormat>
    <chartFormat chart="10" format="49">
      <pivotArea type="data" outline="0" fieldPosition="0">
        <references count="2">
          <reference field="4294967294" count="1" selected="0">
            <x v="0"/>
          </reference>
          <reference field="3" count="1" selected="0">
            <x v="9"/>
          </reference>
        </references>
      </pivotArea>
    </chartFormat>
    <chartFormat chart="10" format="50">
      <pivotArea type="data" outline="0" fieldPosition="0">
        <references count="2">
          <reference field="4294967294" count="1" selected="0">
            <x v="0"/>
          </reference>
          <reference field="3" count="1" selected="0">
            <x v="10"/>
          </reference>
        </references>
      </pivotArea>
    </chartFormat>
    <chartFormat chart="10" format="51">
      <pivotArea type="data" outline="0" fieldPosition="0">
        <references count="2">
          <reference field="4294967294" count="1" selected="0">
            <x v="0"/>
          </reference>
          <reference field="3" count="1" selected="0">
            <x v="14"/>
          </reference>
        </references>
      </pivotArea>
    </chartFormat>
    <chartFormat chart="10" format="52">
      <pivotArea type="data" outline="0" fieldPosition="0">
        <references count="2">
          <reference field="4294967294" count="1" selected="0">
            <x v="0"/>
          </reference>
          <reference field="3" count="1" selected="0">
            <x v="3"/>
          </reference>
        </references>
      </pivotArea>
    </chartFormat>
    <chartFormat chart="10" format="53">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E00-000002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7">
  <location ref="A3:B16" firstHeaderRow="1" firstDataRow="1" firstDataCol="1"/>
  <pivotFields count="26">
    <pivotField showAll="0"/>
    <pivotField axis="axisRow"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1"/>
  </rowFields>
  <rowItems count="13">
    <i>
      <x v="1"/>
    </i>
    <i>
      <x v="2"/>
    </i>
    <i>
      <x v="3"/>
    </i>
    <i>
      <x v="4"/>
    </i>
    <i>
      <x v="5"/>
    </i>
    <i>
      <x v="6"/>
    </i>
    <i>
      <x v="7"/>
    </i>
    <i>
      <x v="8"/>
    </i>
    <i>
      <x v="9"/>
    </i>
    <i>
      <x v="10"/>
    </i>
    <i>
      <x v="11"/>
    </i>
    <i>
      <x v="12"/>
    </i>
    <i t="grand">
      <x/>
    </i>
  </rowItems>
  <colItems count="1">
    <i/>
  </colItems>
  <dataFields count="1">
    <dataField name="Sum of Revenue" fld="24" baseField="0" baseItem="0" numFmtId="165"/>
  </dataFields>
  <formats count="1">
    <format dxfId="1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12"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E00-000003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5">
  <location ref="A3:B10"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21"/>
  </rowFields>
  <rowItems count="7">
    <i>
      <x v="1"/>
    </i>
    <i>
      <x v="12"/>
    </i>
    <i>
      <x v="9"/>
    </i>
    <i>
      <x v="5"/>
    </i>
    <i>
      <x v="6"/>
    </i>
    <i>
      <x v="3"/>
    </i>
    <i t="grand">
      <x/>
    </i>
  </rowItems>
  <colItems count="1">
    <i/>
  </colItems>
  <dataFields count="1">
    <dataField name="Sum of Revenue" fld="24" baseField="0" baseItem="0"/>
  </dataFields>
  <formats count="1">
    <format dxfId="13">
      <pivotArea outline="0" collapsedLevelsAreSubtotals="1" fieldPosition="0"/>
    </format>
  </formats>
  <chartFormats count="14">
    <chartFormat chart="10" format="32" series="1">
      <pivotArea type="data" outline="0" fieldPosition="0">
        <references count="1">
          <reference field="4294967294" count="1" selected="0">
            <x v="0"/>
          </reference>
        </references>
      </pivotArea>
    </chartFormat>
    <chartFormat chart="10" format="33">
      <pivotArea type="data" outline="0" fieldPosition="0">
        <references count="2">
          <reference field="4294967294" count="1" selected="0">
            <x v="0"/>
          </reference>
          <reference field="21" count="1" selected="0">
            <x v="1"/>
          </reference>
        </references>
      </pivotArea>
    </chartFormat>
    <chartFormat chart="10" format="34">
      <pivotArea type="data" outline="0" fieldPosition="0">
        <references count="2">
          <reference field="4294967294" count="1" selected="0">
            <x v="0"/>
          </reference>
          <reference field="21" count="1" selected="0">
            <x v="12"/>
          </reference>
        </references>
      </pivotArea>
    </chartFormat>
    <chartFormat chart="10" format="35">
      <pivotArea type="data" outline="0" fieldPosition="0">
        <references count="2">
          <reference field="4294967294" count="1" selected="0">
            <x v="0"/>
          </reference>
          <reference field="21" count="1" selected="0">
            <x v="9"/>
          </reference>
        </references>
      </pivotArea>
    </chartFormat>
    <chartFormat chart="10" format="36">
      <pivotArea type="data" outline="0" fieldPosition="0">
        <references count="2">
          <reference field="4294967294" count="1" selected="0">
            <x v="0"/>
          </reference>
          <reference field="21" count="1" selected="0">
            <x v="5"/>
          </reference>
        </references>
      </pivotArea>
    </chartFormat>
    <chartFormat chart="10" format="37">
      <pivotArea type="data" outline="0" fieldPosition="0">
        <references count="2">
          <reference field="4294967294" count="1" selected="0">
            <x v="0"/>
          </reference>
          <reference field="21" count="1" selected="0">
            <x v="6"/>
          </reference>
        </references>
      </pivotArea>
    </chartFormat>
    <chartFormat chart="10" format="38">
      <pivotArea type="data" outline="0" fieldPosition="0">
        <references count="2">
          <reference field="4294967294" count="1" selected="0">
            <x v="0"/>
          </reference>
          <reference field="21" count="1" selected="0">
            <x v="3"/>
          </reference>
        </references>
      </pivotArea>
    </chartFormat>
    <chartFormat chart="21" format="46" series="1">
      <pivotArea type="data" outline="0" fieldPosition="0">
        <references count="1">
          <reference field="4294967294" count="1" selected="0">
            <x v="0"/>
          </reference>
        </references>
      </pivotArea>
    </chartFormat>
    <chartFormat chart="21" format="47">
      <pivotArea type="data" outline="0" fieldPosition="0">
        <references count="2">
          <reference field="4294967294" count="1" selected="0">
            <x v="0"/>
          </reference>
          <reference field="21" count="1" selected="0">
            <x v="1"/>
          </reference>
        </references>
      </pivotArea>
    </chartFormat>
    <chartFormat chart="21" format="48">
      <pivotArea type="data" outline="0" fieldPosition="0">
        <references count="2">
          <reference field="4294967294" count="1" selected="0">
            <x v="0"/>
          </reference>
          <reference field="21" count="1" selected="0">
            <x v="12"/>
          </reference>
        </references>
      </pivotArea>
    </chartFormat>
    <chartFormat chart="21" format="49">
      <pivotArea type="data" outline="0" fieldPosition="0">
        <references count="2">
          <reference field="4294967294" count="1" selected="0">
            <x v="0"/>
          </reference>
          <reference field="21" count="1" selected="0">
            <x v="9"/>
          </reference>
        </references>
      </pivotArea>
    </chartFormat>
    <chartFormat chart="21" format="50">
      <pivotArea type="data" outline="0" fieldPosition="0">
        <references count="2">
          <reference field="4294967294" count="1" selected="0">
            <x v="0"/>
          </reference>
          <reference field="21" count="1" selected="0">
            <x v="5"/>
          </reference>
        </references>
      </pivotArea>
    </chartFormat>
    <chartFormat chart="21" format="51">
      <pivotArea type="data" outline="0" fieldPosition="0">
        <references count="2">
          <reference field="4294967294" count="1" selected="0">
            <x v="0"/>
          </reference>
          <reference field="21" count="1" selected="0">
            <x v="6"/>
          </reference>
        </references>
      </pivotArea>
    </chartFormat>
    <chartFormat chart="21" format="52">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filters count="1">
    <filter fld="2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E00-000004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0">
  <location ref="A3:B16"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pivotField showAll="0">
      <items count="16">
        <item x="2"/>
        <item x="0"/>
        <item x="3"/>
        <item x="8"/>
        <item x="7"/>
        <item x="10"/>
        <item x="1"/>
        <item x="12"/>
        <item x="14"/>
        <item x="6"/>
        <item x="13"/>
        <item x="9"/>
        <item x="5"/>
        <item x="11"/>
        <item x="4"/>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CD99C3-928C-4915-A1FB-87BAD10854DD}"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0">
  <location ref="A3:B16"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pivotField showAll="0">
      <items count="16">
        <item x="2"/>
        <item x="0"/>
        <item x="3"/>
        <item x="8"/>
        <item x="7"/>
        <item x="10"/>
        <item x="1"/>
        <item x="12"/>
        <item x="14"/>
        <item x="6"/>
        <item x="13"/>
        <item x="9"/>
        <item x="5"/>
        <item x="11"/>
        <item x="4"/>
        <item t="default"/>
      </items>
    </pivotField>
    <pivotField showAll="0"/>
    <pivotField showAll="0"/>
    <pivotField dataField="1" numFmtId="165" showAll="0">
      <items count="11">
        <item x="0"/>
        <item x="1"/>
        <item x="2"/>
        <item x="3"/>
        <item x="4"/>
        <item x="5"/>
        <item x="6"/>
        <item x="7"/>
        <item x="8"/>
        <item x="9"/>
        <item t="default"/>
      </items>
    </pivotField>
    <pivotField numFmtId="165" showAll="0"/>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E00-000005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3">
  <location ref="A3:B11"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items count="2">
        <item x="0"/>
        <item t="default"/>
      </items>
    </pivotField>
    <pivotField showAll="0"/>
    <pivotField showAll="0"/>
    <pivotField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5" showAll="0">
      <items count="11">
        <item x="0"/>
        <item x="1"/>
        <item x="2"/>
        <item x="3"/>
        <item x="4"/>
        <item x="5"/>
        <item x="6"/>
        <item x="7"/>
        <item x="8"/>
        <item x="9"/>
        <item t="default"/>
      </items>
    </pivotField>
    <pivotField numFmtId="165" showAll="0"/>
  </pivotFields>
  <rowFields count="1">
    <field x="24"/>
  </rowFields>
  <rowItems count="8">
    <i>
      <x v="1"/>
    </i>
    <i>
      <x v="2"/>
    </i>
    <i>
      <x v="3"/>
    </i>
    <i>
      <x v="4"/>
    </i>
    <i>
      <x v="5"/>
    </i>
    <i>
      <x v="7"/>
    </i>
    <i>
      <x v="8"/>
    </i>
    <i t="grand">
      <x/>
    </i>
  </rowItems>
  <colItems count="1">
    <i/>
  </colItems>
  <dataFields count="1">
    <dataField name="Count of Revenue" fld="24" subtotal="count" baseField="0" baseItem="0" numFmtId="1"/>
  </dataFields>
  <formats count="1">
    <format dxfId="11">
      <pivotArea outline="0" collapsedLevelsAreSubtotals="1" fieldPosition="0"/>
    </format>
  </formats>
  <chartFormats count="17">
    <chartFormat chart="10" format="32" series="1">
      <pivotArea type="data" outline="0" fieldPosition="0">
        <references count="1">
          <reference field="4294967294" count="1" selected="0">
            <x v="0"/>
          </reference>
        </references>
      </pivotArea>
    </chartFormat>
    <chartFormat chart="19" format="39" series="1">
      <pivotArea type="data" outline="0" fieldPosition="0">
        <references count="1">
          <reference field="4294967294" count="1" selected="0">
            <x v="0"/>
          </reference>
        </references>
      </pivotArea>
    </chartFormat>
    <chartFormat chart="19" format="46">
      <pivotArea type="data" outline="0" fieldPosition="0">
        <references count="2">
          <reference field="4294967294" count="1" selected="0">
            <x v="0"/>
          </reference>
          <reference field="24" count="1" selected="0">
            <x v="1"/>
          </reference>
        </references>
      </pivotArea>
    </chartFormat>
    <chartFormat chart="19" format="47">
      <pivotArea type="data" outline="0" fieldPosition="0">
        <references count="2">
          <reference field="4294967294" count="1" selected="0">
            <x v="0"/>
          </reference>
          <reference field="24" count="1" selected="0">
            <x v="2"/>
          </reference>
        </references>
      </pivotArea>
    </chartFormat>
    <chartFormat chart="19" format="48">
      <pivotArea type="data" outline="0" fieldPosition="0">
        <references count="2">
          <reference field="4294967294" count="1" selected="0">
            <x v="0"/>
          </reference>
          <reference field="24" count="1" selected="0">
            <x v="3"/>
          </reference>
        </references>
      </pivotArea>
    </chartFormat>
    <chartFormat chart="19" format="49">
      <pivotArea type="data" outline="0" fieldPosition="0">
        <references count="2">
          <reference field="4294967294" count="1" selected="0">
            <x v="0"/>
          </reference>
          <reference field="24" count="1" selected="0">
            <x v="4"/>
          </reference>
        </references>
      </pivotArea>
    </chartFormat>
    <chartFormat chart="19" format="50">
      <pivotArea type="data" outline="0" fieldPosition="0">
        <references count="2">
          <reference field="4294967294" count="1" selected="0">
            <x v="0"/>
          </reference>
          <reference field="24" count="1" selected="0">
            <x v="5"/>
          </reference>
        </references>
      </pivotArea>
    </chartFormat>
    <chartFormat chart="19" format="51">
      <pivotArea type="data" outline="0" fieldPosition="0">
        <references count="2">
          <reference field="4294967294" count="1" selected="0">
            <x v="0"/>
          </reference>
          <reference field="24" count="1" selected="0">
            <x v="7"/>
          </reference>
        </references>
      </pivotArea>
    </chartFormat>
    <chartFormat chart="19" format="52">
      <pivotArea type="data" outline="0" fieldPosition="0">
        <references count="2">
          <reference field="4294967294" count="1" selected="0">
            <x v="0"/>
          </reference>
          <reference field="24" count="1" selected="0">
            <x v="8"/>
          </reference>
        </references>
      </pivotArea>
    </chartFormat>
    <chartFormat chart="29" format="61" series="1">
      <pivotArea type="data" outline="0" fieldPosition="0">
        <references count="1">
          <reference field="4294967294" count="1" selected="0">
            <x v="0"/>
          </reference>
        </references>
      </pivotArea>
    </chartFormat>
    <chartFormat chart="29" format="62">
      <pivotArea type="data" outline="0" fieldPosition="0">
        <references count="2">
          <reference field="4294967294" count="1" selected="0">
            <x v="0"/>
          </reference>
          <reference field="24" count="1" selected="0">
            <x v="1"/>
          </reference>
        </references>
      </pivotArea>
    </chartFormat>
    <chartFormat chart="29" format="63">
      <pivotArea type="data" outline="0" fieldPosition="0">
        <references count="2">
          <reference field="4294967294" count="1" selected="0">
            <x v="0"/>
          </reference>
          <reference field="24" count="1" selected="0">
            <x v="2"/>
          </reference>
        </references>
      </pivotArea>
    </chartFormat>
    <chartFormat chart="29" format="64">
      <pivotArea type="data" outline="0" fieldPosition="0">
        <references count="2">
          <reference field="4294967294" count="1" selected="0">
            <x v="0"/>
          </reference>
          <reference field="24" count="1" selected="0">
            <x v="3"/>
          </reference>
        </references>
      </pivotArea>
    </chartFormat>
    <chartFormat chart="29" format="65">
      <pivotArea type="data" outline="0" fieldPosition="0">
        <references count="2">
          <reference field="4294967294" count="1" selected="0">
            <x v="0"/>
          </reference>
          <reference field="24" count="1" selected="0">
            <x v="4"/>
          </reference>
        </references>
      </pivotArea>
    </chartFormat>
    <chartFormat chart="29" format="66">
      <pivotArea type="data" outline="0" fieldPosition="0">
        <references count="2">
          <reference field="4294967294" count="1" selected="0">
            <x v="0"/>
          </reference>
          <reference field="24" count="1" selected="0">
            <x v="5"/>
          </reference>
        </references>
      </pivotArea>
    </chartFormat>
    <chartFormat chart="29" format="67">
      <pivotArea type="data" outline="0" fieldPosition="0">
        <references count="2">
          <reference field="4294967294" count="1" selected="0">
            <x v="0"/>
          </reference>
          <reference field="24" count="1" selected="0">
            <x v="7"/>
          </reference>
        </references>
      </pivotArea>
    </chartFormat>
    <chartFormat chart="29" format="68">
      <pivotArea type="data" outline="0" fieldPosition="0">
        <references count="2">
          <reference field="4294967294" count="1" selected="0">
            <x v="0"/>
          </reference>
          <reference field="24" count="1" selected="0">
            <x v="8"/>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E00-000006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1">
  <location ref="A3:B9"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5"/>
  </rowFields>
  <rowItems count="6">
    <i>
      <x v="8"/>
    </i>
    <i>
      <x v="9"/>
    </i>
    <i>
      <x v="6"/>
    </i>
    <i>
      <x v="5"/>
    </i>
    <i>
      <x v="1"/>
    </i>
    <i t="grand">
      <x/>
    </i>
  </rowItems>
  <colItems count="1">
    <i/>
  </colItems>
  <dataFields count="1">
    <dataField name="Sum of Revenue" fld="24" baseField="0" baseItem="0" numFmtId="165"/>
  </dataFields>
  <formats count="1">
    <format dxfId="10">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11" format="27" series="1">
      <pivotArea type="data" outline="0" fieldPosition="0">
        <references count="1">
          <reference field="4294967294" count="1" selected="0">
            <x v="0"/>
          </reference>
        </references>
      </pivotArea>
    </chartFormat>
    <chartFormat chart="11" format="28">
      <pivotArea type="data" outline="0" fieldPosition="0">
        <references count="2">
          <reference field="4294967294" count="1" selected="0">
            <x v="0"/>
          </reference>
          <reference field="5" count="1" selected="0">
            <x v="9"/>
          </reference>
        </references>
      </pivotArea>
    </chartFormat>
    <chartFormat chart="11" format="29">
      <pivotArea type="data" outline="0" fieldPosition="0">
        <references count="2">
          <reference field="4294967294" count="1" selected="0">
            <x v="0"/>
          </reference>
          <reference field="5" count="1" selected="0">
            <x v="6"/>
          </reference>
        </references>
      </pivotArea>
    </chartFormat>
    <chartFormat chart="11" format="30">
      <pivotArea type="data" outline="0" fieldPosition="0">
        <references count="2">
          <reference field="4294967294" count="1" selected="0">
            <x v="0"/>
          </reference>
          <reference field="5" count="1" selected="0">
            <x v="5"/>
          </reference>
        </references>
      </pivotArea>
    </chartFormat>
    <chartFormat chart="11" format="31">
      <pivotArea type="data" outline="0" fieldPosition="0">
        <references count="2">
          <reference field="4294967294" count="1" selected="0">
            <x v="0"/>
          </reference>
          <reference field="5" count="1" selected="0">
            <x v="1"/>
          </reference>
        </references>
      </pivotArea>
    </chartFormat>
    <chartFormat chart="16" format="38" series="1">
      <pivotArea type="data" outline="0" fieldPosition="0">
        <references count="1">
          <reference field="4294967294" count="1" selected="0">
            <x v="0"/>
          </reference>
        </references>
      </pivotArea>
    </chartFormat>
    <chartFormat chart="16" format="39">
      <pivotArea type="data" outline="0" fieldPosition="0">
        <references count="2">
          <reference field="4294967294" count="1" selected="0">
            <x v="0"/>
          </reference>
          <reference field="5" count="1" selected="0">
            <x v="8"/>
          </reference>
        </references>
      </pivotArea>
    </chartFormat>
    <chartFormat chart="16" format="40">
      <pivotArea type="data" outline="0" fieldPosition="0">
        <references count="2">
          <reference field="4294967294" count="1" selected="0">
            <x v="0"/>
          </reference>
          <reference field="5" count="1" selected="0">
            <x v="9"/>
          </reference>
        </references>
      </pivotArea>
    </chartFormat>
    <chartFormat chart="16" format="41">
      <pivotArea type="data" outline="0" fieldPosition="0">
        <references count="2">
          <reference field="4294967294" count="1" selected="0">
            <x v="0"/>
          </reference>
          <reference field="5" count="1" selected="0">
            <x v="6"/>
          </reference>
        </references>
      </pivotArea>
    </chartFormat>
    <chartFormat chart="16" format="42">
      <pivotArea type="data" outline="0" fieldPosition="0">
        <references count="2">
          <reference field="4294967294" count="1" selected="0">
            <x v="0"/>
          </reference>
          <reference field="5" count="1" selected="0">
            <x v="5"/>
          </reference>
        </references>
      </pivotArea>
    </chartFormat>
    <chartFormat chart="16" format="43">
      <pivotArea type="data" outline="0" fieldPosition="0">
        <references count="2">
          <reference field="4294967294" count="1" selected="0">
            <x v="0"/>
          </reference>
          <reference field="5" count="1" selected="0">
            <x v="1"/>
          </reference>
        </references>
      </pivotArea>
    </chartFormat>
    <chartFormat chart="11" format="33">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592405-0506-41BF-9905-D22DB11BCEF8}"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0">
  <location ref="A3:B10" firstHeaderRow="1" firstDataRow="1" firstDataCol="1"/>
  <pivotFields count="26">
    <pivotField showAll="0"/>
    <pivotField numFmtId="164" showAll="0">
      <items count="15">
        <item x="0"/>
        <item x="1"/>
        <item x="2"/>
        <item x="3"/>
        <item x="4"/>
        <item x="5"/>
        <item x="6"/>
        <item x="7"/>
        <item x="8"/>
        <item x="9"/>
        <item x="10"/>
        <item x="11"/>
        <item x="12"/>
        <item x="13"/>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numFmtId="165" showAll="0">
      <items count="11">
        <item x="0"/>
        <item x="1"/>
        <item x="2"/>
        <item x="3"/>
        <item x="4"/>
        <item x="5"/>
        <item x="6"/>
        <item x="7"/>
        <item x="8"/>
        <item x="9"/>
        <item t="default"/>
      </items>
    </pivotField>
    <pivotField numFmtId="165" showAll="0"/>
  </pivotFields>
  <rowFields count="1">
    <field x="15"/>
  </rowFields>
  <rowItems count="7">
    <i>
      <x v="8"/>
    </i>
    <i>
      <x v="9"/>
    </i>
    <i>
      <x v="6"/>
    </i>
    <i>
      <x v="5"/>
    </i>
    <i>
      <x v="1"/>
    </i>
    <i>
      <x v="7"/>
    </i>
    <i t="grand">
      <x/>
    </i>
  </rowItems>
  <colItems count="1">
    <i/>
  </colItems>
  <dataFields count="1">
    <dataField name="Sum of Revenue" fld="24" baseField="0" baseItem="0" numFmtId="165"/>
  </dataFields>
  <formats count="1">
    <format dxfId="7">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11" format="27" series="1">
      <pivotArea type="data" outline="0" fieldPosition="0">
        <references count="1">
          <reference field="4294967294" count="1" selected="0">
            <x v="0"/>
          </reference>
        </references>
      </pivotArea>
    </chartFormat>
    <chartFormat chart="11" format="28">
      <pivotArea type="data" outline="0" fieldPosition="0">
        <references count="2">
          <reference field="4294967294" count="1" selected="0">
            <x v="0"/>
          </reference>
          <reference field="15" count="1" selected="0">
            <x v="8"/>
          </reference>
        </references>
      </pivotArea>
    </chartFormat>
    <chartFormat chart="11" format="29">
      <pivotArea type="data" outline="0" fieldPosition="0">
        <references count="2">
          <reference field="4294967294" count="1" selected="0">
            <x v="0"/>
          </reference>
          <reference field="15" count="1" selected="0">
            <x v="9"/>
          </reference>
        </references>
      </pivotArea>
    </chartFormat>
    <chartFormat chart="11" format="30">
      <pivotArea type="data" outline="0" fieldPosition="0">
        <references count="2">
          <reference field="4294967294" count="1" selected="0">
            <x v="0"/>
          </reference>
          <reference field="15" count="1" selected="0">
            <x v="6"/>
          </reference>
        </references>
      </pivotArea>
    </chartFormat>
    <chartFormat chart="11" format="31">
      <pivotArea type="data" outline="0" fieldPosition="0">
        <references count="2">
          <reference field="4294967294" count="1" selected="0">
            <x v="0"/>
          </reference>
          <reference field="15" count="1" selected="0">
            <x v="5"/>
          </reference>
        </references>
      </pivotArea>
    </chartFormat>
    <chartFormat chart="11" format="32">
      <pivotArea type="data" outline="0" fieldPosition="0">
        <references count="2">
          <reference field="4294967294" count="1" selected="0">
            <x v="0"/>
          </reference>
          <reference field="15" count="1" selected="0">
            <x v="1"/>
          </reference>
        </references>
      </pivotArea>
    </chartFormat>
    <chartFormat chart="11" format="33">
      <pivotArea type="data" outline="0" fieldPosition="0">
        <references count="2">
          <reference field="4294967294" count="1" selected="0">
            <x v="0"/>
          </reference>
          <reference field="15" count="1" selected="0">
            <x v="7"/>
          </reference>
        </references>
      </pivotArea>
    </chartFormat>
    <chartFormat chart="14" format="41" series="1">
      <pivotArea type="data" outline="0" fieldPosition="0">
        <references count="1">
          <reference field="4294967294" count="1" selected="0">
            <x v="0"/>
          </reference>
        </references>
      </pivotArea>
    </chartFormat>
    <chartFormat chart="14" format="42">
      <pivotArea type="data" outline="0" fieldPosition="0">
        <references count="2">
          <reference field="4294967294" count="1" selected="0">
            <x v="0"/>
          </reference>
          <reference field="15" count="1" selected="0">
            <x v="8"/>
          </reference>
        </references>
      </pivotArea>
    </chartFormat>
    <chartFormat chart="14" format="43">
      <pivotArea type="data" outline="0" fieldPosition="0">
        <references count="2">
          <reference field="4294967294" count="1" selected="0">
            <x v="0"/>
          </reference>
          <reference field="15" count="1" selected="0">
            <x v="9"/>
          </reference>
        </references>
      </pivotArea>
    </chartFormat>
    <chartFormat chart="14" format="44">
      <pivotArea type="data" outline="0" fieldPosition="0">
        <references count="2">
          <reference field="4294967294" count="1" selected="0">
            <x v="0"/>
          </reference>
          <reference field="15" count="1" selected="0">
            <x v="6"/>
          </reference>
        </references>
      </pivotArea>
    </chartFormat>
    <chartFormat chart="14" format="45">
      <pivotArea type="data" outline="0" fieldPosition="0">
        <references count="2">
          <reference field="4294967294" count="1" selected="0">
            <x v="0"/>
          </reference>
          <reference field="15" count="1" selected="0">
            <x v="5"/>
          </reference>
        </references>
      </pivotArea>
    </chartFormat>
    <chartFormat chart="14" format="46">
      <pivotArea type="data" outline="0" fieldPosition="0">
        <references count="2">
          <reference field="4294967294" count="1" selected="0">
            <x v="0"/>
          </reference>
          <reference field="15" count="1" selected="0">
            <x v="1"/>
          </reference>
        </references>
      </pivotArea>
    </chartFormat>
    <chartFormat chart="14" format="47">
      <pivotArea type="data" outline="0" fieldPosition="0">
        <references count="2">
          <reference field="4294967294" count="1" selected="0">
            <x v="0"/>
          </reference>
          <reference field="15" count="1" selected="0">
            <x v="7"/>
          </reference>
        </references>
      </pivotArea>
    </chartFormat>
  </chartFormats>
  <pivotTableStyleInfo name="PivotStyleLight16" showRowHeaders="1" showColHeaders="1" showRowStripes="0" showColStripes="0" showLastColumn="1"/>
  <filters count="1">
    <filter fld="15" type="count" evalOrder="-1" id="4"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B9D30EAB-23E2-46B8-AD6D-5D68BB4AEB12}" sourceName="Customer Name">
  <pivotTables>
    <pivotTable tabId="26" name="PivotTable1"/>
    <pivotTable tabId="25" name="PivotTable1"/>
    <pivotTable tabId="30" name="PivotTable1"/>
    <pivotTable tabId="29" name="PivotTable1"/>
    <pivotTable tabId="19" name="PivotTable1"/>
    <pivotTable tabId="22" name="PivotTable1"/>
    <pivotTable tabId="27" name="PivotTable1"/>
    <pivotTable tabId="28" name="PivotTable1"/>
    <pivotTable tabId="36" name="PivotTable1"/>
  </pivotTables>
  <data>
    <tabular pivotCacheId="188605326">
      <items count="15">
        <i x="11" s="1"/>
        <i x="0" s="1"/>
        <i x="7" s="1"/>
        <i x="5" s="1"/>
        <i x="4" s="1"/>
        <i x="1" s="1"/>
        <i x="6" s="1"/>
        <i x="9" s="1"/>
        <i x="3" s="1"/>
        <i x="12" s="1"/>
        <i x="8" s="1"/>
        <i x="10" s="1"/>
        <i x="2" s="1"/>
        <i x="13"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25A09BD-5417-43E6-8C44-B1D72AA92861}" sourceName="Salesperson">
  <pivotTables>
    <pivotTable tabId="19" name="PivotTable1"/>
    <pivotTable tabId="30" name="PivotTable1"/>
    <pivotTable tabId="29" name="PivotTable1"/>
    <pivotTable tabId="26" name="PivotTable1"/>
    <pivotTable tabId="25" name="PivotTable1"/>
    <pivotTable tabId="22" name="PivotTable1"/>
    <pivotTable tabId="27" name="PivotTable1"/>
    <pivotTable tabId="28" name="PivotTable1"/>
    <pivotTable tabId="36" name="PivotTable1"/>
  </pivotTables>
  <data>
    <tabular pivotCacheId="188605326">
      <items count="8">
        <i x="1" s="1"/>
        <i x="5" s="1"/>
        <i x="3" s="1"/>
        <i x="6" s="1"/>
        <i x="0" s="1"/>
        <i x="4" s="1"/>
        <i x="2"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8A618AF-EC06-4FDE-A50D-FBC037D4D990}" sourceName="City">
  <pivotTables>
    <pivotTable tabId="22" name="PivotTable1"/>
    <pivotTable tabId="30" name="PivotTable1"/>
    <pivotTable tabId="29" name="PivotTable1"/>
    <pivotTable tabId="19" name="PivotTable1"/>
    <pivotTable tabId="26" name="PivotTable1"/>
    <pivotTable tabId="25" name="PivotTable1"/>
    <pivotTable tabId="27" name="PivotTable1"/>
    <pivotTable tabId="28" name="PivotTable1"/>
    <pivotTable tabId="36" name="PivotTable1"/>
  </pivotTables>
  <data>
    <tabular pivotCacheId="188605326">
      <items count="12">
        <i x="8" s="1"/>
        <i x="7" s="1"/>
        <i x="3" s="1"/>
        <i x="0" s="1"/>
        <i x="4" s="1"/>
        <i x="6" s="1"/>
        <i x="9" s="1"/>
        <i x="5" s="1"/>
        <i x="1" s="1"/>
        <i x="2" s="1"/>
        <i x="11"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CB3450-8BA5-4ADD-8B83-397EF2D2B30C}" sourceName="Region">
  <pivotTables>
    <pivotTable tabId="25" name="PivotTable1"/>
  </pivotTables>
  <data>
    <tabular pivotCacheId="188605326">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76733405-60C5-4662-8BF5-B79FA7CE1DEB}" cache="Slicer_Customer_Name" caption="Customer Name" startItem="8" style="SlicerStyleDark5" rowHeight="241300"/>
  <slicer name="Salesperson" xr10:uid="{E575E54E-32CE-43AF-B73C-5365036377C6}" cache="Slicer_Salesperson" caption="Salesperson" startItem="2" style="SlicerStyleDark5" rowHeight="241300"/>
  <slicer name="City" xr10:uid="{43D4AB8A-BDDD-479D-8841-AD2A3D540A65}" cache="Slicer_City" caption="City" startItem="7" style="SlicerStyleDark5" rowHeight="241300"/>
  <slicer name="Region" xr10:uid="{12515565-1CD9-4537-8490-1839700B7A72}" cache="Slicer_Region" caption="Region" startItem="3"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22B953-FCBA-4608-92A1-9E64133CCA69}" name="Table1" displayName="Table1" ref="A1:Z33" totalsRowShown="0">
  <autoFilter ref="A1:Z33" xr:uid="{7B22B953-FCBA-4608-92A1-9E64133CCA69}"/>
  <tableColumns count="26">
    <tableColumn id="1" xr3:uid="{F816A4D0-54FE-4A2B-A40F-536C4C0C7317}" name="Order ID"/>
    <tableColumn id="2" xr3:uid="{6EE5409C-2813-41D0-84D9-7675C13AE0D5}" name="Order Date" dataDxfId="9"/>
    <tableColumn id="3" xr3:uid="{471C7DA2-D6A7-4ED8-91ED-F7B6EA8A8752}" name="Customer ID"/>
    <tableColumn id="4" xr3:uid="{EC40F951-43A0-438A-B9F1-FEE22D41EC95}" name="Customer Name"/>
    <tableColumn id="5" xr3:uid="{60D79D2D-A37B-4504-BCF9-D032BD86F330}" name="Address"/>
    <tableColumn id="6" xr3:uid="{9ED1AC17-5E16-4F73-AEBC-8AF7823D7049}" name="City"/>
    <tableColumn id="7" xr3:uid="{9B0F1FCC-5B87-49D4-8967-16DA9B568707}" name="State"/>
    <tableColumn id="8" xr3:uid="{AD64DED4-9F3C-43CB-964A-D17E8044E560}" name="ZIP/Postal Code"/>
    <tableColumn id="9" xr3:uid="{AB46380C-8A9D-4527-9B7B-6DA1F3829D0F}" name="Country/Region"/>
    <tableColumn id="10" xr3:uid="{7CD5475F-65DB-4069-87C7-F385AC645286}" name="Salesperson"/>
    <tableColumn id="11" xr3:uid="{4EA7F1B6-9C2E-43BE-AD62-71DCB8EFD2DF}" name="Region"/>
    <tableColumn id="12" xr3:uid="{69E6647F-3B8C-4DF8-8EDF-0DD918ACA58B}" name="Shipped Date" dataDxfId="8"/>
    <tableColumn id="13" xr3:uid="{62A8AA3E-2FF5-42AA-83FB-3E490F4F9F31}" name="Shipper Name"/>
    <tableColumn id="14" xr3:uid="{2B25280C-7901-4AD8-BE42-FBCF9A844945}" name="Ship Name"/>
    <tableColumn id="15" xr3:uid="{AAC1E2C4-BFFE-4C2D-928C-B24E6CA57224}" name="Ship Address"/>
    <tableColumn id="16" xr3:uid="{9A536AF7-E0EC-4A6A-8EE5-C025D555F82B}" name="Ship City"/>
    <tableColumn id="17" xr3:uid="{2FA05C20-A261-4A8C-A1E4-BC2A97A73CD7}" name="Ship State"/>
    <tableColumn id="18" xr3:uid="{7587ED8E-E68B-471C-A49D-F78C89B62E48}" name="Ship ZIP/Postal Code"/>
    <tableColumn id="19" xr3:uid="{246973D3-665D-42E9-94C9-37F17CB5A8C4}" name="Ship Country/Region"/>
    <tableColumn id="20" xr3:uid="{ED9A7FE8-3685-41A4-8891-BEB3F3ACD587}" name="Payment Type"/>
    <tableColumn id="21" xr3:uid="{DD799714-C189-467F-9A44-50EDE413C147}" name="Product Name"/>
    <tableColumn id="22" xr3:uid="{48F520A2-FD26-462C-AAB8-0A8E1899783E}" name="Category"/>
    <tableColumn id="23" xr3:uid="{D8ED4479-1DC6-4534-8F23-311835E4D270}" name="Unit Price"/>
    <tableColumn id="24" xr3:uid="{A3D455C0-BDAE-4BB9-90C2-47BBF2091F51}" name="Quantity"/>
    <tableColumn id="25" xr3:uid="{C8CC53B8-32ED-4584-964C-6DF572CCA8A1}" name="Revenue"/>
    <tableColumn id="26" xr3:uid="{F017111C-259E-44CE-890B-C67E517472B0}" name="Shipping Fe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www.excelcampus.com/pivot-tables/pivot-tables-work/"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1"/>
  <sheetViews>
    <sheetView workbookViewId="0">
      <selection activeCell="A16" sqref="A16"/>
    </sheetView>
  </sheetViews>
  <sheetFormatPr defaultRowHeight="14.5" x14ac:dyDescent="0.35"/>
  <cols>
    <col min="1" max="1" width="66.453125" customWidth="1"/>
    <col min="3" max="3" width="9.1796875" customWidth="1"/>
  </cols>
  <sheetData>
    <row r="2" spans="1:1" ht="21" x14ac:dyDescent="0.5">
      <c r="A2" s="7" t="s">
        <v>161</v>
      </c>
    </row>
    <row r="3" spans="1:1" ht="68.25" customHeight="1" x14ac:dyDescent="0.35">
      <c r="A3" s="9" t="s">
        <v>162</v>
      </c>
    </row>
    <row r="4" spans="1:1" ht="21" x14ac:dyDescent="0.5">
      <c r="A4" s="8" t="s">
        <v>156</v>
      </c>
    </row>
    <row r="5" spans="1:1" ht="21" x14ac:dyDescent="0.5">
      <c r="A5" s="8" t="s">
        <v>157</v>
      </c>
    </row>
    <row r="6" spans="1:1" ht="21" x14ac:dyDescent="0.5">
      <c r="A6" s="8" t="s">
        <v>158</v>
      </c>
    </row>
    <row r="7" spans="1:1" ht="21" x14ac:dyDescent="0.5">
      <c r="A7" s="8" t="s">
        <v>159</v>
      </c>
    </row>
    <row r="8" spans="1:1" ht="21" x14ac:dyDescent="0.5">
      <c r="A8" s="8" t="s">
        <v>160</v>
      </c>
    </row>
    <row r="9" spans="1:1" ht="21" x14ac:dyDescent="0.5">
      <c r="A9" s="8" t="s">
        <v>164</v>
      </c>
    </row>
    <row r="10" spans="1:1" ht="21" x14ac:dyDescent="0.5">
      <c r="A10" s="8" t="s">
        <v>165</v>
      </c>
    </row>
    <row r="11" spans="1:1" ht="21" x14ac:dyDescent="0.5">
      <c r="A11" s="8" t="s">
        <v>166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3:O16"/>
  <sheetViews>
    <sheetView zoomScale="90" zoomScaleNormal="90" workbookViewId="0">
      <selection activeCell="O16" sqref="O16"/>
    </sheetView>
  </sheetViews>
  <sheetFormatPr defaultRowHeight="14.5" x14ac:dyDescent="0.35"/>
  <cols>
    <col min="1" max="1" width="15.54296875" bestFit="1" customWidth="1"/>
    <col min="2" max="2" width="14.6328125" bestFit="1" customWidth="1"/>
  </cols>
  <sheetData>
    <row r="3" spans="1:15" x14ac:dyDescent="0.35">
      <c r="A3" s="10" t="s">
        <v>167</v>
      </c>
      <c r="B3" t="s">
        <v>169</v>
      </c>
    </row>
    <row r="4" spans="1:15" x14ac:dyDescent="0.35">
      <c r="A4" s="11" t="s">
        <v>60</v>
      </c>
      <c r="B4" s="3">
        <v>104252.33999999997</v>
      </c>
    </row>
    <row r="5" spans="1:15" x14ac:dyDescent="0.35">
      <c r="A5" s="11" t="s">
        <v>94</v>
      </c>
      <c r="B5" s="3">
        <v>93858.329999999987</v>
      </c>
    </row>
    <row r="6" spans="1:15" x14ac:dyDescent="0.35">
      <c r="A6" s="11" t="s">
        <v>44</v>
      </c>
      <c r="B6" s="3">
        <v>67180.5</v>
      </c>
    </row>
    <row r="7" spans="1:15" x14ac:dyDescent="0.35">
      <c r="A7" s="11" t="s">
        <v>31</v>
      </c>
      <c r="B7" s="3">
        <v>42370.880000000005</v>
      </c>
    </row>
    <row r="8" spans="1:15" x14ac:dyDescent="0.35">
      <c r="A8" s="11" t="s">
        <v>101</v>
      </c>
      <c r="B8" s="3">
        <v>41095.01</v>
      </c>
    </row>
    <row r="9" spans="1:15" x14ac:dyDescent="0.35">
      <c r="A9" s="11" t="s">
        <v>86</v>
      </c>
      <c r="B9" s="3">
        <v>37428</v>
      </c>
    </row>
    <row r="10" spans="1:15" x14ac:dyDescent="0.35">
      <c r="A10" s="11" t="s">
        <v>129</v>
      </c>
      <c r="B10" s="3">
        <v>32530.6</v>
      </c>
    </row>
    <row r="11" spans="1:15" x14ac:dyDescent="0.35">
      <c r="A11" s="11" t="s">
        <v>70</v>
      </c>
      <c r="B11" s="3">
        <v>16350.5</v>
      </c>
    </row>
    <row r="12" spans="1:15" x14ac:dyDescent="0.35">
      <c r="A12" s="11" t="s">
        <v>168</v>
      </c>
      <c r="B12" s="3">
        <v>435066.15999999992</v>
      </c>
    </row>
    <row r="16" spans="1:15" x14ac:dyDescent="0.35">
      <c r="O16" t="s">
        <v>192</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3:B14"/>
  <sheetViews>
    <sheetView zoomScale="90" zoomScaleNormal="90" workbookViewId="0">
      <selection activeCell="N3" sqref="N3"/>
    </sheetView>
  </sheetViews>
  <sheetFormatPr defaultRowHeight="14.5" x14ac:dyDescent="0.35"/>
  <cols>
    <col min="1" max="1" width="12.90625" bestFit="1" customWidth="1"/>
    <col min="2" max="2" width="14.6328125" bestFit="1" customWidth="1"/>
  </cols>
  <sheetData>
    <row r="3" spans="1:2" x14ac:dyDescent="0.35">
      <c r="A3" s="10" t="s">
        <v>167</v>
      </c>
      <c r="B3" t="s">
        <v>169</v>
      </c>
    </row>
    <row r="4" spans="1:2" x14ac:dyDescent="0.35">
      <c r="A4" s="11" t="s">
        <v>40</v>
      </c>
      <c r="B4" s="3">
        <v>67180.5</v>
      </c>
    </row>
    <row r="5" spans="1:2" x14ac:dyDescent="0.35">
      <c r="A5" s="11" t="s">
        <v>56</v>
      </c>
      <c r="B5" s="3">
        <v>50208.35</v>
      </c>
    </row>
    <row r="6" spans="1:2" x14ac:dyDescent="0.35">
      <c r="A6" s="11" t="s">
        <v>90</v>
      </c>
      <c r="B6" s="3">
        <v>43713</v>
      </c>
    </row>
    <row r="7" spans="1:2" x14ac:dyDescent="0.35">
      <c r="A7" s="11" t="s">
        <v>82</v>
      </c>
      <c r="B7" s="3">
        <v>37428</v>
      </c>
    </row>
    <row r="8" spans="1:2" x14ac:dyDescent="0.35">
      <c r="A8" s="11" t="s">
        <v>118</v>
      </c>
      <c r="B8" s="3">
        <v>36839.990000000005</v>
      </c>
    </row>
    <row r="9" spans="1:2" x14ac:dyDescent="0.35">
      <c r="A9" s="11" t="s">
        <v>125</v>
      </c>
      <c r="B9" s="3">
        <v>32530.6</v>
      </c>
    </row>
    <row r="10" spans="1:2" x14ac:dyDescent="0.35">
      <c r="A10" s="11" t="s">
        <v>97</v>
      </c>
      <c r="B10" s="3">
        <v>29133.009999999995</v>
      </c>
    </row>
    <row r="11" spans="1:2" x14ac:dyDescent="0.35">
      <c r="A11" s="11" t="s">
        <v>140</v>
      </c>
      <c r="B11" s="3">
        <v>28208.250000000007</v>
      </c>
    </row>
    <row r="12" spans="1:2" x14ac:dyDescent="0.35">
      <c r="A12" s="11" t="s">
        <v>74</v>
      </c>
      <c r="B12" s="3">
        <v>27005.38</v>
      </c>
    </row>
    <row r="13" spans="1:2" x14ac:dyDescent="0.35">
      <c r="A13" s="11" t="s">
        <v>113</v>
      </c>
      <c r="B13" s="3">
        <v>21937.08</v>
      </c>
    </row>
    <row r="14" spans="1:2" x14ac:dyDescent="0.35">
      <c r="A14" s="11" t="s">
        <v>168</v>
      </c>
      <c r="B14" s="3">
        <v>374184.16</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3:B16"/>
  <sheetViews>
    <sheetView zoomScale="90" zoomScaleNormal="90" workbookViewId="0">
      <selection activeCell="A8" sqref="A8"/>
    </sheetView>
  </sheetViews>
  <sheetFormatPr defaultRowHeight="14.5" x14ac:dyDescent="0.35"/>
  <cols>
    <col min="1" max="1" width="12.90625" bestFit="1" customWidth="1"/>
    <col min="2" max="2" width="14.6328125" bestFit="1" customWidth="1"/>
  </cols>
  <sheetData>
    <row r="3" spans="1:2" x14ac:dyDescent="0.35">
      <c r="A3" s="10" t="s">
        <v>167</v>
      </c>
      <c r="B3" t="s">
        <v>169</v>
      </c>
    </row>
    <row r="4" spans="1:2" x14ac:dyDescent="0.35">
      <c r="A4" s="12" t="s">
        <v>170</v>
      </c>
      <c r="B4" s="3">
        <v>32907.839999999997</v>
      </c>
    </row>
    <row r="5" spans="1:2" x14ac:dyDescent="0.35">
      <c r="A5" s="12" t="s">
        <v>171</v>
      </c>
      <c r="B5" s="3">
        <v>19985.5</v>
      </c>
    </row>
    <row r="6" spans="1:2" x14ac:dyDescent="0.35">
      <c r="A6" s="12" t="s">
        <v>172</v>
      </c>
      <c r="B6" s="3">
        <v>30852.6</v>
      </c>
    </row>
    <row r="7" spans="1:2" x14ac:dyDescent="0.35">
      <c r="A7" s="12" t="s">
        <v>173</v>
      </c>
      <c r="B7" s="3">
        <v>20771.789999999997</v>
      </c>
    </row>
    <row r="8" spans="1:2" x14ac:dyDescent="0.35">
      <c r="A8" s="12" t="s">
        <v>174</v>
      </c>
      <c r="B8" s="3">
        <v>34307.049999999996</v>
      </c>
    </row>
    <row r="9" spans="1:2" x14ac:dyDescent="0.35">
      <c r="A9" s="12" t="s">
        <v>175</v>
      </c>
      <c r="B9" s="3">
        <v>55601.61</v>
      </c>
    </row>
    <row r="10" spans="1:2" x14ac:dyDescent="0.35">
      <c r="A10" s="12" t="s">
        <v>176</v>
      </c>
      <c r="B10" s="3">
        <v>27318.539999999997</v>
      </c>
    </row>
    <row r="11" spans="1:2" x14ac:dyDescent="0.35">
      <c r="A11" s="12" t="s">
        <v>177</v>
      </c>
      <c r="B11" s="3">
        <v>29921.459999999995</v>
      </c>
    </row>
    <row r="12" spans="1:2" x14ac:dyDescent="0.35">
      <c r="A12" s="12" t="s">
        <v>178</v>
      </c>
      <c r="B12" s="3">
        <v>31949.97</v>
      </c>
    </row>
    <row r="13" spans="1:2" x14ac:dyDescent="0.35">
      <c r="A13" s="12" t="s">
        <v>179</v>
      </c>
      <c r="B13" s="3">
        <v>53033.59</v>
      </c>
    </row>
    <row r="14" spans="1:2" x14ac:dyDescent="0.35">
      <c r="A14" s="12" t="s">
        <v>180</v>
      </c>
      <c r="B14" s="3">
        <v>31773.429999999997</v>
      </c>
    </row>
    <row r="15" spans="1:2" x14ac:dyDescent="0.35">
      <c r="A15" s="12" t="s">
        <v>181</v>
      </c>
      <c r="B15" s="3">
        <v>66642.78</v>
      </c>
    </row>
    <row r="16" spans="1:2" x14ac:dyDescent="0.35">
      <c r="A16" s="12" t="s">
        <v>168</v>
      </c>
      <c r="B16" s="3">
        <v>435066.15999999992</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3:B10"/>
  <sheetViews>
    <sheetView zoomScale="90" zoomScaleNormal="90" workbookViewId="0">
      <selection activeCell="A4" sqref="A4"/>
    </sheetView>
  </sheetViews>
  <sheetFormatPr defaultRowHeight="14.5" x14ac:dyDescent="0.35"/>
  <cols>
    <col min="1" max="1" width="16.36328125" bestFit="1" customWidth="1"/>
    <col min="2" max="2" width="14.6328125" bestFit="1" customWidth="1"/>
  </cols>
  <sheetData>
    <row r="3" spans="1:2" x14ac:dyDescent="0.35">
      <c r="A3" s="10" t="s">
        <v>167</v>
      </c>
      <c r="B3" t="s">
        <v>169</v>
      </c>
    </row>
    <row r="4" spans="1:2" x14ac:dyDescent="0.35">
      <c r="A4" s="11" t="s">
        <v>37</v>
      </c>
      <c r="B4" s="3">
        <v>110577.10999999999</v>
      </c>
    </row>
    <row r="5" spans="1:2" x14ac:dyDescent="0.35">
      <c r="A5" s="11" t="s">
        <v>89</v>
      </c>
      <c r="B5" s="3">
        <v>69000</v>
      </c>
    </row>
    <row r="6" spans="1:2" x14ac:dyDescent="0.35">
      <c r="A6" s="11" t="s">
        <v>110</v>
      </c>
      <c r="B6" s="3">
        <v>51541</v>
      </c>
    </row>
    <row r="7" spans="1:2" x14ac:dyDescent="0.35">
      <c r="A7" s="11" t="s">
        <v>134</v>
      </c>
      <c r="B7" s="3">
        <v>33129.600000000006</v>
      </c>
    </row>
    <row r="8" spans="1:2" x14ac:dyDescent="0.35">
      <c r="A8" s="11" t="s">
        <v>39</v>
      </c>
      <c r="B8" s="3">
        <v>27999.5</v>
      </c>
    </row>
    <row r="9" spans="1:2" x14ac:dyDescent="0.35">
      <c r="A9" s="11" t="s">
        <v>124</v>
      </c>
      <c r="B9" s="3">
        <v>25465.599999999999</v>
      </c>
    </row>
    <row r="10" spans="1:2" x14ac:dyDescent="0.35">
      <c r="A10" s="11" t="s">
        <v>168</v>
      </c>
      <c r="B10" s="3">
        <v>317712.81</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sheetPr>
  <dimension ref="A3:E16"/>
  <sheetViews>
    <sheetView zoomScale="90" zoomScaleNormal="90" workbookViewId="0">
      <selection activeCell="E9" sqref="E9"/>
    </sheetView>
  </sheetViews>
  <sheetFormatPr defaultRowHeight="14.5" x14ac:dyDescent="0.35"/>
  <cols>
    <col min="1" max="1" width="12.90625" bestFit="1" customWidth="1"/>
    <col min="2" max="2" width="14.6328125" bestFit="1" customWidth="1"/>
    <col min="5" max="5" width="13.6328125" customWidth="1"/>
  </cols>
  <sheetData>
    <row r="3" spans="1:5" x14ac:dyDescent="0.35">
      <c r="A3" s="10" t="s">
        <v>167</v>
      </c>
      <c r="B3" t="s">
        <v>169</v>
      </c>
      <c r="D3" s="15" t="s">
        <v>190</v>
      </c>
      <c r="E3" s="15" t="s">
        <v>191</v>
      </c>
    </row>
    <row r="4" spans="1:5" x14ac:dyDescent="0.35">
      <c r="A4" s="11" t="s">
        <v>43</v>
      </c>
      <c r="B4" s="3">
        <v>67180.5</v>
      </c>
      <c r="D4" s="11" t="s">
        <v>43</v>
      </c>
      <c r="E4" s="3">
        <v>67180.5</v>
      </c>
    </row>
    <row r="5" spans="1:5" x14ac:dyDescent="0.35">
      <c r="A5" s="11" t="s">
        <v>59</v>
      </c>
      <c r="B5" s="3">
        <v>50208.35</v>
      </c>
      <c r="D5" s="11" t="s">
        <v>59</v>
      </c>
      <c r="E5" s="3">
        <v>50208.35</v>
      </c>
    </row>
    <row r="6" spans="1:5" x14ac:dyDescent="0.35">
      <c r="A6" s="11" t="s">
        <v>116</v>
      </c>
      <c r="B6" s="3">
        <v>50145.330000000009</v>
      </c>
      <c r="D6" s="11" t="s">
        <v>116</v>
      </c>
      <c r="E6" s="3">
        <v>50145.330000000009</v>
      </c>
    </row>
    <row r="7" spans="1:5" x14ac:dyDescent="0.35">
      <c r="A7" s="11" t="s">
        <v>93</v>
      </c>
      <c r="B7" s="3">
        <v>43713</v>
      </c>
      <c r="D7" s="11" t="s">
        <v>93</v>
      </c>
      <c r="E7" s="3">
        <v>43713</v>
      </c>
    </row>
    <row r="8" spans="1:5" x14ac:dyDescent="0.35">
      <c r="A8" s="11" t="s">
        <v>100</v>
      </c>
      <c r="B8" s="3">
        <v>41095.01</v>
      </c>
      <c r="D8" s="11" t="s">
        <v>100</v>
      </c>
      <c r="E8" s="3">
        <v>41095.01</v>
      </c>
    </row>
    <row r="9" spans="1:5" x14ac:dyDescent="0.35">
      <c r="A9" s="11" t="s">
        <v>85</v>
      </c>
      <c r="B9" s="3">
        <v>37428</v>
      </c>
      <c r="D9" s="11" t="s">
        <v>85</v>
      </c>
      <c r="E9" s="3">
        <v>37428</v>
      </c>
    </row>
    <row r="10" spans="1:5" x14ac:dyDescent="0.35">
      <c r="A10" s="11" t="s">
        <v>121</v>
      </c>
      <c r="B10" s="3">
        <v>36839.990000000005</v>
      </c>
      <c r="D10" s="11" t="s">
        <v>121</v>
      </c>
      <c r="E10" s="3">
        <v>36839.990000000005</v>
      </c>
    </row>
    <row r="11" spans="1:5" x14ac:dyDescent="0.35">
      <c r="A11" s="11" t="s">
        <v>128</v>
      </c>
      <c r="B11" s="3">
        <v>32530.6</v>
      </c>
      <c r="D11" s="11" t="s">
        <v>128</v>
      </c>
      <c r="E11" s="3">
        <v>32530.6</v>
      </c>
    </row>
    <row r="12" spans="1:5" x14ac:dyDescent="0.35">
      <c r="A12" s="11" t="s">
        <v>77</v>
      </c>
      <c r="B12" s="3">
        <v>27005.38</v>
      </c>
      <c r="D12" s="11" t="s">
        <v>77</v>
      </c>
      <c r="E12" s="3">
        <v>27005.38</v>
      </c>
    </row>
    <row r="13" spans="1:5" x14ac:dyDescent="0.35">
      <c r="A13" s="11" t="s">
        <v>107</v>
      </c>
      <c r="B13" s="3">
        <v>17204</v>
      </c>
      <c r="D13" s="11" t="s">
        <v>107</v>
      </c>
      <c r="E13" s="3">
        <v>17204</v>
      </c>
    </row>
    <row r="14" spans="1:5" x14ac:dyDescent="0.35">
      <c r="A14" s="11" t="s">
        <v>69</v>
      </c>
      <c r="B14" s="3">
        <v>16350.5</v>
      </c>
      <c r="D14" s="11" t="s">
        <v>69</v>
      </c>
      <c r="E14" s="3">
        <v>16350.5</v>
      </c>
    </row>
    <row r="15" spans="1:5" x14ac:dyDescent="0.35">
      <c r="A15" s="11" t="s">
        <v>29</v>
      </c>
      <c r="B15" s="3">
        <v>15365.5</v>
      </c>
      <c r="D15" s="11" t="s">
        <v>29</v>
      </c>
      <c r="E15" s="3">
        <v>15365.5</v>
      </c>
    </row>
    <row r="16" spans="1:5" x14ac:dyDescent="0.35">
      <c r="A16" s="11" t="s">
        <v>168</v>
      </c>
      <c r="B16" s="3">
        <v>435066.16</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60587-2AD4-4A9A-A2EE-841D4AA5B3BE}">
  <sheetPr>
    <tabColor theme="5" tint="0.59999389629810485"/>
  </sheetPr>
  <dimension ref="A3:E16"/>
  <sheetViews>
    <sheetView zoomScale="90" zoomScaleNormal="90" workbookViewId="0">
      <selection activeCell="O19" sqref="O19"/>
    </sheetView>
  </sheetViews>
  <sheetFormatPr defaultRowHeight="14.5" x14ac:dyDescent="0.35"/>
  <cols>
    <col min="1" max="1" width="12.90625" bestFit="1" customWidth="1"/>
    <col min="2" max="2" width="14.6328125" bestFit="1" customWidth="1"/>
    <col min="5" max="5" width="13.6328125" customWidth="1"/>
  </cols>
  <sheetData>
    <row r="3" spans="1:5" x14ac:dyDescent="0.35">
      <c r="A3" s="10" t="s">
        <v>167</v>
      </c>
      <c r="B3" t="s">
        <v>169</v>
      </c>
    </row>
    <row r="4" spans="1:5" x14ac:dyDescent="0.35">
      <c r="A4" s="11" t="s">
        <v>43</v>
      </c>
      <c r="B4" s="3">
        <v>67180.5</v>
      </c>
      <c r="D4" s="15" t="s">
        <v>190</v>
      </c>
      <c r="E4" s="15" t="s">
        <v>191</v>
      </c>
    </row>
    <row r="5" spans="1:5" x14ac:dyDescent="0.35">
      <c r="A5" s="11" t="s">
        <v>59</v>
      </c>
      <c r="B5" s="3">
        <v>50208.35</v>
      </c>
      <c r="D5" s="11" t="s">
        <v>43</v>
      </c>
      <c r="E5" s="3">
        <v>67180.5</v>
      </c>
    </row>
    <row r="6" spans="1:5" x14ac:dyDescent="0.35">
      <c r="A6" s="11" t="s">
        <v>116</v>
      </c>
      <c r="B6" s="3">
        <v>50145.330000000009</v>
      </c>
      <c r="D6" s="11" t="s">
        <v>59</v>
      </c>
      <c r="E6" s="3">
        <v>50208.35</v>
      </c>
    </row>
    <row r="7" spans="1:5" x14ac:dyDescent="0.35">
      <c r="A7" s="11" t="s">
        <v>93</v>
      </c>
      <c r="B7" s="3">
        <v>43713</v>
      </c>
      <c r="D7" s="11" t="s">
        <v>116</v>
      </c>
      <c r="E7" s="3">
        <v>50145.330000000009</v>
      </c>
    </row>
    <row r="8" spans="1:5" x14ac:dyDescent="0.35">
      <c r="A8" s="11" t="s">
        <v>100</v>
      </c>
      <c r="B8" s="3">
        <v>41095.01</v>
      </c>
      <c r="D8" s="11" t="s">
        <v>93</v>
      </c>
      <c r="E8" s="3">
        <v>43713</v>
      </c>
    </row>
    <row r="9" spans="1:5" x14ac:dyDescent="0.35">
      <c r="A9" s="11" t="s">
        <v>85</v>
      </c>
      <c r="B9" s="3">
        <v>37428</v>
      </c>
      <c r="D9" s="11" t="s">
        <v>100</v>
      </c>
      <c r="E9" s="3">
        <v>41095.01</v>
      </c>
    </row>
    <row r="10" spans="1:5" x14ac:dyDescent="0.35">
      <c r="A10" s="11" t="s">
        <v>121</v>
      </c>
      <c r="B10" s="3">
        <v>36839.990000000005</v>
      </c>
      <c r="D10" s="11" t="s">
        <v>85</v>
      </c>
      <c r="E10" s="3">
        <v>37428</v>
      </c>
    </row>
    <row r="11" spans="1:5" x14ac:dyDescent="0.35">
      <c r="A11" s="11" t="s">
        <v>128</v>
      </c>
      <c r="B11" s="3">
        <v>32530.6</v>
      </c>
      <c r="D11" s="11" t="s">
        <v>121</v>
      </c>
      <c r="E11" s="3">
        <v>36839.990000000005</v>
      </c>
    </row>
    <row r="12" spans="1:5" x14ac:dyDescent="0.35">
      <c r="A12" s="11" t="s">
        <v>77</v>
      </c>
      <c r="B12" s="3">
        <v>27005.38</v>
      </c>
      <c r="D12" s="11" t="s">
        <v>128</v>
      </c>
      <c r="E12" s="3">
        <v>32530.6</v>
      </c>
    </row>
    <row r="13" spans="1:5" x14ac:dyDescent="0.35">
      <c r="A13" s="11" t="s">
        <v>107</v>
      </c>
      <c r="B13" s="3">
        <v>17204</v>
      </c>
      <c r="D13" s="11" t="s">
        <v>77</v>
      </c>
      <c r="E13" s="3">
        <v>27005.38</v>
      </c>
    </row>
    <row r="14" spans="1:5" x14ac:dyDescent="0.35">
      <c r="A14" s="11" t="s">
        <v>69</v>
      </c>
      <c r="B14" s="3">
        <v>16350.5</v>
      </c>
      <c r="D14" s="11" t="s">
        <v>107</v>
      </c>
      <c r="E14" s="3">
        <v>17204</v>
      </c>
    </row>
    <row r="15" spans="1:5" x14ac:dyDescent="0.35">
      <c r="A15" s="11" t="s">
        <v>29</v>
      </c>
      <c r="B15" s="3">
        <v>15365.5</v>
      </c>
      <c r="D15" s="11" t="s">
        <v>69</v>
      </c>
      <c r="E15" s="3">
        <v>16350.5</v>
      </c>
    </row>
    <row r="16" spans="1:5" x14ac:dyDescent="0.35">
      <c r="A16" s="11" t="s">
        <v>168</v>
      </c>
      <c r="B16" s="3">
        <v>435066.16</v>
      </c>
      <c r="D16" s="11" t="s">
        <v>29</v>
      </c>
      <c r="E16" s="3">
        <v>15365.5</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sheetPr>
  <dimension ref="A3:B11"/>
  <sheetViews>
    <sheetView zoomScaleNormal="100" workbookViewId="0">
      <selection activeCell="M17" sqref="M17"/>
    </sheetView>
  </sheetViews>
  <sheetFormatPr defaultRowHeight="14.5" x14ac:dyDescent="0.35"/>
  <cols>
    <col min="1" max="1" width="12.36328125" bestFit="1" customWidth="1"/>
    <col min="2" max="2" width="15.81640625" bestFit="1" customWidth="1"/>
  </cols>
  <sheetData>
    <row r="3" spans="1:2" x14ac:dyDescent="0.35">
      <c r="A3" s="10" t="s">
        <v>167</v>
      </c>
      <c r="B3" t="s">
        <v>189</v>
      </c>
    </row>
    <row r="4" spans="1:2" x14ac:dyDescent="0.35">
      <c r="A4" s="13" t="s">
        <v>182</v>
      </c>
      <c r="B4" s="14">
        <v>221</v>
      </c>
    </row>
    <row r="5" spans="1:2" x14ac:dyDescent="0.35">
      <c r="A5" s="13" t="s">
        <v>183</v>
      </c>
      <c r="B5" s="14">
        <v>82</v>
      </c>
    </row>
    <row r="6" spans="1:2" x14ac:dyDescent="0.35">
      <c r="A6" s="13" t="s">
        <v>184</v>
      </c>
      <c r="B6" s="14">
        <v>32</v>
      </c>
    </row>
    <row r="7" spans="1:2" x14ac:dyDescent="0.35">
      <c r="A7" s="13" t="s">
        <v>185</v>
      </c>
      <c r="B7" s="14">
        <v>23</v>
      </c>
    </row>
    <row r="8" spans="1:2" x14ac:dyDescent="0.35">
      <c r="A8" s="13" t="s">
        <v>186</v>
      </c>
      <c r="B8" s="14">
        <v>8</v>
      </c>
    </row>
    <row r="9" spans="1:2" x14ac:dyDescent="0.35">
      <c r="A9" s="13" t="s">
        <v>187</v>
      </c>
      <c r="B9" s="14">
        <v>2</v>
      </c>
    </row>
    <row r="10" spans="1:2" x14ac:dyDescent="0.35">
      <c r="A10" s="13" t="s">
        <v>188</v>
      </c>
      <c r="B10" s="14">
        <v>1</v>
      </c>
    </row>
    <row r="11" spans="1:2" x14ac:dyDescent="0.35">
      <c r="A11" s="13" t="s">
        <v>168</v>
      </c>
      <c r="B11" s="14">
        <v>369</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3:B9"/>
  <sheetViews>
    <sheetView zoomScale="90" zoomScaleNormal="90" workbookViewId="0">
      <selection activeCell="R5" sqref="R5"/>
    </sheetView>
  </sheetViews>
  <sheetFormatPr defaultRowHeight="14.5" x14ac:dyDescent="0.35"/>
  <cols>
    <col min="1" max="1" width="12.90625" bestFit="1" customWidth="1"/>
    <col min="2" max="2" width="14.6328125" bestFit="1" customWidth="1"/>
  </cols>
  <sheetData>
    <row r="3" spans="1:2" x14ac:dyDescent="0.35">
      <c r="A3" s="10" t="s">
        <v>167</v>
      </c>
      <c r="B3" t="s">
        <v>169</v>
      </c>
    </row>
    <row r="4" spans="1:2" x14ac:dyDescent="0.35">
      <c r="A4" s="11" t="s">
        <v>42</v>
      </c>
      <c r="B4" s="3">
        <v>67180.5</v>
      </c>
    </row>
    <row r="5" spans="1:2" x14ac:dyDescent="0.35">
      <c r="A5" s="11" t="s">
        <v>58</v>
      </c>
      <c r="B5" s="3">
        <v>50208.35</v>
      </c>
    </row>
    <row r="6" spans="1:2" x14ac:dyDescent="0.35">
      <c r="A6" s="11" t="s">
        <v>115</v>
      </c>
      <c r="B6" s="3">
        <v>50145.330000000009</v>
      </c>
    </row>
    <row r="7" spans="1:2" x14ac:dyDescent="0.35">
      <c r="A7" s="11" t="s">
        <v>92</v>
      </c>
      <c r="B7" s="3">
        <v>43713</v>
      </c>
    </row>
    <row r="8" spans="1:2" x14ac:dyDescent="0.35">
      <c r="A8" s="11" t="s">
        <v>99</v>
      </c>
      <c r="B8" s="3">
        <v>41095.01</v>
      </c>
    </row>
    <row r="9" spans="1:2" x14ac:dyDescent="0.35">
      <c r="A9" s="11" t="s">
        <v>168</v>
      </c>
      <c r="B9" s="3">
        <v>252342.19000000003</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4240C-74D3-4F9F-B4C5-D44B988E6EA7}">
  <sheetPr>
    <tabColor theme="8"/>
  </sheetPr>
  <dimension ref="A1:Z33"/>
  <sheetViews>
    <sheetView workbookViewId="0">
      <selection sqref="A1:Z33"/>
    </sheetView>
  </sheetViews>
  <sheetFormatPr defaultRowHeight="14.5" x14ac:dyDescent="0.35"/>
  <cols>
    <col min="1" max="1" width="10" customWidth="1"/>
    <col min="2" max="2" width="12.1796875" customWidth="1"/>
    <col min="3" max="3" width="13.26953125" customWidth="1"/>
    <col min="4" max="4" width="16.36328125" customWidth="1"/>
    <col min="5" max="5" width="9.54296875" customWidth="1"/>
    <col min="8" max="8" width="16.1796875" customWidth="1"/>
    <col min="9" max="9" width="16" customWidth="1"/>
    <col min="10" max="10" width="12.81640625" customWidth="1"/>
    <col min="12" max="12" width="14" customWidth="1"/>
    <col min="13" max="13" width="14.54296875" customWidth="1"/>
    <col min="14" max="14" width="11.7265625" customWidth="1"/>
    <col min="15" max="15" width="13.54296875" customWidth="1"/>
    <col min="16" max="16" width="10" customWidth="1"/>
    <col min="17" max="17" width="11.1796875" customWidth="1"/>
    <col min="18" max="18" width="20.1796875" customWidth="1"/>
    <col min="19" max="19" width="20" customWidth="1"/>
    <col min="20" max="20" width="14.7265625" customWidth="1"/>
    <col min="21" max="21" width="14.81640625" customWidth="1"/>
    <col min="22" max="22" width="10.26953125" customWidth="1"/>
    <col min="23" max="23" width="10.90625" customWidth="1"/>
    <col min="24" max="24" width="10.1796875" customWidth="1"/>
    <col min="25" max="25" width="10" customWidth="1"/>
    <col min="26" max="26" width="13.26953125"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v>1422</v>
      </c>
      <c r="B2" s="16">
        <v>42001</v>
      </c>
      <c r="C2">
        <v>28</v>
      </c>
      <c r="D2" t="s">
        <v>90</v>
      </c>
      <c r="E2" t="s">
        <v>91</v>
      </c>
      <c r="F2" t="s">
        <v>92</v>
      </c>
      <c r="G2" t="s">
        <v>93</v>
      </c>
      <c r="H2">
        <v>99999</v>
      </c>
      <c r="I2" t="s">
        <v>30</v>
      </c>
      <c r="J2" t="s">
        <v>94</v>
      </c>
      <c r="K2" t="s">
        <v>95</v>
      </c>
      <c r="L2" s="16">
        <v>42003</v>
      </c>
      <c r="M2" t="s">
        <v>62</v>
      </c>
      <c r="N2" t="s">
        <v>96</v>
      </c>
      <c r="O2" t="s">
        <v>91</v>
      </c>
      <c r="P2" t="s">
        <v>92</v>
      </c>
      <c r="Q2" t="s">
        <v>93</v>
      </c>
      <c r="R2">
        <v>99999</v>
      </c>
      <c r="S2" t="s">
        <v>30</v>
      </c>
      <c r="T2" t="s">
        <v>48</v>
      </c>
      <c r="U2" t="s">
        <v>55</v>
      </c>
      <c r="V2" t="s">
        <v>37</v>
      </c>
      <c r="W2">
        <v>46</v>
      </c>
      <c r="X2">
        <v>43</v>
      </c>
      <c r="Y2">
        <v>1978</v>
      </c>
      <c r="Z2">
        <v>197.8</v>
      </c>
    </row>
    <row r="3" spans="1:26" x14ac:dyDescent="0.35">
      <c r="A3">
        <v>1393</v>
      </c>
      <c r="B3" s="16">
        <v>42001</v>
      </c>
      <c r="C3">
        <v>28</v>
      </c>
      <c r="D3" t="s">
        <v>90</v>
      </c>
      <c r="E3" t="s">
        <v>91</v>
      </c>
      <c r="F3" t="s">
        <v>92</v>
      </c>
      <c r="G3" t="s">
        <v>93</v>
      </c>
      <c r="H3">
        <v>99999</v>
      </c>
      <c r="I3" t="s">
        <v>30</v>
      </c>
      <c r="J3" t="s">
        <v>94</v>
      </c>
      <c r="K3" t="s">
        <v>95</v>
      </c>
      <c r="L3" s="16">
        <v>42003</v>
      </c>
      <c r="M3" t="s">
        <v>62</v>
      </c>
      <c r="N3" t="s">
        <v>96</v>
      </c>
      <c r="O3" t="s">
        <v>91</v>
      </c>
      <c r="P3" t="s">
        <v>92</v>
      </c>
      <c r="Q3" t="s">
        <v>93</v>
      </c>
      <c r="R3">
        <v>99999</v>
      </c>
      <c r="S3" t="s">
        <v>30</v>
      </c>
      <c r="T3" t="s">
        <v>48</v>
      </c>
      <c r="U3" t="s">
        <v>123</v>
      </c>
      <c r="V3" t="s">
        <v>124</v>
      </c>
      <c r="W3">
        <v>18.399999999999999</v>
      </c>
      <c r="X3">
        <v>86</v>
      </c>
      <c r="Y3">
        <v>1582.3999999999999</v>
      </c>
      <c r="Z3">
        <v>155.0752</v>
      </c>
    </row>
    <row r="4" spans="1:26" x14ac:dyDescent="0.35">
      <c r="A4">
        <v>1392</v>
      </c>
      <c r="B4" s="16">
        <v>42001</v>
      </c>
      <c r="C4">
        <v>28</v>
      </c>
      <c r="D4" t="s">
        <v>90</v>
      </c>
      <c r="E4" t="s">
        <v>91</v>
      </c>
      <c r="F4" t="s">
        <v>92</v>
      </c>
      <c r="G4" t="s">
        <v>93</v>
      </c>
      <c r="H4">
        <v>99999</v>
      </c>
      <c r="I4" t="s">
        <v>30</v>
      </c>
      <c r="J4" t="s">
        <v>94</v>
      </c>
      <c r="K4" t="s">
        <v>95</v>
      </c>
      <c r="L4" s="16">
        <v>42003</v>
      </c>
      <c r="M4" t="s">
        <v>62</v>
      </c>
      <c r="N4" t="s">
        <v>96</v>
      </c>
      <c r="O4" t="s">
        <v>91</v>
      </c>
      <c r="P4" t="s">
        <v>92</v>
      </c>
      <c r="Q4" t="s">
        <v>93</v>
      </c>
      <c r="R4">
        <v>99999</v>
      </c>
      <c r="S4" t="s">
        <v>30</v>
      </c>
      <c r="T4" t="s">
        <v>48</v>
      </c>
      <c r="U4" t="s">
        <v>80</v>
      </c>
      <c r="V4" t="s">
        <v>81</v>
      </c>
      <c r="W4">
        <v>9.65</v>
      </c>
      <c r="X4">
        <v>98</v>
      </c>
      <c r="Y4">
        <v>945.7</v>
      </c>
      <c r="Z4">
        <v>96.461400000000012</v>
      </c>
    </row>
    <row r="5" spans="1:26" x14ac:dyDescent="0.35">
      <c r="A5">
        <v>1380</v>
      </c>
      <c r="B5" s="16">
        <v>42001</v>
      </c>
      <c r="C5">
        <v>28</v>
      </c>
      <c r="D5" t="s">
        <v>90</v>
      </c>
      <c r="E5" t="s">
        <v>91</v>
      </c>
      <c r="F5" t="s">
        <v>92</v>
      </c>
      <c r="G5" t="s">
        <v>93</v>
      </c>
      <c r="H5">
        <v>99999</v>
      </c>
      <c r="I5" t="s">
        <v>30</v>
      </c>
      <c r="J5" t="s">
        <v>94</v>
      </c>
      <c r="K5" t="s">
        <v>95</v>
      </c>
      <c r="L5" s="16">
        <v>42003</v>
      </c>
      <c r="M5" t="s">
        <v>62</v>
      </c>
      <c r="N5" t="s">
        <v>96</v>
      </c>
      <c r="O5" t="s">
        <v>91</v>
      </c>
      <c r="P5" t="s">
        <v>92</v>
      </c>
      <c r="Q5" t="s">
        <v>93</v>
      </c>
      <c r="R5">
        <v>99999</v>
      </c>
      <c r="S5" t="s">
        <v>30</v>
      </c>
      <c r="T5" t="s">
        <v>35</v>
      </c>
      <c r="U5" t="s">
        <v>55</v>
      </c>
      <c r="V5" t="s">
        <v>37</v>
      </c>
      <c r="W5">
        <v>46</v>
      </c>
      <c r="X5">
        <v>16</v>
      </c>
      <c r="Y5">
        <v>736</v>
      </c>
      <c r="Z5">
        <v>73.600000000000009</v>
      </c>
    </row>
    <row r="6" spans="1:26" x14ac:dyDescent="0.35">
      <c r="A6">
        <v>1366</v>
      </c>
      <c r="B6" s="16">
        <v>41971</v>
      </c>
      <c r="C6">
        <v>28</v>
      </c>
      <c r="D6" t="s">
        <v>90</v>
      </c>
      <c r="E6" t="s">
        <v>91</v>
      </c>
      <c r="F6" t="s">
        <v>92</v>
      </c>
      <c r="G6" t="s">
        <v>93</v>
      </c>
      <c r="H6">
        <v>99999</v>
      </c>
      <c r="I6" t="s">
        <v>30</v>
      </c>
      <c r="J6" t="s">
        <v>94</v>
      </c>
      <c r="K6" t="s">
        <v>95</v>
      </c>
      <c r="L6" s="16">
        <v>41973</v>
      </c>
      <c r="M6" t="s">
        <v>62</v>
      </c>
      <c r="N6" t="s">
        <v>96</v>
      </c>
      <c r="O6" t="s">
        <v>91</v>
      </c>
      <c r="P6" t="s">
        <v>92</v>
      </c>
      <c r="Q6" t="s">
        <v>93</v>
      </c>
      <c r="R6">
        <v>99999</v>
      </c>
      <c r="S6" t="s">
        <v>30</v>
      </c>
      <c r="T6" t="s">
        <v>48</v>
      </c>
      <c r="U6" t="s">
        <v>55</v>
      </c>
      <c r="V6" t="s">
        <v>37</v>
      </c>
      <c r="W6">
        <v>46</v>
      </c>
      <c r="X6">
        <v>57</v>
      </c>
      <c r="Y6">
        <v>2622</v>
      </c>
      <c r="Z6">
        <v>272.68799999999999</v>
      </c>
    </row>
    <row r="7" spans="1:26" x14ac:dyDescent="0.35">
      <c r="A7">
        <v>1337</v>
      </c>
      <c r="B7" s="16">
        <v>41971</v>
      </c>
      <c r="C7">
        <v>28</v>
      </c>
      <c r="D7" t="s">
        <v>90</v>
      </c>
      <c r="E7" t="s">
        <v>91</v>
      </c>
      <c r="F7" t="s">
        <v>92</v>
      </c>
      <c r="G7" t="s">
        <v>93</v>
      </c>
      <c r="H7">
        <v>99999</v>
      </c>
      <c r="I7" t="s">
        <v>30</v>
      </c>
      <c r="J7" t="s">
        <v>94</v>
      </c>
      <c r="K7" t="s">
        <v>95</v>
      </c>
      <c r="L7">
        <v>41973</v>
      </c>
      <c r="M7" t="s">
        <v>62</v>
      </c>
      <c r="N7" t="s">
        <v>96</v>
      </c>
      <c r="O7" t="s">
        <v>91</v>
      </c>
      <c r="P7" t="s">
        <v>92</v>
      </c>
      <c r="Q7" t="s">
        <v>93</v>
      </c>
      <c r="R7">
        <v>99999</v>
      </c>
      <c r="S7" t="s">
        <v>30</v>
      </c>
      <c r="T7" t="s">
        <v>48</v>
      </c>
      <c r="U7" t="s">
        <v>123</v>
      </c>
      <c r="V7" t="s">
        <v>124</v>
      </c>
      <c r="W7">
        <v>18.399999999999999</v>
      </c>
      <c r="X7">
        <v>100</v>
      </c>
      <c r="Y7">
        <v>1839.9999999999998</v>
      </c>
      <c r="Z7">
        <v>184</v>
      </c>
    </row>
    <row r="8" spans="1:26" x14ac:dyDescent="0.35">
      <c r="A8">
        <v>1336</v>
      </c>
      <c r="B8" s="16">
        <v>41971</v>
      </c>
      <c r="C8">
        <v>28</v>
      </c>
      <c r="D8" t="s">
        <v>90</v>
      </c>
      <c r="E8" t="s">
        <v>91</v>
      </c>
      <c r="F8" t="s">
        <v>92</v>
      </c>
      <c r="G8" t="s">
        <v>93</v>
      </c>
      <c r="H8">
        <v>99999</v>
      </c>
      <c r="I8" t="s">
        <v>30</v>
      </c>
      <c r="J8" t="s">
        <v>94</v>
      </c>
      <c r="K8" t="s">
        <v>95</v>
      </c>
      <c r="L8" s="16">
        <v>41973</v>
      </c>
      <c r="M8" t="s">
        <v>62</v>
      </c>
      <c r="N8" t="s">
        <v>96</v>
      </c>
      <c r="O8" t="s">
        <v>91</v>
      </c>
      <c r="P8" t="s">
        <v>92</v>
      </c>
      <c r="Q8" t="s">
        <v>93</v>
      </c>
      <c r="R8">
        <v>99999</v>
      </c>
      <c r="S8" t="s">
        <v>30</v>
      </c>
      <c r="T8" t="s">
        <v>48</v>
      </c>
      <c r="U8" t="s">
        <v>80</v>
      </c>
      <c r="V8" t="s">
        <v>81</v>
      </c>
      <c r="W8">
        <v>9.65</v>
      </c>
      <c r="X8">
        <v>46</v>
      </c>
      <c r="Y8">
        <v>443.90000000000003</v>
      </c>
      <c r="Z8">
        <v>45.721700000000006</v>
      </c>
    </row>
    <row r="9" spans="1:26" x14ac:dyDescent="0.35">
      <c r="A9">
        <v>1325</v>
      </c>
      <c r="B9" s="16">
        <v>41940</v>
      </c>
      <c r="C9">
        <v>28</v>
      </c>
      <c r="D9" t="s">
        <v>90</v>
      </c>
      <c r="E9" t="s">
        <v>91</v>
      </c>
      <c r="F9" t="s">
        <v>92</v>
      </c>
      <c r="G9" t="s">
        <v>93</v>
      </c>
      <c r="H9">
        <v>99999</v>
      </c>
      <c r="I9" t="s">
        <v>30</v>
      </c>
      <c r="J9" t="s">
        <v>94</v>
      </c>
      <c r="K9" t="s">
        <v>95</v>
      </c>
      <c r="L9" s="16">
        <v>41942</v>
      </c>
      <c r="M9" t="s">
        <v>62</v>
      </c>
      <c r="N9" t="s">
        <v>96</v>
      </c>
      <c r="O9" t="s">
        <v>91</v>
      </c>
      <c r="P9" t="s">
        <v>92</v>
      </c>
      <c r="Q9" t="s">
        <v>93</v>
      </c>
      <c r="R9">
        <v>99999</v>
      </c>
      <c r="S9" t="s">
        <v>30</v>
      </c>
      <c r="T9" t="s">
        <v>48</v>
      </c>
      <c r="U9" t="s">
        <v>55</v>
      </c>
      <c r="V9" t="s">
        <v>37</v>
      </c>
      <c r="W9">
        <v>46</v>
      </c>
      <c r="X9">
        <v>34</v>
      </c>
      <c r="Y9">
        <v>1564</v>
      </c>
      <c r="Z9">
        <v>157.964</v>
      </c>
    </row>
    <row r="10" spans="1:26" x14ac:dyDescent="0.35">
      <c r="A10">
        <v>1296</v>
      </c>
      <c r="B10" s="16">
        <v>41940</v>
      </c>
      <c r="C10">
        <v>28</v>
      </c>
      <c r="D10" t="s">
        <v>90</v>
      </c>
      <c r="E10" t="s">
        <v>91</v>
      </c>
      <c r="F10" t="s">
        <v>92</v>
      </c>
      <c r="G10" t="s">
        <v>93</v>
      </c>
      <c r="H10">
        <v>99999</v>
      </c>
      <c r="I10" t="s">
        <v>30</v>
      </c>
      <c r="J10" t="s">
        <v>94</v>
      </c>
      <c r="K10" t="s">
        <v>95</v>
      </c>
      <c r="L10" s="16">
        <v>41942</v>
      </c>
      <c r="M10" t="s">
        <v>62</v>
      </c>
      <c r="N10" t="s">
        <v>96</v>
      </c>
      <c r="O10" t="s">
        <v>91</v>
      </c>
      <c r="P10" t="s">
        <v>92</v>
      </c>
      <c r="Q10" t="s">
        <v>93</v>
      </c>
      <c r="R10">
        <v>99999</v>
      </c>
      <c r="S10" t="s">
        <v>30</v>
      </c>
      <c r="T10" t="s">
        <v>48</v>
      </c>
      <c r="U10" t="s">
        <v>123</v>
      </c>
      <c r="V10" t="s">
        <v>124</v>
      </c>
      <c r="W10">
        <v>18.399999999999999</v>
      </c>
      <c r="X10">
        <v>24</v>
      </c>
      <c r="Y10">
        <v>441.59999999999997</v>
      </c>
      <c r="Z10">
        <v>42.835199999999993</v>
      </c>
    </row>
    <row r="11" spans="1:26" x14ac:dyDescent="0.35">
      <c r="A11">
        <v>1295</v>
      </c>
      <c r="B11" s="16">
        <v>41940</v>
      </c>
      <c r="C11">
        <v>28</v>
      </c>
      <c r="D11" t="s">
        <v>90</v>
      </c>
      <c r="E11" t="s">
        <v>91</v>
      </c>
      <c r="F11" t="s">
        <v>92</v>
      </c>
      <c r="G11" t="s">
        <v>93</v>
      </c>
      <c r="H11">
        <v>99999</v>
      </c>
      <c r="I11" t="s">
        <v>30</v>
      </c>
      <c r="J11" t="s">
        <v>94</v>
      </c>
      <c r="K11" t="s">
        <v>95</v>
      </c>
      <c r="L11" s="16">
        <v>41942</v>
      </c>
      <c r="M11" t="s">
        <v>62</v>
      </c>
      <c r="N11" t="s">
        <v>96</v>
      </c>
      <c r="O11" t="s">
        <v>91</v>
      </c>
      <c r="P11" t="s">
        <v>92</v>
      </c>
      <c r="Q11" t="s">
        <v>93</v>
      </c>
      <c r="R11">
        <v>99999</v>
      </c>
      <c r="S11" t="s">
        <v>30</v>
      </c>
      <c r="T11" t="s">
        <v>48</v>
      </c>
      <c r="U11" t="s">
        <v>80</v>
      </c>
      <c r="V11" t="s">
        <v>81</v>
      </c>
      <c r="W11">
        <v>9.65</v>
      </c>
      <c r="X11">
        <v>44</v>
      </c>
      <c r="Y11">
        <v>424.6</v>
      </c>
      <c r="Z11">
        <v>44.158400000000007</v>
      </c>
    </row>
    <row r="12" spans="1:26" x14ac:dyDescent="0.35">
      <c r="A12">
        <v>1283</v>
      </c>
      <c r="B12" s="16">
        <v>41940</v>
      </c>
      <c r="C12">
        <v>28</v>
      </c>
      <c r="D12" t="s">
        <v>90</v>
      </c>
      <c r="E12" t="s">
        <v>91</v>
      </c>
      <c r="F12" t="s">
        <v>92</v>
      </c>
      <c r="G12" t="s">
        <v>93</v>
      </c>
      <c r="H12">
        <v>99999</v>
      </c>
      <c r="I12" t="s">
        <v>30</v>
      </c>
      <c r="J12" t="s">
        <v>94</v>
      </c>
      <c r="K12" t="s">
        <v>95</v>
      </c>
      <c r="L12" s="16">
        <v>41942</v>
      </c>
      <c r="M12" t="s">
        <v>62</v>
      </c>
      <c r="N12" t="s">
        <v>96</v>
      </c>
      <c r="O12" t="s">
        <v>91</v>
      </c>
      <c r="P12" t="s">
        <v>92</v>
      </c>
      <c r="Q12" t="s">
        <v>93</v>
      </c>
      <c r="R12">
        <v>99999</v>
      </c>
      <c r="S12" t="s">
        <v>30</v>
      </c>
      <c r="T12" t="s">
        <v>35</v>
      </c>
      <c r="U12" t="s">
        <v>55</v>
      </c>
      <c r="V12" t="s">
        <v>37</v>
      </c>
      <c r="W12">
        <v>46</v>
      </c>
      <c r="X12">
        <v>86</v>
      </c>
      <c r="Y12">
        <v>3956</v>
      </c>
      <c r="Z12">
        <v>379.77600000000001</v>
      </c>
    </row>
    <row r="13" spans="1:26" x14ac:dyDescent="0.35">
      <c r="A13">
        <v>1257</v>
      </c>
      <c r="B13" s="16">
        <v>41910</v>
      </c>
      <c r="C13">
        <v>28</v>
      </c>
      <c r="D13" t="s">
        <v>90</v>
      </c>
      <c r="E13" t="s">
        <v>91</v>
      </c>
      <c r="F13" t="s">
        <v>92</v>
      </c>
      <c r="G13" t="s">
        <v>93</v>
      </c>
      <c r="H13">
        <v>99999</v>
      </c>
      <c r="I13" t="s">
        <v>30</v>
      </c>
      <c r="J13" t="s">
        <v>94</v>
      </c>
      <c r="K13" t="s">
        <v>95</v>
      </c>
      <c r="L13">
        <v>41912</v>
      </c>
      <c r="M13" t="s">
        <v>62</v>
      </c>
      <c r="N13" t="s">
        <v>96</v>
      </c>
      <c r="O13" t="s">
        <v>91</v>
      </c>
      <c r="P13" t="s">
        <v>92</v>
      </c>
      <c r="Q13" t="s">
        <v>93</v>
      </c>
      <c r="R13">
        <v>99999</v>
      </c>
      <c r="S13" t="s">
        <v>30</v>
      </c>
      <c r="T13" t="s">
        <v>48</v>
      </c>
      <c r="U13" t="s">
        <v>123</v>
      </c>
      <c r="V13" t="s">
        <v>124</v>
      </c>
      <c r="W13">
        <v>18.399999999999999</v>
      </c>
      <c r="X13">
        <v>32</v>
      </c>
      <c r="Y13">
        <v>588.79999999999995</v>
      </c>
      <c r="Z13">
        <v>58.879999999999995</v>
      </c>
    </row>
    <row r="14" spans="1:26" x14ac:dyDescent="0.35">
      <c r="A14">
        <v>1013</v>
      </c>
      <c r="B14" s="16">
        <v>41667</v>
      </c>
      <c r="C14">
        <v>28</v>
      </c>
      <c r="D14" t="s">
        <v>90</v>
      </c>
      <c r="E14" t="s">
        <v>91</v>
      </c>
      <c r="F14" t="s">
        <v>92</v>
      </c>
      <c r="G14" t="s">
        <v>93</v>
      </c>
      <c r="H14">
        <v>99999</v>
      </c>
      <c r="I14" t="s">
        <v>30</v>
      </c>
      <c r="J14" t="s">
        <v>94</v>
      </c>
      <c r="K14" t="s">
        <v>95</v>
      </c>
      <c r="L14" s="16">
        <v>41669</v>
      </c>
      <c r="M14" t="s">
        <v>62</v>
      </c>
      <c r="N14" t="s">
        <v>96</v>
      </c>
      <c r="O14" t="s">
        <v>91</v>
      </c>
      <c r="P14" t="s">
        <v>92</v>
      </c>
      <c r="Q14" t="s">
        <v>93</v>
      </c>
      <c r="R14">
        <v>99999</v>
      </c>
      <c r="S14" t="s">
        <v>30</v>
      </c>
      <c r="T14" t="s">
        <v>35</v>
      </c>
      <c r="U14" t="s">
        <v>55</v>
      </c>
      <c r="V14" t="s">
        <v>37</v>
      </c>
      <c r="W14">
        <v>46</v>
      </c>
      <c r="X14">
        <v>55</v>
      </c>
      <c r="Y14">
        <v>2530</v>
      </c>
      <c r="Z14">
        <v>253</v>
      </c>
    </row>
    <row r="15" spans="1:26" x14ac:dyDescent="0.35">
      <c r="A15">
        <v>1256</v>
      </c>
      <c r="B15" s="16">
        <v>41910</v>
      </c>
      <c r="C15">
        <v>28</v>
      </c>
      <c r="D15" t="s">
        <v>90</v>
      </c>
      <c r="E15" t="s">
        <v>91</v>
      </c>
      <c r="F15" t="s">
        <v>92</v>
      </c>
      <c r="G15" t="s">
        <v>93</v>
      </c>
      <c r="H15">
        <v>99999</v>
      </c>
      <c r="I15" t="s">
        <v>30</v>
      </c>
      <c r="J15" t="s">
        <v>94</v>
      </c>
      <c r="K15" t="s">
        <v>95</v>
      </c>
      <c r="L15" s="16">
        <v>41912</v>
      </c>
      <c r="M15" t="s">
        <v>62</v>
      </c>
      <c r="N15" t="s">
        <v>96</v>
      </c>
      <c r="O15" t="s">
        <v>91</v>
      </c>
      <c r="P15" t="s">
        <v>92</v>
      </c>
      <c r="Q15" t="s">
        <v>93</v>
      </c>
      <c r="R15">
        <v>99999</v>
      </c>
      <c r="S15" t="s">
        <v>30</v>
      </c>
      <c r="T15" t="s">
        <v>48</v>
      </c>
      <c r="U15" t="s">
        <v>80</v>
      </c>
      <c r="V15" t="s">
        <v>81</v>
      </c>
      <c r="W15">
        <v>9.65</v>
      </c>
      <c r="X15">
        <v>68</v>
      </c>
      <c r="Y15">
        <v>656.2</v>
      </c>
      <c r="Z15">
        <v>64.307600000000008</v>
      </c>
    </row>
    <row r="16" spans="1:26" x14ac:dyDescent="0.35">
      <c r="A16">
        <v>1235</v>
      </c>
      <c r="B16" s="16">
        <v>41879</v>
      </c>
      <c r="C16">
        <v>28</v>
      </c>
      <c r="D16" t="s">
        <v>90</v>
      </c>
      <c r="E16" t="s">
        <v>91</v>
      </c>
      <c r="F16" t="s">
        <v>92</v>
      </c>
      <c r="G16" t="s">
        <v>93</v>
      </c>
      <c r="H16">
        <v>99999</v>
      </c>
      <c r="I16" t="s">
        <v>30</v>
      </c>
      <c r="J16" t="s">
        <v>94</v>
      </c>
      <c r="K16" t="s">
        <v>95</v>
      </c>
      <c r="L16" s="16">
        <v>41881</v>
      </c>
      <c r="M16" t="s">
        <v>62</v>
      </c>
      <c r="N16" t="s">
        <v>96</v>
      </c>
      <c r="O16" t="s">
        <v>91</v>
      </c>
      <c r="P16" t="s">
        <v>92</v>
      </c>
      <c r="Q16" t="s">
        <v>93</v>
      </c>
      <c r="R16">
        <v>99999</v>
      </c>
      <c r="S16" t="s">
        <v>30</v>
      </c>
      <c r="T16" t="s">
        <v>48</v>
      </c>
      <c r="U16" t="s">
        <v>123</v>
      </c>
      <c r="V16" t="s">
        <v>124</v>
      </c>
      <c r="W16">
        <v>18.399999999999999</v>
      </c>
      <c r="X16">
        <v>80</v>
      </c>
      <c r="Y16">
        <v>1472</v>
      </c>
      <c r="Z16">
        <v>150.14400000000003</v>
      </c>
    </row>
    <row r="17" spans="1:26" x14ac:dyDescent="0.35">
      <c r="A17">
        <v>1234</v>
      </c>
      <c r="B17" s="16">
        <v>41879</v>
      </c>
      <c r="C17">
        <v>28</v>
      </c>
      <c r="D17" t="s">
        <v>90</v>
      </c>
      <c r="E17" t="s">
        <v>91</v>
      </c>
      <c r="F17" t="s">
        <v>92</v>
      </c>
      <c r="G17" t="s">
        <v>93</v>
      </c>
      <c r="H17">
        <v>99999</v>
      </c>
      <c r="I17" t="s">
        <v>30</v>
      </c>
      <c r="J17" t="s">
        <v>94</v>
      </c>
      <c r="K17" t="s">
        <v>95</v>
      </c>
      <c r="L17" s="16">
        <v>41881</v>
      </c>
      <c r="M17" t="s">
        <v>62</v>
      </c>
      <c r="N17" t="s">
        <v>96</v>
      </c>
      <c r="O17" t="s">
        <v>91</v>
      </c>
      <c r="P17" t="s">
        <v>92</v>
      </c>
      <c r="Q17" t="s">
        <v>93</v>
      </c>
      <c r="R17">
        <v>99999</v>
      </c>
      <c r="S17" t="s">
        <v>30</v>
      </c>
      <c r="T17" t="s">
        <v>48</v>
      </c>
      <c r="U17" t="s">
        <v>80</v>
      </c>
      <c r="V17" t="s">
        <v>81</v>
      </c>
      <c r="W17">
        <v>9.65</v>
      </c>
      <c r="X17">
        <v>97</v>
      </c>
      <c r="Y17">
        <v>936.05000000000007</v>
      </c>
      <c r="Z17">
        <v>95.477100000000021</v>
      </c>
    </row>
    <row r="18" spans="1:26" x14ac:dyDescent="0.35">
      <c r="A18">
        <v>1222</v>
      </c>
      <c r="B18" s="16">
        <v>41879</v>
      </c>
      <c r="C18">
        <v>28</v>
      </c>
      <c r="D18" t="s">
        <v>90</v>
      </c>
      <c r="E18" t="s">
        <v>91</v>
      </c>
      <c r="F18" t="s">
        <v>92</v>
      </c>
      <c r="G18" t="s">
        <v>93</v>
      </c>
      <c r="H18">
        <v>99999</v>
      </c>
      <c r="I18" t="s">
        <v>30</v>
      </c>
      <c r="J18" t="s">
        <v>94</v>
      </c>
      <c r="K18" t="s">
        <v>95</v>
      </c>
      <c r="L18" s="16">
        <v>41881</v>
      </c>
      <c r="M18" t="s">
        <v>62</v>
      </c>
      <c r="N18" t="s">
        <v>96</v>
      </c>
      <c r="O18" t="s">
        <v>91</v>
      </c>
      <c r="P18" t="s">
        <v>92</v>
      </c>
      <c r="Q18" t="s">
        <v>93</v>
      </c>
      <c r="R18">
        <v>99999</v>
      </c>
      <c r="S18" t="s">
        <v>30</v>
      </c>
      <c r="T18" t="s">
        <v>35</v>
      </c>
      <c r="U18" t="s">
        <v>55</v>
      </c>
      <c r="V18" t="s">
        <v>37</v>
      </c>
      <c r="W18">
        <v>46</v>
      </c>
      <c r="X18">
        <v>28</v>
      </c>
      <c r="Y18">
        <v>1288</v>
      </c>
      <c r="Z18">
        <v>133.95200000000003</v>
      </c>
    </row>
    <row r="19" spans="1:26" x14ac:dyDescent="0.35">
      <c r="A19">
        <v>1219</v>
      </c>
      <c r="B19" s="16">
        <v>41848</v>
      </c>
      <c r="C19">
        <v>28</v>
      </c>
      <c r="D19" t="s">
        <v>90</v>
      </c>
      <c r="E19" t="s">
        <v>91</v>
      </c>
      <c r="F19" t="s">
        <v>92</v>
      </c>
      <c r="G19" t="s">
        <v>93</v>
      </c>
      <c r="H19">
        <v>99999</v>
      </c>
      <c r="I19" t="s">
        <v>30</v>
      </c>
      <c r="J19" t="s">
        <v>94</v>
      </c>
      <c r="K19" t="s">
        <v>95</v>
      </c>
      <c r="L19">
        <v>41850</v>
      </c>
      <c r="M19" t="s">
        <v>62</v>
      </c>
      <c r="N19" t="s">
        <v>96</v>
      </c>
      <c r="O19" t="s">
        <v>91</v>
      </c>
      <c r="P19" t="s">
        <v>92</v>
      </c>
      <c r="Q19" t="s">
        <v>93</v>
      </c>
      <c r="R19">
        <v>99999</v>
      </c>
      <c r="S19" t="s">
        <v>30</v>
      </c>
      <c r="T19" t="s">
        <v>48</v>
      </c>
      <c r="U19" t="s">
        <v>55</v>
      </c>
      <c r="V19" t="s">
        <v>37</v>
      </c>
      <c r="W19">
        <v>46</v>
      </c>
      <c r="X19">
        <v>24</v>
      </c>
      <c r="Y19">
        <v>1104</v>
      </c>
      <c r="Z19">
        <v>105.98399999999999</v>
      </c>
    </row>
    <row r="20" spans="1:26" x14ac:dyDescent="0.35">
      <c r="A20">
        <v>1190</v>
      </c>
      <c r="B20" s="16">
        <v>41848</v>
      </c>
      <c r="C20">
        <v>28</v>
      </c>
      <c r="D20" t="s">
        <v>90</v>
      </c>
      <c r="E20" t="s">
        <v>91</v>
      </c>
      <c r="F20" t="s">
        <v>92</v>
      </c>
      <c r="G20" t="s">
        <v>93</v>
      </c>
      <c r="H20">
        <v>99999</v>
      </c>
      <c r="I20" t="s">
        <v>30</v>
      </c>
      <c r="J20" t="s">
        <v>94</v>
      </c>
      <c r="K20" t="s">
        <v>95</v>
      </c>
      <c r="L20" s="16">
        <v>41850</v>
      </c>
      <c r="M20" t="s">
        <v>62</v>
      </c>
      <c r="N20" t="s">
        <v>96</v>
      </c>
      <c r="O20" t="s">
        <v>91</v>
      </c>
      <c r="P20" t="s">
        <v>92</v>
      </c>
      <c r="Q20" t="s">
        <v>93</v>
      </c>
      <c r="R20">
        <v>99999</v>
      </c>
      <c r="S20" t="s">
        <v>30</v>
      </c>
      <c r="T20" t="s">
        <v>48</v>
      </c>
      <c r="U20" t="s">
        <v>123</v>
      </c>
      <c r="V20" t="s">
        <v>124</v>
      </c>
      <c r="W20">
        <v>18.399999999999999</v>
      </c>
      <c r="X20">
        <v>47</v>
      </c>
      <c r="Y20">
        <v>864.8</v>
      </c>
      <c r="Z20">
        <v>90.804000000000002</v>
      </c>
    </row>
    <row r="21" spans="1:26" x14ac:dyDescent="0.35">
      <c r="A21">
        <v>1189</v>
      </c>
      <c r="B21" s="16">
        <v>41848</v>
      </c>
      <c r="C21">
        <v>28</v>
      </c>
      <c r="D21" t="s">
        <v>90</v>
      </c>
      <c r="E21" t="s">
        <v>91</v>
      </c>
      <c r="F21" t="s">
        <v>92</v>
      </c>
      <c r="G21" t="s">
        <v>93</v>
      </c>
      <c r="H21">
        <v>99999</v>
      </c>
      <c r="I21" t="s">
        <v>30</v>
      </c>
      <c r="J21" t="s">
        <v>94</v>
      </c>
      <c r="K21" t="s">
        <v>95</v>
      </c>
      <c r="L21" s="16">
        <v>41850</v>
      </c>
      <c r="M21" t="s">
        <v>62</v>
      </c>
      <c r="N21" t="s">
        <v>96</v>
      </c>
      <c r="O21" t="s">
        <v>91</v>
      </c>
      <c r="P21" t="s">
        <v>92</v>
      </c>
      <c r="Q21" t="s">
        <v>93</v>
      </c>
      <c r="R21">
        <v>99999</v>
      </c>
      <c r="S21" t="s">
        <v>30</v>
      </c>
      <c r="T21" t="s">
        <v>48</v>
      </c>
      <c r="U21" t="s">
        <v>80</v>
      </c>
      <c r="V21" t="s">
        <v>81</v>
      </c>
      <c r="W21">
        <v>9.65</v>
      </c>
      <c r="X21">
        <v>33</v>
      </c>
      <c r="Y21">
        <v>318.45</v>
      </c>
      <c r="Z21">
        <v>30.252749999999999</v>
      </c>
    </row>
    <row r="22" spans="1:26" x14ac:dyDescent="0.35">
      <c r="A22">
        <v>1177</v>
      </c>
      <c r="B22" s="16">
        <v>41818</v>
      </c>
      <c r="C22">
        <v>28</v>
      </c>
      <c r="D22" t="s">
        <v>90</v>
      </c>
      <c r="E22" t="s">
        <v>91</v>
      </c>
      <c r="F22" t="s">
        <v>92</v>
      </c>
      <c r="G22" t="s">
        <v>93</v>
      </c>
      <c r="H22">
        <v>99999</v>
      </c>
      <c r="I22" t="s">
        <v>30</v>
      </c>
      <c r="J22" t="s">
        <v>94</v>
      </c>
      <c r="K22" t="s">
        <v>95</v>
      </c>
      <c r="L22" s="16">
        <v>41820</v>
      </c>
      <c r="M22" t="s">
        <v>62</v>
      </c>
      <c r="N22" t="s">
        <v>96</v>
      </c>
      <c r="O22" t="s">
        <v>91</v>
      </c>
      <c r="P22" t="s">
        <v>92</v>
      </c>
      <c r="Q22" t="s">
        <v>93</v>
      </c>
      <c r="R22">
        <v>99999</v>
      </c>
      <c r="S22" t="s">
        <v>30</v>
      </c>
      <c r="T22" t="s">
        <v>48</v>
      </c>
      <c r="U22" t="s">
        <v>55</v>
      </c>
      <c r="V22" t="s">
        <v>37</v>
      </c>
      <c r="W22">
        <v>46</v>
      </c>
      <c r="X22">
        <v>74</v>
      </c>
      <c r="Y22">
        <v>3404</v>
      </c>
      <c r="Z22">
        <v>340.40000000000003</v>
      </c>
    </row>
    <row r="23" spans="1:26" x14ac:dyDescent="0.35">
      <c r="A23">
        <v>1148</v>
      </c>
      <c r="B23" s="16">
        <v>41818</v>
      </c>
      <c r="C23">
        <v>28</v>
      </c>
      <c r="D23" t="s">
        <v>90</v>
      </c>
      <c r="E23" t="s">
        <v>91</v>
      </c>
      <c r="F23" t="s">
        <v>92</v>
      </c>
      <c r="G23" t="s">
        <v>93</v>
      </c>
      <c r="H23">
        <v>99999</v>
      </c>
      <c r="I23" t="s">
        <v>30</v>
      </c>
      <c r="J23" t="s">
        <v>94</v>
      </c>
      <c r="K23" t="s">
        <v>95</v>
      </c>
      <c r="L23" s="16">
        <v>41820</v>
      </c>
      <c r="M23" t="s">
        <v>62</v>
      </c>
      <c r="N23" t="s">
        <v>96</v>
      </c>
      <c r="O23" t="s">
        <v>91</v>
      </c>
      <c r="P23" t="s">
        <v>92</v>
      </c>
      <c r="Q23" t="s">
        <v>93</v>
      </c>
      <c r="R23">
        <v>99999</v>
      </c>
      <c r="S23" t="s">
        <v>30</v>
      </c>
      <c r="T23" t="s">
        <v>48</v>
      </c>
      <c r="U23" t="s">
        <v>123</v>
      </c>
      <c r="V23" t="s">
        <v>124</v>
      </c>
      <c r="W23">
        <v>18.399999999999999</v>
      </c>
      <c r="X23">
        <v>98</v>
      </c>
      <c r="Y23">
        <v>1803.1999999999998</v>
      </c>
      <c r="Z23">
        <v>183.9264</v>
      </c>
    </row>
    <row r="24" spans="1:26" x14ac:dyDescent="0.35">
      <c r="A24">
        <v>1147</v>
      </c>
      <c r="B24" s="16">
        <v>41818</v>
      </c>
      <c r="C24">
        <v>28</v>
      </c>
      <c r="D24" t="s">
        <v>90</v>
      </c>
      <c r="E24" t="s">
        <v>91</v>
      </c>
      <c r="F24" t="s">
        <v>92</v>
      </c>
      <c r="G24" t="s">
        <v>93</v>
      </c>
      <c r="H24">
        <v>99999</v>
      </c>
      <c r="I24" t="s">
        <v>30</v>
      </c>
      <c r="J24" t="s">
        <v>94</v>
      </c>
      <c r="K24" t="s">
        <v>95</v>
      </c>
      <c r="L24" s="16">
        <v>41820</v>
      </c>
      <c r="M24" t="s">
        <v>62</v>
      </c>
      <c r="N24" t="s">
        <v>96</v>
      </c>
      <c r="O24" t="s">
        <v>91</v>
      </c>
      <c r="P24" t="s">
        <v>92</v>
      </c>
      <c r="Q24" t="s">
        <v>93</v>
      </c>
      <c r="R24">
        <v>99999</v>
      </c>
      <c r="S24" t="s">
        <v>30</v>
      </c>
      <c r="T24" t="s">
        <v>48</v>
      </c>
      <c r="U24" t="s">
        <v>80</v>
      </c>
      <c r="V24" t="s">
        <v>81</v>
      </c>
      <c r="W24">
        <v>9.65</v>
      </c>
      <c r="X24">
        <v>60</v>
      </c>
      <c r="Y24">
        <v>579</v>
      </c>
      <c r="Z24">
        <v>57.321000000000005</v>
      </c>
    </row>
    <row r="25" spans="1:26" x14ac:dyDescent="0.35">
      <c r="A25">
        <v>1115</v>
      </c>
      <c r="B25" s="16">
        <v>41787</v>
      </c>
      <c r="C25">
        <v>28</v>
      </c>
      <c r="D25" t="s">
        <v>90</v>
      </c>
      <c r="E25" t="s">
        <v>91</v>
      </c>
      <c r="F25" t="s">
        <v>92</v>
      </c>
      <c r="G25" t="s">
        <v>93</v>
      </c>
      <c r="H25">
        <v>99999</v>
      </c>
      <c r="I25" t="s">
        <v>30</v>
      </c>
      <c r="J25" t="s">
        <v>94</v>
      </c>
      <c r="K25" t="s">
        <v>95</v>
      </c>
      <c r="L25" s="16">
        <v>41789</v>
      </c>
      <c r="M25" t="s">
        <v>62</v>
      </c>
      <c r="N25" t="s">
        <v>96</v>
      </c>
      <c r="O25" t="s">
        <v>91</v>
      </c>
      <c r="P25" t="s">
        <v>92</v>
      </c>
      <c r="Q25" t="s">
        <v>93</v>
      </c>
      <c r="R25">
        <v>99999</v>
      </c>
      <c r="S25" t="s">
        <v>30</v>
      </c>
      <c r="T25" t="s">
        <v>48</v>
      </c>
      <c r="U25" t="s">
        <v>123</v>
      </c>
      <c r="V25" t="s">
        <v>124</v>
      </c>
      <c r="W25">
        <v>18.399999999999999</v>
      </c>
      <c r="X25">
        <v>25</v>
      </c>
      <c r="Y25">
        <v>459.99999999999994</v>
      </c>
      <c r="Z25">
        <v>46.46</v>
      </c>
    </row>
    <row r="26" spans="1:26" x14ac:dyDescent="0.35">
      <c r="A26">
        <v>1025</v>
      </c>
      <c r="B26" s="16">
        <v>41667</v>
      </c>
      <c r="C26">
        <v>28</v>
      </c>
      <c r="D26" t="s">
        <v>90</v>
      </c>
      <c r="E26" t="s">
        <v>91</v>
      </c>
      <c r="F26" t="s">
        <v>92</v>
      </c>
      <c r="G26" t="s">
        <v>93</v>
      </c>
      <c r="H26">
        <v>99999</v>
      </c>
      <c r="I26" t="s">
        <v>30</v>
      </c>
      <c r="J26" t="s">
        <v>94</v>
      </c>
      <c r="K26" t="s">
        <v>95</v>
      </c>
      <c r="L26" s="16">
        <v>41669</v>
      </c>
      <c r="M26" t="s">
        <v>62</v>
      </c>
      <c r="N26" t="s">
        <v>96</v>
      </c>
      <c r="O26" t="s">
        <v>91</v>
      </c>
      <c r="P26" t="s">
        <v>92</v>
      </c>
      <c r="Q26" t="s">
        <v>93</v>
      </c>
      <c r="R26">
        <v>99999</v>
      </c>
      <c r="S26" t="s">
        <v>30</v>
      </c>
      <c r="T26" t="s">
        <v>48</v>
      </c>
      <c r="U26" t="s">
        <v>80</v>
      </c>
      <c r="V26" t="s">
        <v>81</v>
      </c>
      <c r="W26">
        <v>9.65</v>
      </c>
      <c r="X26">
        <v>100</v>
      </c>
      <c r="Y26">
        <v>965</v>
      </c>
      <c r="Z26">
        <v>93.605000000000004</v>
      </c>
    </row>
    <row r="27" spans="1:26" x14ac:dyDescent="0.35">
      <c r="A27">
        <v>1026</v>
      </c>
      <c r="B27" s="16">
        <v>41667</v>
      </c>
      <c r="C27">
        <v>28</v>
      </c>
      <c r="D27" t="s">
        <v>90</v>
      </c>
      <c r="E27" t="s">
        <v>91</v>
      </c>
      <c r="F27" t="s">
        <v>92</v>
      </c>
      <c r="G27" t="s">
        <v>93</v>
      </c>
      <c r="H27">
        <v>99999</v>
      </c>
      <c r="I27" t="s">
        <v>30</v>
      </c>
      <c r="J27" t="s">
        <v>94</v>
      </c>
      <c r="K27" t="s">
        <v>95</v>
      </c>
      <c r="L27" s="16">
        <v>41669</v>
      </c>
      <c r="M27" t="s">
        <v>62</v>
      </c>
      <c r="N27" t="s">
        <v>96</v>
      </c>
      <c r="O27" t="s">
        <v>91</v>
      </c>
      <c r="P27" t="s">
        <v>92</v>
      </c>
      <c r="Q27" t="s">
        <v>93</v>
      </c>
      <c r="R27">
        <v>99999</v>
      </c>
      <c r="S27" t="s">
        <v>30</v>
      </c>
      <c r="T27" t="s">
        <v>48</v>
      </c>
      <c r="U27" t="s">
        <v>123</v>
      </c>
      <c r="V27" t="s">
        <v>124</v>
      </c>
      <c r="W27">
        <v>18.399999999999999</v>
      </c>
      <c r="X27">
        <v>63</v>
      </c>
      <c r="Y27">
        <v>1159.1999999999998</v>
      </c>
      <c r="Z27">
        <v>114.76079999999999</v>
      </c>
    </row>
    <row r="28" spans="1:26" x14ac:dyDescent="0.35">
      <c r="A28">
        <v>1114</v>
      </c>
      <c r="B28" s="16">
        <v>41787</v>
      </c>
      <c r="C28">
        <v>28</v>
      </c>
      <c r="D28" t="s">
        <v>90</v>
      </c>
      <c r="E28" t="s">
        <v>91</v>
      </c>
      <c r="F28" t="s">
        <v>92</v>
      </c>
      <c r="G28" t="s">
        <v>93</v>
      </c>
      <c r="H28">
        <v>99999</v>
      </c>
      <c r="I28" t="s">
        <v>30</v>
      </c>
      <c r="J28" t="s">
        <v>94</v>
      </c>
      <c r="K28" t="s">
        <v>95</v>
      </c>
      <c r="L28">
        <v>41789</v>
      </c>
      <c r="M28" t="s">
        <v>62</v>
      </c>
      <c r="N28" t="s">
        <v>96</v>
      </c>
      <c r="O28" t="s">
        <v>91</v>
      </c>
      <c r="P28" t="s">
        <v>92</v>
      </c>
      <c r="Q28" t="s">
        <v>93</v>
      </c>
      <c r="R28">
        <v>99999</v>
      </c>
      <c r="S28" t="s">
        <v>30</v>
      </c>
      <c r="T28" t="s">
        <v>48</v>
      </c>
      <c r="U28" t="s">
        <v>80</v>
      </c>
      <c r="V28" t="s">
        <v>81</v>
      </c>
      <c r="W28">
        <v>9.65</v>
      </c>
      <c r="X28">
        <v>74</v>
      </c>
      <c r="Y28">
        <v>714.1</v>
      </c>
      <c r="Z28">
        <v>67.839500000000001</v>
      </c>
    </row>
    <row r="29" spans="1:26" x14ac:dyDescent="0.35">
      <c r="A29">
        <v>1102</v>
      </c>
      <c r="B29" s="16">
        <v>41787</v>
      </c>
      <c r="C29">
        <v>28</v>
      </c>
      <c r="D29" t="s">
        <v>90</v>
      </c>
      <c r="E29" t="s">
        <v>91</v>
      </c>
      <c r="F29" t="s">
        <v>92</v>
      </c>
      <c r="G29" t="s">
        <v>93</v>
      </c>
      <c r="H29">
        <v>99999</v>
      </c>
      <c r="I29" t="s">
        <v>30</v>
      </c>
      <c r="J29" t="s">
        <v>94</v>
      </c>
      <c r="K29" t="s">
        <v>95</v>
      </c>
      <c r="L29" s="16">
        <v>41789</v>
      </c>
      <c r="M29" t="s">
        <v>62</v>
      </c>
      <c r="N29" t="s">
        <v>96</v>
      </c>
      <c r="O29" t="s">
        <v>91</v>
      </c>
      <c r="P29" t="s">
        <v>92</v>
      </c>
      <c r="Q29" t="s">
        <v>93</v>
      </c>
      <c r="R29">
        <v>99999</v>
      </c>
      <c r="S29" t="s">
        <v>30</v>
      </c>
      <c r="T29" t="s">
        <v>35</v>
      </c>
      <c r="U29" t="s">
        <v>55</v>
      </c>
      <c r="V29" t="s">
        <v>37</v>
      </c>
      <c r="W29">
        <v>46</v>
      </c>
      <c r="X29">
        <v>36</v>
      </c>
      <c r="Y29">
        <v>1656</v>
      </c>
      <c r="Z29">
        <v>165.60000000000002</v>
      </c>
    </row>
    <row r="30" spans="1:26" x14ac:dyDescent="0.35">
      <c r="A30">
        <v>1089</v>
      </c>
      <c r="B30" s="16">
        <v>41757</v>
      </c>
      <c r="C30">
        <v>28</v>
      </c>
      <c r="D30" t="s">
        <v>90</v>
      </c>
      <c r="E30" t="s">
        <v>91</v>
      </c>
      <c r="F30" t="s">
        <v>92</v>
      </c>
      <c r="G30" t="s">
        <v>93</v>
      </c>
      <c r="H30">
        <v>99999</v>
      </c>
      <c r="I30" t="s">
        <v>30</v>
      </c>
      <c r="J30" t="s">
        <v>94</v>
      </c>
      <c r="K30" t="s">
        <v>95</v>
      </c>
      <c r="L30" s="16">
        <v>41759</v>
      </c>
      <c r="M30" t="s">
        <v>62</v>
      </c>
      <c r="N30" t="s">
        <v>96</v>
      </c>
      <c r="O30" t="s">
        <v>91</v>
      </c>
      <c r="P30" t="s">
        <v>92</v>
      </c>
      <c r="Q30" t="s">
        <v>93</v>
      </c>
      <c r="R30">
        <v>99999</v>
      </c>
      <c r="S30" t="s">
        <v>30</v>
      </c>
      <c r="T30" t="s">
        <v>35</v>
      </c>
      <c r="U30" t="s">
        <v>55</v>
      </c>
      <c r="V30" t="s">
        <v>37</v>
      </c>
      <c r="W30">
        <v>46</v>
      </c>
      <c r="X30">
        <v>96</v>
      </c>
      <c r="Y30">
        <v>4416</v>
      </c>
      <c r="Z30">
        <v>463.68000000000006</v>
      </c>
    </row>
    <row r="31" spans="1:26" x14ac:dyDescent="0.35">
      <c r="A31">
        <v>1080</v>
      </c>
      <c r="B31" s="16">
        <v>41726</v>
      </c>
      <c r="C31">
        <v>28</v>
      </c>
      <c r="D31" t="s">
        <v>90</v>
      </c>
      <c r="E31" t="s">
        <v>91</v>
      </c>
      <c r="F31" t="s">
        <v>92</v>
      </c>
      <c r="G31" t="s">
        <v>93</v>
      </c>
      <c r="H31">
        <v>99999</v>
      </c>
      <c r="I31" t="s">
        <v>30</v>
      </c>
      <c r="J31" t="s">
        <v>94</v>
      </c>
      <c r="K31" t="s">
        <v>95</v>
      </c>
      <c r="L31" s="16">
        <v>41728</v>
      </c>
      <c r="M31" t="s">
        <v>62</v>
      </c>
      <c r="N31" t="s">
        <v>96</v>
      </c>
      <c r="O31" t="s">
        <v>91</v>
      </c>
      <c r="P31" t="s">
        <v>92</v>
      </c>
      <c r="Q31" t="s">
        <v>93</v>
      </c>
      <c r="R31">
        <v>99999</v>
      </c>
      <c r="S31" t="s">
        <v>30</v>
      </c>
      <c r="T31" t="s">
        <v>48</v>
      </c>
      <c r="U31" t="s">
        <v>55</v>
      </c>
      <c r="V31" t="s">
        <v>37</v>
      </c>
      <c r="W31">
        <v>46</v>
      </c>
      <c r="X31">
        <v>17</v>
      </c>
      <c r="Y31">
        <v>782</v>
      </c>
      <c r="Z31">
        <v>80.546000000000006</v>
      </c>
    </row>
    <row r="32" spans="1:26" x14ac:dyDescent="0.35">
      <c r="A32">
        <v>1041</v>
      </c>
      <c r="B32" s="16">
        <v>41698</v>
      </c>
      <c r="C32">
        <v>28</v>
      </c>
      <c r="D32" t="s">
        <v>90</v>
      </c>
      <c r="E32" t="s">
        <v>91</v>
      </c>
      <c r="F32" t="s">
        <v>92</v>
      </c>
      <c r="G32" t="s">
        <v>93</v>
      </c>
      <c r="H32">
        <v>99999</v>
      </c>
      <c r="I32" t="s">
        <v>30</v>
      </c>
      <c r="J32" t="s">
        <v>94</v>
      </c>
      <c r="K32" t="s">
        <v>95</v>
      </c>
      <c r="L32">
        <v>41700</v>
      </c>
      <c r="M32" t="s">
        <v>62</v>
      </c>
      <c r="N32" t="s">
        <v>96</v>
      </c>
      <c r="O32" t="s">
        <v>91</v>
      </c>
      <c r="P32" t="s">
        <v>92</v>
      </c>
      <c r="Q32" t="s">
        <v>93</v>
      </c>
      <c r="R32">
        <v>99999</v>
      </c>
      <c r="S32" t="s">
        <v>30</v>
      </c>
      <c r="T32" t="s">
        <v>48</v>
      </c>
      <c r="U32" t="s">
        <v>55</v>
      </c>
      <c r="V32" t="s">
        <v>37</v>
      </c>
      <c r="W32">
        <v>46</v>
      </c>
      <c r="X32">
        <v>32</v>
      </c>
      <c r="Y32">
        <v>1472</v>
      </c>
      <c r="Z32">
        <v>148.67200000000003</v>
      </c>
    </row>
    <row r="33" spans="1:26" x14ac:dyDescent="0.35">
      <c r="A33">
        <v>1034</v>
      </c>
      <c r="B33" s="16">
        <v>41698</v>
      </c>
      <c r="C33">
        <v>28</v>
      </c>
      <c r="D33" t="s">
        <v>90</v>
      </c>
      <c r="E33" t="s">
        <v>91</v>
      </c>
      <c r="F33" t="s">
        <v>92</v>
      </c>
      <c r="G33" t="s">
        <v>93</v>
      </c>
      <c r="H33">
        <v>99999</v>
      </c>
      <c r="I33" t="s">
        <v>30</v>
      </c>
      <c r="J33" t="s">
        <v>94</v>
      </c>
      <c r="K33" t="s">
        <v>95</v>
      </c>
      <c r="L33" s="16">
        <v>41700</v>
      </c>
      <c r="M33" t="s">
        <v>62</v>
      </c>
      <c r="N33" t="s">
        <v>96</v>
      </c>
      <c r="O33" t="s">
        <v>91</v>
      </c>
      <c r="P33" t="s">
        <v>92</v>
      </c>
      <c r="Q33" t="s">
        <v>93</v>
      </c>
      <c r="R33">
        <v>99999</v>
      </c>
      <c r="S33" t="s">
        <v>30</v>
      </c>
      <c r="T33" t="s">
        <v>35</v>
      </c>
      <c r="V33" t="s">
        <v>163</v>
      </c>
      <c r="Y33">
        <v>10</v>
      </c>
      <c r="Z33">
        <v>31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C6A6-BA95-40FF-915C-9A1B305DDBF2}">
  <sheetPr>
    <tabColor theme="8"/>
  </sheetPr>
  <dimension ref="A3:B10"/>
  <sheetViews>
    <sheetView zoomScale="90" zoomScaleNormal="90" workbookViewId="0">
      <selection activeCell="M3" sqref="M3"/>
    </sheetView>
  </sheetViews>
  <sheetFormatPr defaultRowHeight="14.5" x14ac:dyDescent="0.35"/>
  <cols>
    <col min="1" max="1" width="12.90625" bestFit="1" customWidth="1"/>
    <col min="2" max="2" width="14.6328125" bestFit="1" customWidth="1"/>
  </cols>
  <sheetData>
    <row r="3" spans="1:2" x14ac:dyDescent="0.35">
      <c r="A3" s="10" t="s">
        <v>167</v>
      </c>
      <c r="B3" t="s">
        <v>169</v>
      </c>
    </row>
    <row r="4" spans="1:2" x14ac:dyDescent="0.35">
      <c r="A4" s="11" t="s">
        <v>42</v>
      </c>
      <c r="B4" s="3">
        <v>67180.5</v>
      </c>
    </row>
    <row r="5" spans="1:2" x14ac:dyDescent="0.35">
      <c r="A5" s="11" t="s">
        <v>58</v>
      </c>
      <c r="B5" s="3">
        <v>50208.35</v>
      </c>
    </row>
    <row r="6" spans="1:2" x14ac:dyDescent="0.35">
      <c r="A6" s="11" t="s">
        <v>115</v>
      </c>
      <c r="B6" s="3">
        <v>50145.330000000009</v>
      </c>
    </row>
    <row r="7" spans="1:2" x14ac:dyDescent="0.35">
      <c r="A7" s="11" t="s">
        <v>92</v>
      </c>
      <c r="B7" s="3">
        <v>43713</v>
      </c>
    </row>
    <row r="8" spans="1:2" x14ac:dyDescent="0.35">
      <c r="A8" s="11" t="s">
        <v>99</v>
      </c>
      <c r="B8" s="3">
        <v>41095.01</v>
      </c>
    </row>
    <row r="9" spans="1:2" x14ac:dyDescent="0.35">
      <c r="A9" s="11" t="s">
        <v>84</v>
      </c>
      <c r="B9" s="3">
        <v>37428</v>
      </c>
    </row>
    <row r="10" spans="1:2" x14ac:dyDescent="0.35">
      <c r="A10" s="11" t="s">
        <v>168</v>
      </c>
      <c r="B10" s="3">
        <v>289770.19</v>
      </c>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154F0-C91A-4052-8CE7-6D7FC9E820B4}">
  <dimension ref="A1"/>
  <sheetViews>
    <sheetView showGridLines="0" tabSelected="1" zoomScale="70" zoomScaleNormal="70" workbookViewId="0">
      <selection activeCell="AB16" sqref="AB16"/>
    </sheetView>
  </sheetViews>
  <sheetFormatPr defaultRowHeight="14.5" x14ac:dyDescent="0.35"/>
  <cols>
    <col min="1" max="16384" width="8.7265625" style="1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showGridLines="0" topLeftCell="H1" zoomScale="90" zoomScaleNormal="90" workbookViewId="0">
      <selection activeCell="P15" sqref="O15:P15"/>
    </sheetView>
  </sheetViews>
  <sheetFormatPr defaultRowHeight="14.5" x14ac:dyDescent="0.35"/>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249977111117893"/>
  </sheetPr>
  <dimension ref="A1:Z370"/>
  <sheetViews>
    <sheetView topLeftCell="Q1" zoomScaleNormal="100" workbookViewId="0">
      <pane ySplit="1" topLeftCell="A345" activePane="bottomLeft" state="frozen"/>
      <selection pane="bottomLeft" activeCell="V368" sqref="V368"/>
    </sheetView>
  </sheetViews>
  <sheetFormatPr defaultRowHeight="14.5" x14ac:dyDescent="0.35"/>
  <cols>
    <col min="1" max="1" width="10.54296875" customWidth="1"/>
    <col min="2" max="2" width="10.7265625" bestFit="1" customWidth="1"/>
    <col min="3" max="3" width="14.1796875" bestFit="1" customWidth="1"/>
    <col min="4" max="4" width="15.453125" bestFit="1" customWidth="1"/>
    <col min="5" max="5" width="14.26953125" bestFit="1" customWidth="1"/>
    <col min="6" max="6" width="12.54296875" bestFit="1" customWidth="1"/>
    <col min="7" max="7" width="5.54296875" bestFit="1" customWidth="1"/>
    <col min="8" max="9" width="15.1796875" bestFit="1" customWidth="1"/>
    <col min="10" max="10" width="19.7265625" bestFit="1" customWidth="1"/>
    <col min="11" max="11" width="7.1796875" bestFit="1" customWidth="1"/>
    <col min="12" max="12" width="12.81640625" bestFit="1" customWidth="1"/>
    <col min="13" max="13" width="19.453125" bestFit="1" customWidth="1"/>
    <col min="14" max="14" width="21.54296875" bestFit="1" customWidth="1"/>
    <col min="15" max="15" width="14.26953125" bestFit="1" customWidth="1"/>
    <col min="16" max="16" width="12.54296875" bestFit="1" customWidth="1"/>
    <col min="17" max="17" width="9.81640625" bestFit="1" customWidth="1"/>
    <col min="18" max="19" width="19.54296875" bestFit="1" customWidth="1"/>
    <col min="20" max="20" width="13.7265625" bestFit="1" customWidth="1"/>
    <col min="21" max="21" width="21" bestFit="1" customWidth="1"/>
    <col min="22" max="22" width="25" bestFit="1" customWidth="1"/>
    <col min="23" max="23" width="9.7265625" bestFit="1" customWidth="1"/>
    <col min="24" max="24" width="8.7265625" bestFit="1" customWidth="1"/>
    <col min="25" max="25" width="19.54296875" customWidth="1"/>
    <col min="26" max="26" width="12.453125" bestFit="1"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3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3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3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3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3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3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3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3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3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3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3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3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3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3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3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3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3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3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3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35">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3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3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3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3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3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3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3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3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3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3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3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3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163</v>
      </c>
      <c r="Y34" s="4">
        <v>10</v>
      </c>
      <c r="Z34" s="3">
        <v>43</v>
      </c>
    </row>
    <row r="35" spans="1:26" x14ac:dyDescent="0.3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163</v>
      </c>
      <c r="Y35" s="4">
        <v>10</v>
      </c>
      <c r="Z35" s="3">
        <v>31</v>
      </c>
    </row>
    <row r="36" spans="1:26" x14ac:dyDescent="0.3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163</v>
      </c>
      <c r="Y36" s="4">
        <v>10</v>
      </c>
      <c r="Z36" s="3">
        <v>46</v>
      </c>
    </row>
    <row r="37" spans="1:26" x14ac:dyDescent="0.3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3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3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3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3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3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3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3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3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3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3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3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3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3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3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3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3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3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3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3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3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3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3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3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3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3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3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3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3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3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3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3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3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3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3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3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3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3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3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3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3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3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3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3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3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3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3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3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3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3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3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3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3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3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3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3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3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3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3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3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3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3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3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3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3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3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3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3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3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3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3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3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3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3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3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3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3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3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3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3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3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3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3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3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3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3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3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3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3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3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3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3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3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3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3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3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3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3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3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3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3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3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3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3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3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3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3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3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3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3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3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3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3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3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3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3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3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3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3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3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3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3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3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3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3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3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3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3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3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3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3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3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3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3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3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3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3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3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3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3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3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3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3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3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3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3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3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3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3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3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3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3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3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3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3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3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3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3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3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3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3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3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3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3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3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3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3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3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3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3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3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3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3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3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3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3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3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3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3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3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3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3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3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3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3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3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3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3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3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3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3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3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3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3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3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3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3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3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3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3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3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3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3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3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3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3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3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3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3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3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3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3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3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3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3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3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3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3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3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3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3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3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3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3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3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3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3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3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3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3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3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3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3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3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3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3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3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3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3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3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3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3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3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3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3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3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3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3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3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3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3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3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3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3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3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3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3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3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3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3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3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3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3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3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3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3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3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3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3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3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3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3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3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3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3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3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3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3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3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3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3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3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3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3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3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3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3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3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3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3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3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3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3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3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3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3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3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3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3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3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3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3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3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3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3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3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3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3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3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3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3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3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3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3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3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3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3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3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3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3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3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3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3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3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3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3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3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3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3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3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3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3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3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3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A000000}"/>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B19:C20"/>
  <sheetViews>
    <sheetView showGridLines="0" workbookViewId="0">
      <selection activeCell="M29" sqref="M29"/>
    </sheetView>
  </sheetViews>
  <sheetFormatPr defaultRowHeight="14.5" x14ac:dyDescent="0.35"/>
  <sheetData>
    <row r="19" spans="2:3" x14ac:dyDescent="0.35">
      <c r="B19" s="6" t="s">
        <v>153</v>
      </c>
      <c r="C19" t="s">
        <v>154</v>
      </c>
    </row>
    <row r="20" spans="2:3" x14ac:dyDescent="0.35">
      <c r="B20" s="6" t="s">
        <v>152</v>
      </c>
      <c r="C20" s="5" t="s">
        <v>155</v>
      </c>
    </row>
  </sheetData>
  <hyperlinks>
    <hyperlink ref="C20" r:id="rId1" xr:uid="{00000000-0004-0000-0B00-000000000000}"/>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showGridLines="0" zoomScale="90" zoomScaleNormal="90" workbookViewId="0">
      <selection activeCell="R15" sqref="R15"/>
    </sheetView>
  </sheetViews>
  <sheetFormatPr defaultRowHeight="14.5" x14ac:dyDescent="0.3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D5C46-C67F-48B5-9695-3A50A0C3D257}">
  <dimension ref="A1"/>
  <sheetViews>
    <sheetView showGridLines="0" zoomScale="90" zoomScaleNormal="90" workbookViewId="0">
      <selection activeCell="R18" sqref="R18"/>
    </sheetView>
  </sheetViews>
  <sheetFormatPr defaultRowHeight="14.5" x14ac:dyDescent="0.35"/>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21A3-6551-4DE7-9FEA-F5D547ECEE2C}">
  <dimension ref="A1"/>
  <sheetViews>
    <sheetView showGridLines="0" zoomScale="90" zoomScaleNormal="90" workbookViewId="0">
      <selection activeCell="R18" sqref="R18"/>
    </sheetView>
  </sheetViews>
  <sheetFormatPr defaultRowHeight="14.5" x14ac:dyDescent="0.3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06005-C426-4F44-8315-99993EF5E6F9}">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Task</vt:lpstr>
      <vt:lpstr>Sales Performance by Reps</vt:lpstr>
      <vt:lpstr>Top 10 Customers</vt:lpstr>
      <vt:lpstr>Sales Trend Report</vt:lpstr>
      <vt:lpstr>Sales Product by Category</vt:lpstr>
      <vt:lpstr>Performance by States</vt:lpstr>
      <vt:lpstr>Performance by States (2)</vt:lpstr>
      <vt:lpstr>Transation by Amount</vt:lpstr>
      <vt:lpstr>Top 5 cities</vt:lpstr>
      <vt:lpstr>Sheet2</vt:lpstr>
      <vt:lpstr> Top 6 Ship Cities by Revenue</vt:lpstr>
      <vt:lpstr>Dashboard</vt:lpstr>
      <vt:lpstr>In- Analysis </vt:lpstr>
      <vt:lpstr>Data (2)</vt:lpstr>
      <vt:lpstr>Pivot Table Diagram</vt:lpstr>
      <vt:lpstr>Pre Analysis Dashboard</vt:lpstr>
      <vt:lpstr>Post Analysis Observation</vt:lpstr>
      <vt:lpstr>Post Analysis  Recommendation</vt:lpstr>
      <vt:lpstr>Sheet1</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adewale adedoyin</cp:lastModifiedBy>
  <dcterms:created xsi:type="dcterms:W3CDTF">2015-01-21T18:43:03Z</dcterms:created>
  <dcterms:modified xsi:type="dcterms:W3CDTF">2025-08-18T14:26:47Z</dcterms:modified>
</cp:coreProperties>
</file>