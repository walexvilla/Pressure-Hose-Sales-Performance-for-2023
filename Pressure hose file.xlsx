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2.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Ex4.xml" ContentType="application/vnd.ms-office.chartex+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user\OneDrive\Desktop\New folder\FOREX VIDEOS\Movies\Forex Pdf Files\INDICATORS\AI\DATA CLASS\"/>
    </mc:Choice>
  </mc:AlternateContent>
  <xr:revisionPtr revIDLastSave="0" documentId="8_{68251B1C-3635-4A23-AD6E-F7FF61E9E653}" xr6:coauthVersionLast="36" xr6:coauthVersionMax="36" xr10:uidLastSave="{00000000-0000-0000-0000-000000000000}"/>
  <bookViews>
    <workbookView xWindow="-105" yWindow="-105" windowWidth="19425" windowHeight="10560" firstSheet="11" activeTab="15" xr2:uid="{00000000-000D-0000-FFFF-FFFF00000000}"/>
  </bookViews>
  <sheets>
    <sheet name="Task" sheetId="15" r:id="rId1"/>
    <sheet name="Sales Performance by Reps" sheetId="19" r:id="rId2"/>
    <sheet name="Sales Performance by Reps (2)" sheetId="40" r:id="rId3"/>
    <sheet name="Sales Performance by Reps (3)" sheetId="41" r:id="rId4"/>
    <sheet name="Top 10 Customers" sheetId="22" r:id="rId5"/>
    <sheet name="Sales Trend Report" sheetId="25" r:id="rId6"/>
    <sheet name="Sales Product by Category" sheetId="26" r:id="rId7"/>
    <sheet name="Sales Product by Category (2)" sheetId="39" r:id="rId8"/>
    <sheet name="Performance by States" sheetId="29" r:id="rId9"/>
    <sheet name="Performance by States (2)" sheetId="36" r:id="rId10"/>
    <sheet name="Transation by Amount" sheetId="28" r:id="rId11"/>
    <sheet name="Sheet4" sheetId="38" r:id="rId12"/>
    <sheet name="Top 5 cities" sheetId="27" r:id="rId13"/>
    <sheet name="Sheet2" sheetId="31" r:id="rId14"/>
    <sheet name=" Top 6 Ship Cities by Revenue" sheetId="30" r:id="rId15"/>
    <sheet name="Dashboard" sheetId="32" r:id="rId16"/>
    <sheet name="In- Analysis " sheetId="24" r:id="rId17"/>
    <sheet name="Data (2)" sheetId="17" r:id="rId18"/>
    <sheet name="Pivot Table Diagram" sheetId="4" r:id="rId19"/>
    <sheet name="Pre Analysis Dashboard" sheetId="18" r:id="rId20"/>
    <sheet name="Post Analysis Observation" sheetId="34" r:id="rId21"/>
    <sheet name="Post Analysis  Recommendation" sheetId="35" r:id="rId22"/>
    <sheet name="Sheet1" sheetId="33" r:id="rId23"/>
  </sheets>
  <definedNames>
    <definedName name="_xlnm._FilterDatabase" localSheetId="17" hidden="1">'Data (2)'!$A$1:$Z$370</definedName>
    <definedName name="_xlchart.v5.0" hidden="1">'Performance by States'!$D$3</definedName>
    <definedName name="_xlchart.v5.1" hidden="1">'Performance by States'!$D$4:$D$15</definedName>
    <definedName name="_xlchart.v5.2" hidden="1">'Performance by States'!$E$3</definedName>
    <definedName name="_xlchart.v5.3" hidden="1">'Performance by States'!$E$4:$E$15</definedName>
    <definedName name="_xlchart.v5.4" hidden="1">'Performance by States (2)'!$D$4</definedName>
    <definedName name="_xlchart.v5.5" hidden="1">'Performance by States (2)'!$D$5:$D$16</definedName>
    <definedName name="_xlchart.v5.6" hidden="1">'Performance by States (2)'!$E$5:$E$16</definedName>
    <definedName name="_xlchart.v5.7" hidden="1">'Performance by States (2)'!$D$4</definedName>
    <definedName name="_xlchart.v5.8" hidden="1">'Performance by States (2)'!$D$5:$D$16</definedName>
    <definedName name="_xlchart.v5.9" hidden="1">'Performance by States (2)'!$E$5:$E$16</definedName>
    <definedName name="Slicer_City">#N/A</definedName>
    <definedName name="Slicer_Customer_Name">#N/A</definedName>
    <definedName name="Slicer_Product_Name">#N/A</definedName>
    <definedName name="Slicer_Region">#N/A</definedName>
    <definedName name="Slicer_Salesperson">#N/A</definedName>
  </definedNames>
  <calcPr calcId="191029"/>
  <pivotCaches>
    <pivotCache cacheId="0" r:id="rId24"/>
  </pivotCaches>
  <extLs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<sst xmlns="http://schemas.openxmlformats.org/spreadsheetml/2006/main" count="6492" uniqueCount="193">
  <si>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</si>
  <si>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</si>
  <si>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</si>
  <si>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</si>
  <si>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</si>
  <si>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</si>
  <si>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</si>
  <si>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</si>
  <si>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</si>
  <si>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</si>
  <si>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</si>
  <si>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</si>
  <si>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</si>
  <si>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</si>
  <si>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</si>
  <si>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</si>
  <si>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</si>
  <si>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</si>
  <si>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</si>
  <si>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</si>
  <si>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</si>
  <si>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</si>
  <si>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</si>
  <si>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</si>
  <si>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</si>
  <si>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</si>
  <si>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</si>
  <si>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</si>
  <si>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</si>
  <si>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</si>
  <si>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</si>
  <si>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</si>
  <si>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</si>
  <si>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</si>
  <si>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</si>
  <si>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</si>
  <si>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</si>
  <si>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</si>
  <si>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</si>
  <si>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</si>
  <si>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</si>
  <si>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</si>
  <si>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</si>
  <si>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</si>
  <si>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</si>
  <si>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</si>
  <si>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</si>
  <si>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</si>
  <si>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</si>
  <si>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</si>
  <si>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</si>
  <si>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</si>
  <si>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</si>
  <si>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</si>
  <si>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</si>
  <si>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</si>
  <si>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</si>
  <si>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</si>
  <si>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</si>
  <si>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</si>
  <si>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</si>
  <si>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</si>
  <si>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</si>
  <si>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</si>
  <si>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</si>
  <si>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</si>
  <si>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</si>
  <si>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</si>
  <si>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</si>
  <si>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</si>
  <si>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</si>
  <si>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</si>
  <si>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</si>
  <si>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</si>
  <si>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</si>
  <si>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</si>
  <si>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</si>
  <si>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</si>
  <si>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</si>
  <si>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</si>
  <si>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</si>
  <si>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</si>
  <si>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</si>
  <si>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</si>
  <si>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</si>
  <si>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</si>
  <si>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</si>
  <si>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</si>
  <si>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</si>
  <si>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</si>
  <si>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</si>
  <si>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</si>
  <si>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</si>
  <si>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</si>
  <si>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</si>
  <si>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</si>
  <si>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</si>
  <si>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</si>
  <si>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</si>
  <si>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</si>
  <si>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</si>
  <si>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</si>
  <si>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</si>
  <si>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</si>
  <si>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</si>
  <si>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</si>
  <si>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</si>
  <si>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</si>
  <si>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</si>
  <si>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</si>
  <si>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</si>
  <si>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</si>
  <si>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</si>
  <si>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</si>
  <si>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</si>
  <si>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</si>
  <si>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</si>
  <si>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</si>
  <si>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</si>
  <si>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</si>
  <si>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</si>
  <si>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</si>
  <si>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</si>
  <si>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</si>
  <si>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</si>
  <si>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</si>
  <si>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</si>
  <si>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</si>
  <si>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</si>
  <si>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</si>
  <si>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</si>
  <si>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</si>
  <si>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</si>
  <si>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</si>
  <si>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</si>
  <si>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</si>
  <si>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</si>
  <si>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</si>
  <si>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</si>
  <si>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</si>
  <si>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</si>
  <si>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</si>
  <si>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</si>
  <si>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</si>
  <si>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</si>
  <si>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</si>
  <si>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</si>
  <si>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</si>
  <si>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</si>
  <si>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</si>
  <si>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</si>
  <si>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</si>
  <si>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</si>
  <si>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</si>
  <si>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</si>
  <si>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</si>
  <si>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</si>
  <si>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</si>
  <si>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</si>
  <si>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</si>
  <si>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</si>
  <si>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</si>
  <si>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</si>
  <si>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</si>
  <si>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</si>
  <si>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</si>
  <si>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</si>
  <si>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</si>
  <si>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</si>
  <si>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</si>
  <si>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</si>
  <si>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</si>
  <si>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</si>
  <si>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</si>
  <si>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</si>
  <si>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</si>
  <si>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</si>
  <si>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</si>
  <si>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</si>
  <si>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</si>
  <si>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</si>
  <si>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</si>
  <si>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10-1010</t>
  </si>
  <si>
    <t>1010-2010</t>
  </si>
  <si>
    <t>2010-3010</t>
  </si>
  <si>
    <t>3010-4010</t>
  </si>
  <si>
    <t>4010-5010</t>
  </si>
  <si>
    <t>6010-7010</t>
  </si>
  <si>
    <t>7010-8010</t>
  </si>
  <si>
    <t>Count of Revenue</t>
  </si>
  <si>
    <t>STATE</t>
  </si>
  <si>
    <t>REVENUE</t>
  </si>
  <si>
    <t>Nancy. Freehafer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</si>
</sst>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
      <sz val="11"/>
      <color theme="8" tint="-0.499984740745262"/>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applyAlignment="1">
      <alignment horizontal="left"/>
    </xf>
    <xf numFmtId="1" fontId="0" fillId="0" borderId="0" xfId="0" applyNumberFormat="1"/>
    <xf numFmtId="0" fontId="6" fillId="5" borderId="0" xfId="0" applyFont="1" applyFill="1"/>
    <xf numFmtId="14" fontId="0" fillId="0" borderId="0" xfId="0" applyNumberFormat="1"/>
    <xf numFmtId="0" fontId="7" fillId="5" borderId="0" xfId="0" applyFont="1" applyFill="1"/>
    <xf numFmtId="10" fontId="0" fillId="0" borderId="0" xfId="0" applyNumberFormat="1"/>
  </cellXfs>
  <cellStyles count="3">
    <cellStyle name="Currency" xfId="1" builtinId="4"/>
    <cellStyle name="Hyperlink" xfId="2" builtinId="8"/>
    <cellStyle name="Normal" xfId="0" builtinId="0"/>
  </cellStyles>
  <dxfs count="17">
    <dxf>
      <numFmt numFmtId="165" formatCode="&quot;$&quot;#,##0.00"/>
    </dxf>
    <dxf>
      <numFmt numFmtId="19" formatCode="m/d/yyyy"/>
    </dxf>
    <dxf>
      <numFmt numFmtId="19" formatCode="m/d/yyyy"/>
    </dxf>
    <dxf>
      <numFmt numFmtId="165" formatCode="&quot;$&quot;#,##0.00"/>
    </dxf>
    <dxf>
      <numFmt numFmtId="1" formatCode="0"/>
    </dxf>
    <dxf>
      <numFmt numFmtId="165" formatCode="&quot;$&quot;#,##0.00"/>
    </dxf>
    <dxf>
      <numFmt numFmtId="165" formatCode="&quot;$&quot;#,##0.00"/>
    </dxf>
    <dxf>
      <numFmt numFmtId="14"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ont>
        <strike val="0"/>
        <u val="none"/>
        <color theme="1"/>
      </font>
      <border>
        <bottom style="thin">
          <color theme="8"/>
        </bottom>
        <vertical/>
        <horizontal/>
      </border>
    </dxf>
    <dxf>
      <font>
        <color theme="1"/>
      </font>
      <fill>
        <patternFill>
          <bgColor theme="8" tint="-0.499984740745262"/>
        </patternFill>
      </fill>
      <border diagonalUp="0" diagonalDown="0">
        <left/>
        <right/>
        <top/>
        <bottom/>
        <vertical/>
        <horizontal/>
      </border>
    </dxf>
  </dxfs>
  <tableStyles count="1" defaultTableStyle="TableStyleMedium2" defaultPivotStyle="PivotStyleLight16">
    <tableStyle name="Burger" pivot="0" table="0" count="10" xr9:uid="{C9B987A4-DE9E-4B0A-BE84-66D383224796}">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urg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Performance by Reps!PivotTable1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Sales Performance Analysis by Reps</a:t>
            </a:r>
          </a:p>
          <a:p>
            <a:pPr algn="ctr">
              <a:defRPr/>
            </a:pPr>
            <a:endParaRPr lang="en-US" sz="1400">
              <a:latin typeface="Agency FB" panose="020B0503020202020204" pitchFamily="34" charset="0"/>
            </a:endParaRPr>
          </a:p>
        </c:rich>
      </c:tx>
      <c:layout>
        <c:manualLayout>
          <c:xMode val="edge"/>
          <c:yMode val="edge"/>
          <c:x val="0.27629855643044621"/>
          <c:y val="7.4074074074074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manualLayout>
          <c:layoutTarget val="inner"/>
          <c:xMode val="edge"/>
          <c:yMode val="edge"/>
          <c:x val="0.20716513560804897"/>
          <c:y val="0.24148148148148149"/>
          <c:w val="0.75116819772528431"/>
          <c:h val="0.70296296296296301"/>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1AC-40A2-896F-EC6651B08AA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1AC-40A2-896F-EC6651B08AA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1AC-40A2-896F-EC6651B08AAC}"/>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1AC-40A2-896F-EC6651B08AAC}"/>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81AC-40A2-896F-EC6651B08AAC}"/>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81AC-40A2-896F-EC6651B08AAC}"/>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81AC-40A2-896F-EC6651B08AAC}"/>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81AC-40A2-896F-EC6651B08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Performance by Reps'!$B$4:$B$12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0-81AC-40A2-896F-EC6651B08AAC}"/>
            </c:ext>
          </c:extLst>
        </c:ser>
        <c:dLbls>
          <c:dLblPos val="outEnd"/>
          <c:showLegendKey val="0"/>
          <c:showVal val="1"/>
          <c:showCatName val="0"/>
          <c:showSerName val="0"/>
          <c:showPercent val="0"/>
          <c:showBubbleSize val="0"/>
        </c:dLbls>
        <c:gapWidth val="22"/>
        <c:axId val="1299461824"/>
        <c:axId val="1299458560"/>
      </c:barChart>
      <c:catAx>
        <c:axId val="1299461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8560"/>
        <c:crosses val="autoZero"/>
        <c:auto val="1"/>
        <c:lblAlgn val="ctr"/>
        <c:lblOffset val="100"/>
        <c:noMultiLvlLbl val="0"/>
      </c:catAx>
      <c:valAx>
        <c:axId val="1299458560"/>
        <c:scaling>
          <c:orientation val="minMax"/>
        </c:scaling>
        <c:delete val="1"/>
        <c:axPos val="t"/>
        <c:numFmt formatCode="&quot;$&quot;#,##0.00" sourceLinked="1"/>
        <c:majorTickMark val="none"/>
        <c:minorTickMark val="none"/>
        <c:tickLblPos val="nextTo"/>
        <c:crossAx val="129946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Performance by Reps (2)!PivotTable1</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Sales Performance Analysis by Reps</a:t>
            </a:r>
          </a:p>
          <a:p>
            <a:pPr algn="ctr">
              <a:defRPr/>
            </a:pPr>
            <a:endParaRPr lang="en-US" sz="1400">
              <a:latin typeface="Agency FB" panose="020B0503020202020204" pitchFamily="34" charset="0"/>
            </a:endParaRPr>
          </a:p>
        </c:rich>
      </c:tx>
      <c:layout>
        <c:manualLayout>
          <c:xMode val="edge"/>
          <c:yMode val="edge"/>
          <c:x val="0.27629855643044621"/>
          <c:y val="7.4074074074074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manualLayout>
          <c:layoutTarget val="inner"/>
          <c:xMode val="edge"/>
          <c:yMode val="edge"/>
          <c:x val="0.20716513560804897"/>
          <c:y val="0.24148148148148149"/>
          <c:w val="0.75116819772528431"/>
          <c:h val="0.70296296296296301"/>
        </c:manualLayout>
      </c:layout>
      <c:doughnutChart>
        <c:varyColors val="1"/>
        <c:ser>
          <c:idx val="0"/>
          <c:order val="0"/>
          <c:tx>
            <c:strRef>
              <c:f>'Sales Performance by Reps (2)'!$B$3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B0BE-423F-AF69-3B56A230E123}"/>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B0BE-423F-AF69-3B56A230E123}"/>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B0BE-423F-AF69-3B56A230E123}"/>
              </c:ext>
            </c:extLst>
          </c:dPt>
          <c:dPt>
            <c:idx val="3"/>
            <c:bubble3D val="0"/>
            <c:spPr>
              <a:solidFill>
                <a:schemeClr val="accent4"/>
              </a:solidFill>
              <a:ln>
                <a:noFill/>
              </a:ln>
              <a:effectLst/>
            </c:spPr>
            <c:extLst>
              <c:ext xmlns:c16="http://schemas.microsoft.com/office/drawing/2014/chart" uri="{C3380CC4-5D6E-409C-BE32-E72D297353CC}">
                <c16:uniqueId val="{00000007-B0BE-423F-AF69-3B56A230E123}"/>
              </c:ext>
            </c:extLst>
          </c:dPt>
          <c:dPt>
            <c:idx val="4"/>
            <c:bubble3D val="0"/>
            <c:spPr>
              <a:solidFill>
                <a:schemeClr val="accent5"/>
              </a:solidFill>
              <a:ln>
                <a:noFill/>
              </a:ln>
              <a:effectLst/>
            </c:spPr>
            <c:extLst>
              <c:ext xmlns:c16="http://schemas.microsoft.com/office/drawing/2014/chart" uri="{C3380CC4-5D6E-409C-BE32-E72D297353CC}">
                <c16:uniqueId val="{00000009-B0BE-423F-AF69-3B56A230E123}"/>
              </c:ext>
            </c:extLst>
          </c:dPt>
          <c:dPt>
            <c:idx val="5"/>
            <c:bubble3D val="0"/>
            <c:spPr>
              <a:solidFill>
                <a:schemeClr val="accent6"/>
              </a:solidFill>
              <a:ln>
                <a:noFill/>
              </a:ln>
              <a:effectLst/>
            </c:spPr>
            <c:extLst>
              <c:ext xmlns:c16="http://schemas.microsoft.com/office/drawing/2014/chart" uri="{C3380CC4-5D6E-409C-BE32-E72D297353CC}">
                <c16:uniqueId val="{0000000B-B0BE-423F-AF69-3B56A230E12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0BE-423F-AF69-3B56A230E12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0BE-423F-AF69-3B56A230E1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Reps (2)'!$A$4:$A$7</c:f>
              <c:strCache>
                <c:ptCount val="3"/>
                <c:pt idx="0">
                  <c:v>Nancy Freehafer</c:v>
                </c:pt>
                <c:pt idx="1">
                  <c:v>Anne Larsen</c:v>
                </c:pt>
                <c:pt idx="2">
                  <c:v>Andrew Cencini</c:v>
                </c:pt>
              </c:strCache>
            </c:strRef>
          </c:cat>
          <c:val>
            <c:numRef>
              <c:f>'Sales Performance by Reps (2)'!$B$4:$B$7</c:f>
              <c:numCache>
                <c:formatCode>"$"#,##0.00</c:formatCode>
                <c:ptCount val="3"/>
                <c:pt idx="0">
                  <c:v>104252.33999999997</c:v>
                </c:pt>
                <c:pt idx="1">
                  <c:v>93858.329999999987</c:v>
                </c:pt>
                <c:pt idx="2">
                  <c:v>67180.5</c:v>
                </c:pt>
              </c:numCache>
            </c:numRef>
          </c:val>
          <c:extLst>
            <c:ext xmlns:c16="http://schemas.microsoft.com/office/drawing/2014/chart" uri="{C3380CC4-5D6E-409C-BE32-E72D297353CC}">
              <c16:uniqueId val="{00000010-B0BE-423F-AF69-3B56A230E12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Performance by Reps (3)!PivotTable1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ln w="28575" cap="rnd">
            <a:solidFill>
              <a:schemeClr val="accent1"/>
            </a:solidFill>
            <a:round/>
          </a:ln>
          <a:effectLst/>
        </c:spPr>
        <c:marker>
          <c:symbol val="none"/>
        </c:marker>
        <c:dLbl>
          <c:idx val="0"/>
          <c:layout>
            <c:manualLayout>
              <c:x val="-6.11110977447293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7.499998359580410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6.944442925537418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6.6666652085159206E-2"/>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16513560804897"/>
          <c:y val="0.24148148148148149"/>
          <c:w val="0.75116819772528431"/>
          <c:h val="0.70296296296296301"/>
        </c:manualLayout>
      </c:layout>
      <c:radarChart>
        <c:radarStyle val="marker"/>
        <c:varyColors val="0"/>
        <c:ser>
          <c:idx val="0"/>
          <c:order val="0"/>
          <c:tx>
            <c:strRef>
              <c:f>'Sales Performance by Reps (3)'!$B$3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E6F3-4347-8D3A-6D2230907212}"/>
              </c:ext>
            </c:extLst>
          </c:dPt>
          <c:dPt>
            <c:idx val="1"/>
            <c:marker>
              <c:symbol val="none"/>
            </c:marker>
            <c:bubble3D val="0"/>
            <c:extLst>
              <c:ext xmlns:c16="http://schemas.microsoft.com/office/drawing/2014/chart" uri="{C3380CC4-5D6E-409C-BE32-E72D297353CC}">
                <c16:uniqueId val="{00000003-E6F3-4347-8D3A-6D2230907212}"/>
              </c:ext>
            </c:extLst>
          </c:dPt>
          <c:dPt>
            <c:idx val="2"/>
            <c:marker>
              <c:symbol val="none"/>
            </c:marker>
            <c:bubble3D val="0"/>
            <c:extLst>
              <c:ext xmlns:c16="http://schemas.microsoft.com/office/drawing/2014/chart" uri="{C3380CC4-5D6E-409C-BE32-E72D297353CC}">
                <c16:uniqueId val="{00000005-E6F3-4347-8D3A-6D2230907212}"/>
              </c:ext>
            </c:extLst>
          </c:dPt>
          <c:dPt>
            <c:idx val="3"/>
            <c:marker>
              <c:symbol val="none"/>
            </c:marker>
            <c:bubble3D val="0"/>
            <c:extLst>
              <c:ext xmlns:c16="http://schemas.microsoft.com/office/drawing/2014/chart" uri="{C3380CC4-5D6E-409C-BE32-E72D297353CC}">
                <c16:uniqueId val="{00000007-E6F3-4347-8D3A-6D2230907212}"/>
              </c:ext>
            </c:extLst>
          </c:dPt>
          <c:dLbls>
            <c:dLbl>
              <c:idx val="0"/>
              <c:layout>
                <c:manualLayout>
                  <c:x val="7.499998359580410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F3-4347-8D3A-6D2230907212}"/>
                </c:ext>
              </c:extLst>
            </c:dLbl>
            <c:dLbl>
              <c:idx val="1"/>
              <c:layout>
                <c:manualLayout>
                  <c:x val="6.944442925537418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F3-4347-8D3A-6D2230907212}"/>
                </c:ext>
              </c:extLst>
            </c:dLbl>
            <c:dLbl>
              <c:idx val="2"/>
              <c:layout>
                <c:manualLayout>
                  <c:x val="6.6666652085159206E-2"/>
                  <c:y val="4.1666666666666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F3-4347-8D3A-6D2230907212}"/>
                </c:ext>
              </c:extLst>
            </c:dLbl>
            <c:dLbl>
              <c:idx val="3"/>
              <c:layout>
                <c:manualLayout>
                  <c:x val="-6.111109774472933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F3-4347-8D3A-6D22309072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 (3)'!$A$4:$A$8</c:f>
              <c:strCache>
                <c:ptCount val="4"/>
                <c:pt idx="0">
                  <c:v>North</c:v>
                </c:pt>
                <c:pt idx="1">
                  <c:v>East</c:v>
                </c:pt>
                <c:pt idx="2">
                  <c:v>South</c:v>
                </c:pt>
                <c:pt idx="3">
                  <c:v>West</c:v>
                </c:pt>
              </c:strCache>
            </c:strRef>
          </c:cat>
          <c:val>
            <c:numRef>
              <c:f>'Sales Performance by Reps (3)'!$B$4:$B$8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E6F3-4347-8D3A-6D2230907212}"/>
            </c:ext>
          </c:extLst>
        </c:ser>
        <c:dLbls>
          <c:showLegendKey val="0"/>
          <c:showVal val="0"/>
          <c:showCatName val="0"/>
          <c:showSerName val="0"/>
          <c:showPercent val="0"/>
          <c:showBubbleSize val="0"/>
        </c:dLbls>
        <c:axId val="997067631"/>
        <c:axId val="997068111"/>
      </c:radarChart>
      <c:catAx>
        <c:axId val="99706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68111"/>
        <c:crosses val="autoZero"/>
        <c:auto val="1"/>
        <c:lblAlgn val="ctr"/>
        <c:lblOffset val="100"/>
        <c:noMultiLvlLbl val="0"/>
      </c:catAx>
      <c:valAx>
        <c:axId val="99706811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9970676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file.xlsx]Top 10 Customers!PivotTable1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10 Customers</a:t>
            </a:r>
          </a:p>
          <a:p>
            <a:pPr algn="ctr">
              <a:defRPr/>
            </a:pPr>
            <a:endParaRPr lang="en-US" sz="1400">
              <a:latin typeface="Agency FB" panose="020B0503020202020204" pitchFamily="34" charset="0"/>
            </a:endParaRPr>
          </a:p>
        </c:rich>
      </c:tx>
      <c:layout>
        <c:manualLayout>
          <c:xMode val="edge"/>
          <c:yMode val="edge"/>
          <c:x val="0.50993747924939969"/>
          <c:y val="2.454192266064110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dLbl>
          <c:idx val="0"/>
          <c:layout>
            <c:manualLayout>
              <c:x val="0.1019762782374479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7.588932333949623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101976278237448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s>
    <c:plotArea>
      <c:layout>
        <c:manualLayout>
          <c:layoutTarget val="inner"/>
          <c:xMode val="edge"/>
          <c:yMode val="edge"/>
          <c:x val="0.28036613267845395"/>
          <c:y val="0.22759263439235014"/>
          <c:w val="0.62032176877933898"/>
          <c:h val="0.67071192313122086"/>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E5A-445D-B8B1-28AA2D59308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E5A-445D-B8B1-28AA2D59308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2E5A-445D-B8B1-28AA2D593083}"/>
              </c:ext>
            </c:extLst>
          </c:dPt>
          <c:dPt>
            <c:idx val="3"/>
            <c:invertIfNegative val="0"/>
            <c:bubble3D val="0"/>
            <c:extLst>
              <c:ext xmlns:c16="http://schemas.microsoft.com/office/drawing/2014/chart" uri="{C3380CC4-5D6E-409C-BE32-E72D297353CC}">
                <c16:uniqueId val="{00000007-2E5A-445D-B8B1-28AA2D593083}"/>
              </c:ext>
            </c:extLst>
          </c:dPt>
          <c:dPt>
            <c:idx val="4"/>
            <c:invertIfNegative val="0"/>
            <c:bubble3D val="0"/>
            <c:extLst>
              <c:ext xmlns:c16="http://schemas.microsoft.com/office/drawing/2014/chart" uri="{C3380CC4-5D6E-409C-BE32-E72D297353CC}">
                <c16:uniqueId val="{00000009-2E5A-445D-B8B1-28AA2D593083}"/>
              </c:ext>
            </c:extLst>
          </c:dPt>
          <c:dPt>
            <c:idx val="5"/>
            <c:invertIfNegative val="0"/>
            <c:bubble3D val="0"/>
            <c:extLst>
              <c:ext xmlns:c16="http://schemas.microsoft.com/office/drawing/2014/chart" uri="{C3380CC4-5D6E-409C-BE32-E72D297353CC}">
                <c16:uniqueId val="{0000000B-2E5A-445D-B8B1-28AA2D593083}"/>
              </c:ext>
            </c:extLst>
          </c:dPt>
          <c:dPt>
            <c:idx val="6"/>
            <c:invertIfNegative val="0"/>
            <c:bubble3D val="0"/>
            <c:extLst>
              <c:ext xmlns:c16="http://schemas.microsoft.com/office/drawing/2014/chart" uri="{C3380CC4-5D6E-409C-BE32-E72D297353CC}">
                <c16:uniqueId val="{0000000D-2E5A-445D-B8B1-28AA2D593083}"/>
              </c:ext>
            </c:extLst>
          </c:dPt>
          <c:dPt>
            <c:idx val="7"/>
            <c:invertIfNegative val="0"/>
            <c:bubble3D val="0"/>
            <c:extLst>
              <c:ext xmlns:c16="http://schemas.microsoft.com/office/drawing/2014/chart" uri="{C3380CC4-5D6E-409C-BE32-E72D297353CC}">
                <c16:uniqueId val="{0000000F-2E5A-445D-B8B1-28AA2D593083}"/>
              </c:ext>
            </c:extLst>
          </c:dPt>
          <c:dPt>
            <c:idx val="8"/>
            <c:invertIfNegative val="0"/>
            <c:bubble3D val="0"/>
            <c:extLst>
              <c:ext xmlns:c16="http://schemas.microsoft.com/office/drawing/2014/chart" uri="{C3380CC4-5D6E-409C-BE32-E72D297353CC}">
                <c16:uniqueId val="{00000011-2E5A-445D-B8B1-28AA2D593083}"/>
              </c:ext>
            </c:extLst>
          </c:dPt>
          <c:dPt>
            <c:idx val="9"/>
            <c:invertIfNegative val="0"/>
            <c:bubble3D val="0"/>
            <c:extLst>
              <c:ext xmlns:c16="http://schemas.microsoft.com/office/drawing/2014/chart" uri="{C3380CC4-5D6E-409C-BE32-E72D297353CC}">
                <c16:uniqueId val="{00000012-2E5A-445D-B8B1-28AA2D593083}"/>
              </c:ext>
            </c:extLst>
          </c:dPt>
          <c:dLbls>
            <c:dLbl>
              <c:idx val="0"/>
              <c:layout>
                <c:manualLayout>
                  <c:x val="0.10197627823744797"/>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5A-445D-B8B1-28AA2D593083}"/>
                </c:ext>
              </c:extLst>
            </c:dLbl>
            <c:dLbl>
              <c:idx val="1"/>
              <c:layout>
                <c:manualLayout>
                  <c:x val="-7.5889323339496231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5A-445D-B8B1-28AA2D593083}"/>
                </c:ext>
              </c:extLst>
            </c:dLbl>
            <c:dLbl>
              <c:idx val="2"/>
              <c:layout>
                <c:manualLayout>
                  <c:x val="-0.1019762782374481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5A-445D-B8B1-28AA2D5930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0-2E5A-445D-B8B1-28AA2D593083}"/>
            </c:ext>
          </c:extLst>
        </c:ser>
        <c:dLbls>
          <c:showLegendKey val="0"/>
          <c:showVal val="0"/>
          <c:showCatName val="0"/>
          <c:showSerName val="0"/>
          <c:showPercent val="0"/>
          <c:showBubbleSize val="0"/>
        </c:dLbls>
        <c:gapWidth val="40"/>
        <c:axId val="591187024"/>
        <c:axId val="706697520"/>
      </c:barChart>
      <c:valAx>
        <c:axId val="706697520"/>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91187024"/>
        <c:crosses val="autoZero"/>
        <c:crossBetween val="between"/>
      </c:valAx>
      <c:catAx>
        <c:axId val="59118702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97520"/>
        <c:crosses val="autoZero"/>
        <c:auto val="1"/>
        <c:lblAlgn val="ctr"/>
        <c:lblOffset val="100"/>
        <c:noMultiLvlLbl val="0"/>
      </c:cat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Trend Report!PivotTable1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Sales Trend</a:t>
            </a:r>
            <a:r>
              <a:rPr lang="en-US" sz="1400" baseline="0">
                <a:latin typeface="Agency FB" panose="020B0503020202020204" pitchFamily="34" charset="0"/>
              </a:rPr>
              <a:t> Report</a:t>
            </a:r>
            <a:endParaRPr lang="en-US" sz="1400">
              <a:latin typeface="Agency FB" panose="020B0503020202020204" pitchFamily="34" charset="0"/>
            </a:endParaRPr>
          </a:p>
        </c:rich>
      </c:tx>
      <c:layout>
        <c:manualLayout>
          <c:xMode val="edge"/>
          <c:yMode val="edge"/>
          <c:x val="0.39185341552189967"/>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11493179557839E-2"/>
          <c:y val="0.18592592592592591"/>
          <c:w val="0.78234526373356783"/>
          <c:h val="0.69370370370370382"/>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2E0-4FDB-9CAC-02D84417C314}"/>
            </c:ext>
          </c:extLst>
        </c:ser>
        <c:dLbls>
          <c:showLegendKey val="0"/>
          <c:showVal val="0"/>
          <c:showCatName val="0"/>
          <c:showSerName val="0"/>
          <c:showPercent val="0"/>
          <c:showBubbleSize val="0"/>
        </c:dLbls>
        <c:smooth val="0"/>
        <c:axId val="1297045328"/>
        <c:axId val="1297042064"/>
      </c:lineChart>
      <c:catAx>
        <c:axId val="129704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42064"/>
        <c:crosses val="autoZero"/>
        <c:auto val="1"/>
        <c:lblAlgn val="ctr"/>
        <c:lblOffset val="100"/>
        <c:noMultiLvlLbl val="0"/>
      </c:catAx>
      <c:valAx>
        <c:axId val="12970420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704532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Product by Category!PivotTable1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Product</a:t>
            </a:r>
            <a:r>
              <a:rPr lang="en-US" sz="1400" baseline="0">
                <a:latin typeface="Agency FB" panose="020B0503020202020204" pitchFamily="34" charset="0"/>
              </a:rPr>
              <a:t> Category Performance Per Time</a:t>
            </a:r>
            <a:endParaRPr lang="en-US" sz="1400">
              <a:latin typeface="Agency FB" panose="020B0503020202020204" pitchFamily="34" charset="0"/>
            </a:endParaRPr>
          </a:p>
        </c:rich>
      </c:tx>
      <c:layout>
        <c:manualLayout>
          <c:xMode val="edge"/>
          <c:yMode val="edge"/>
          <c:x val="0.39185341552189967"/>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manualLayout>
          <c:layoutTarget val="inner"/>
          <c:xMode val="edge"/>
          <c:yMode val="edge"/>
          <c:x val="9.9711493179557839E-2"/>
          <c:y val="0.18592592592592591"/>
          <c:w val="0.78234526373356783"/>
          <c:h val="0.69370370370370382"/>
        </c:manualLayout>
      </c:layout>
      <c:barChart>
        <c:barDir val="bar"/>
        <c:grouping val="clustered"/>
        <c:varyColors val="0"/>
        <c:ser>
          <c:idx val="0"/>
          <c:order val="0"/>
          <c:tx>
            <c:strRef>
              <c:f>'Sales Product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1CAA-466D-8C57-2B4972AD243C}"/>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1CAA-466D-8C57-2B4972AD243C}"/>
              </c:ext>
            </c:extLst>
          </c:dPt>
          <c:dPt>
            <c:idx val="2"/>
            <c:invertIfNegative val="0"/>
            <c:bubble3D val="0"/>
            <c:extLst>
              <c:ext xmlns:c16="http://schemas.microsoft.com/office/drawing/2014/chart" uri="{C3380CC4-5D6E-409C-BE32-E72D297353CC}">
                <c16:uniqueId val="{00000005-1CAA-466D-8C57-2B4972AD243C}"/>
              </c:ext>
            </c:extLst>
          </c:dPt>
          <c:dPt>
            <c:idx val="3"/>
            <c:invertIfNegative val="0"/>
            <c:bubble3D val="0"/>
            <c:extLst>
              <c:ext xmlns:c16="http://schemas.microsoft.com/office/drawing/2014/chart" uri="{C3380CC4-5D6E-409C-BE32-E72D297353CC}">
                <c16:uniqueId val="{00000007-1CAA-466D-8C57-2B4972AD243C}"/>
              </c:ext>
            </c:extLst>
          </c:dPt>
          <c:dPt>
            <c:idx val="4"/>
            <c:invertIfNegative val="0"/>
            <c:bubble3D val="0"/>
            <c:extLst>
              <c:ext xmlns:c16="http://schemas.microsoft.com/office/drawing/2014/chart" uri="{C3380CC4-5D6E-409C-BE32-E72D297353CC}">
                <c16:uniqueId val="{00000009-1CAA-466D-8C57-2B4972AD243C}"/>
              </c:ext>
            </c:extLst>
          </c:dPt>
          <c:dPt>
            <c:idx val="5"/>
            <c:invertIfNegative val="0"/>
            <c:bubble3D val="0"/>
            <c:extLst>
              <c:ext xmlns:c16="http://schemas.microsoft.com/office/drawing/2014/chart" uri="{C3380CC4-5D6E-409C-BE32-E72D297353CC}">
                <c16:uniqueId val="{0000000B-1CAA-466D-8C57-2B4972AD24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Product by Category'!$A$4:$A$10</c:f>
              <c:strCache>
                <c:ptCount val="6"/>
                <c:pt idx="0">
                  <c:v>Beverages</c:v>
                </c:pt>
                <c:pt idx="1">
                  <c:v>Sauces</c:v>
                </c:pt>
                <c:pt idx="2">
                  <c:v>Jams, Preserves</c:v>
                </c:pt>
                <c:pt idx="3">
                  <c:v>Dairy Products</c:v>
                </c:pt>
                <c:pt idx="4">
                  <c:v>Dried Fruit &amp; Nuts</c:v>
                </c:pt>
                <c:pt idx="5">
                  <c:v>Canned Meat</c:v>
                </c:pt>
              </c:strCache>
            </c:strRef>
          </c:cat>
          <c:val>
            <c:numRef>
              <c:f>'Sales Product by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C-1CAA-466D-8C57-2B4972AD243C}"/>
            </c:ext>
          </c:extLst>
        </c:ser>
        <c:dLbls>
          <c:showLegendKey val="0"/>
          <c:showVal val="0"/>
          <c:showCatName val="0"/>
          <c:showSerName val="0"/>
          <c:showPercent val="0"/>
          <c:showBubbleSize val="0"/>
        </c:dLbls>
        <c:gapWidth val="30"/>
        <c:axId val="1299454752"/>
        <c:axId val="1299457472"/>
      </c:barChart>
      <c:catAx>
        <c:axId val="1299454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7472"/>
        <c:crosses val="autoZero"/>
        <c:auto val="1"/>
        <c:lblAlgn val="ctr"/>
        <c:lblOffset val="100"/>
        <c:noMultiLvlLbl val="0"/>
      </c:catAx>
      <c:valAx>
        <c:axId val="129945747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475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Product by Category (2)!PivotTable1</c:name>
    <c:fmtId val="2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Product</a:t>
            </a:r>
            <a:r>
              <a:rPr lang="en-US" sz="1400" baseline="0">
                <a:latin typeface="Agency FB" panose="020B0503020202020204" pitchFamily="34" charset="0"/>
              </a:rPr>
              <a:t> Category Performance Per Time</a:t>
            </a:r>
            <a:endParaRPr lang="en-US" sz="1400">
              <a:latin typeface="Agency FB" panose="020B0503020202020204" pitchFamily="34" charset="0"/>
            </a:endParaRPr>
          </a:p>
        </c:rich>
      </c:tx>
      <c:layout>
        <c:manualLayout>
          <c:xMode val="edge"/>
          <c:yMode val="edge"/>
          <c:x val="0.39185341552189967"/>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75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1"/>
          </a:solidFill>
          <a:ln>
            <a:noFill/>
          </a:ln>
          <a:effectLst/>
        </c:spPr>
      </c:pivotFmt>
    </c:pivotFmts>
    <c:plotArea>
      <c:layout>
        <c:manualLayout>
          <c:layoutTarget val="inner"/>
          <c:xMode val="edge"/>
          <c:yMode val="edge"/>
          <c:x val="9.9711493179557839E-2"/>
          <c:y val="0.18592592592592591"/>
          <c:w val="0.78234526373356783"/>
          <c:h val="0.69370370370370382"/>
        </c:manualLayout>
      </c:layout>
      <c:pieChart>
        <c:varyColors val="1"/>
        <c:ser>
          <c:idx val="0"/>
          <c:order val="0"/>
          <c:tx>
            <c:strRef>
              <c:f>'Sales Product by Category (2)'!$B$3</c:f>
              <c:strCache>
                <c:ptCount val="1"/>
                <c:pt idx="0">
                  <c:v>Total</c:v>
                </c:pt>
              </c:strCache>
            </c:strRef>
          </c:tx>
          <c:dPt>
            <c:idx val="0"/>
            <c:bubble3D val="0"/>
            <c:spPr>
              <a:solidFill>
                <a:schemeClr val="accent5">
                  <a:lumMod val="75000"/>
                </a:schemeClr>
              </a:solidFill>
              <a:ln>
                <a:noFill/>
              </a:ln>
              <a:effectLst/>
            </c:spPr>
            <c:extLst>
              <c:ext xmlns:c16="http://schemas.microsoft.com/office/drawing/2014/chart" uri="{C3380CC4-5D6E-409C-BE32-E72D297353CC}">
                <c16:uniqueId val="{00000001-5864-4E58-B3A2-9B705A02ED9D}"/>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3-5864-4E58-B3A2-9B705A02ED9D}"/>
              </c:ext>
            </c:extLst>
          </c:dPt>
          <c:dPt>
            <c:idx val="2"/>
            <c:bubble3D val="0"/>
            <c:spPr>
              <a:solidFill>
                <a:schemeClr val="accent3"/>
              </a:solidFill>
              <a:ln>
                <a:noFill/>
              </a:ln>
              <a:effectLst/>
            </c:spPr>
            <c:extLst>
              <c:ext xmlns:c16="http://schemas.microsoft.com/office/drawing/2014/chart" uri="{C3380CC4-5D6E-409C-BE32-E72D297353CC}">
                <c16:uniqueId val="{00000004-5864-4E58-B3A2-9B705A02ED9D}"/>
              </c:ext>
            </c:extLst>
          </c:dPt>
          <c:dPt>
            <c:idx val="3"/>
            <c:bubble3D val="0"/>
            <c:spPr>
              <a:solidFill>
                <a:schemeClr val="accent4"/>
              </a:solidFill>
              <a:ln>
                <a:noFill/>
              </a:ln>
              <a:effectLst/>
            </c:spPr>
            <c:extLst>
              <c:ext xmlns:c16="http://schemas.microsoft.com/office/drawing/2014/chart" uri="{C3380CC4-5D6E-409C-BE32-E72D297353CC}">
                <c16:uniqueId val="{00000005-5864-4E58-B3A2-9B705A02ED9D}"/>
              </c:ext>
            </c:extLst>
          </c:dPt>
          <c:dPt>
            <c:idx val="4"/>
            <c:bubble3D val="0"/>
            <c:spPr>
              <a:solidFill>
                <a:schemeClr val="accent5"/>
              </a:solidFill>
              <a:ln>
                <a:noFill/>
              </a:ln>
              <a:effectLst/>
            </c:spPr>
            <c:extLst>
              <c:ext xmlns:c16="http://schemas.microsoft.com/office/drawing/2014/chart" uri="{C3380CC4-5D6E-409C-BE32-E72D297353CC}">
                <c16:uniqueId val="{00000006-5864-4E58-B3A2-9B705A02ED9D}"/>
              </c:ext>
            </c:extLst>
          </c:dPt>
          <c:dPt>
            <c:idx val="5"/>
            <c:bubble3D val="0"/>
            <c:spPr>
              <a:solidFill>
                <a:schemeClr val="accent6"/>
              </a:solidFill>
              <a:ln>
                <a:noFill/>
              </a:ln>
              <a:effectLst/>
            </c:spPr>
            <c:extLst>
              <c:ext xmlns:c16="http://schemas.microsoft.com/office/drawing/2014/chart" uri="{C3380CC4-5D6E-409C-BE32-E72D297353CC}">
                <c16:uniqueId val="{00000007-5864-4E58-B3A2-9B705A02ED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Product by Category (2)'!$A$4:$A$7</c:f>
              <c:strCache>
                <c:ptCount val="3"/>
                <c:pt idx="0">
                  <c:v>Beverages</c:v>
                </c:pt>
                <c:pt idx="1">
                  <c:v>Sauces</c:v>
                </c:pt>
                <c:pt idx="2">
                  <c:v>Jams, Preserves</c:v>
                </c:pt>
              </c:strCache>
            </c:strRef>
          </c:cat>
          <c:val>
            <c:numRef>
              <c:f>'Sales Product by Category (2)'!$B$4:$B$7</c:f>
              <c:numCache>
                <c:formatCode>0.00%</c:formatCode>
                <c:ptCount val="3"/>
                <c:pt idx="0">
                  <c:v>0.47844416000113532</c:v>
                </c:pt>
                <c:pt idx="1">
                  <c:v>0.29854865116368423</c:v>
                </c:pt>
                <c:pt idx="2">
                  <c:v>0.22300718883518042</c:v>
                </c:pt>
              </c:numCache>
            </c:numRef>
          </c:val>
          <c:extLst>
            <c:ext xmlns:c16="http://schemas.microsoft.com/office/drawing/2014/chart" uri="{C3380CC4-5D6E-409C-BE32-E72D297353CC}">
              <c16:uniqueId val="{00000008-5864-4E58-B3A2-9B705A02ED9D}"/>
            </c:ext>
          </c:extLst>
        </c:ser>
        <c:dLbls>
          <c:showLegendKey val="0"/>
          <c:showVal val="0"/>
          <c:showCatName val="0"/>
          <c:showSerName val="0"/>
          <c:showPercent val="0"/>
          <c:showBubbleSize val="0"/>
          <c:showLeaderLines val="1"/>
        </c:dLbls>
        <c:firstSliceAng val="0"/>
      </c:pieChart>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file.xlsx]Transation by Amount!PivotTable1</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Transation</a:t>
            </a:r>
            <a:r>
              <a:rPr lang="en-US" sz="1400" baseline="0">
                <a:latin typeface="Agency FB" panose="020B0503020202020204" pitchFamily="34" charset="0"/>
              </a:rPr>
              <a:t> Distribution by Amount</a:t>
            </a:r>
            <a:endParaRPr lang="en-US" sz="1400">
              <a:latin typeface="Agency FB" panose="020B0503020202020204" pitchFamily="34" charset="0"/>
            </a:endParaRPr>
          </a:p>
        </c:rich>
      </c:tx>
      <c:layout>
        <c:manualLayout>
          <c:xMode val="edge"/>
          <c:yMode val="edge"/>
          <c:x val="0.34519221965508379"/>
          <c:y val="6.429705969491705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20000"/>
              <a:lumOff val="80000"/>
            </a:schemeClr>
          </a:solidFill>
          <a:ln>
            <a:noFill/>
          </a:ln>
          <a:effectLst/>
        </c:spPr>
      </c:pivotFmt>
    </c:pivotFmts>
    <c:plotArea>
      <c:layout>
        <c:manualLayout>
          <c:layoutTarget val="inner"/>
          <c:xMode val="edge"/>
          <c:yMode val="edge"/>
          <c:x val="9.9711493179557839E-2"/>
          <c:y val="0.18592592592592591"/>
          <c:w val="0.78234526373356783"/>
          <c:h val="0.69370370370370382"/>
        </c:manualLayout>
      </c:layout>
      <c:barChart>
        <c:barDir val="col"/>
        <c:grouping val="clustered"/>
        <c:varyColors val="0"/>
        <c:ser>
          <c:idx val="0"/>
          <c:order val="0"/>
          <c:tx>
            <c:strRef>
              <c:f>'Transation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243-4BFB-B06D-536CBFFB7E9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243-4BFB-B06D-536CBFFB7E9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A243-4BFB-B06D-536CBFFB7E9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A243-4BFB-B06D-536CBFFB7E9E}"/>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A243-4BFB-B06D-536CBFFB7E9E}"/>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A243-4BFB-B06D-536CBFFB7E9E}"/>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A243-4BFB-B06D-536CBFFB7E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'Transation by Amount'!$A$4:$A$11</c:f>
              <c:strCache>
                <c:ptCount val="7"/>
                <c:pt idx="0">
                  <c:v>10-1010</c:v>
                </c:pt>
                <c:pt idx="1">
                  <c:v>1010-2010</c:v>
                </c:pt>
                <c:pt idx="2">
                  <c:v>2010-3010</c:v>
                </c:pt>
                <c:pt idx="3">
                  <c:v>3010-4010</c:v>
                </c:pt>
                <c:pt idx="4">
                  <c:v>4010-5010</c:v>
                </c:pt>
                <c:pt idx="5">
                  <c:v>6010-7010</c:v>
                </c:pt>
                <c:pt idx="6">
                  <c:v>7010-8010</c:v>
                </c:pt>
              </c:strCache>
            </c:strRef>
          </c:cat>
          <c:val>
            <c:numRef>
              <c:f>'Transation by Amount'!$B$4:$B$11</c:f>
              <c:numCache>
                <c:formatCode>0</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E-A243-4BFB-B06D-536CBFFB7E9E}"/>
            </c:ext>
          </c:extLst>
        </c:ser>
        <c:dLbls>
          <c:showLegendKey val="0"/>
          <c:showVal val="0"/>
          <c:showCatName val="0"/>
          <c:showSerName val="0"/>
          <c:showPercent val="0"/>
          <c:showBubbleSize val="0"/>
        </c:dLbls>
        <c:gapWidth val="30"/>
        <c:axId val="1358794272"/>
        <c:axId val="1358790464"/>
      </c:barChart>
      <c:catAx>
        <c:axId val="135879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90464"/>
        <c:crosses val="autoZero"/>
        <c:auto val="1"/>
        <c:lblAlgn val="ctr"/>
        <c:lblOffset val="100"/>
        <c:noMultiLvlLbl val="0"/>
      </c:catAx>
      <c:valAx>
        <c:axId val="13587904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5879427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file.xlsx]Top 5 cities!PivotTable1</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5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pivotFmt>
      <c:pivotFmt>
        <c:idx val="29"/>
        <c:spPr>
          <a:solidFill>
            <a:schemeClr val="accent5">
              <a:lumMod val="60000"/>
              <a:lumOff val="4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50000"/>
            </a:schemeClr>
          </a:solidFill>
          <a:ln>
            <a:noFill/>
          </a:ln>
          <a:effectLst/>
        </c:spPr>
      </c:pivotFmt>
      <c:pivotFmt>
        <c:idx val="33"/>
        <c:spPr>
          <a:solidFill>
            <a:schemeClr val="accent5">
              <a:lumMod val="50000"/>
            </a:schemeClr>
          </a:solidFill>
          <a:ln>
            <a:noFill/>
          </a:ln>
          <a:effectLst/>
        </c:spPr>
      </c:pivotFmt>
    </c:pivotFmts>
    <c:plotArea>
      <c:layout>
        <c:manualLayout>
          <c:layoutTarget val="inner"/>
          <c:xMode val="edge"/>
          <c:yMode val="edge"/>
          <c:x val="0.27416989357240834"/>
          <c:y val="0.22759259259259254"/>
          <c:w val="0.43753340693557158"/>
          <c:h val="0.61499999999999999"/>
        </c:manualLayout>
      </c:layout>
      <c:pie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3085-4D10-96CB-FDFEA78ED749}"/>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1-BA03-4A3F-9EC6-730833D66C0A}"/>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2-BA03-4A3F-9EC6-730833D66C0A}"/>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3-BA03-4A3F-9EC6-730833D66C0A}"/>
              </c:ext>
            </c:extLst>
          </c:dPt>
          <c:dPt>
            <c:idx val="4"/>
            <c:bubble3D val="0"/>
            <c:spPr>
              <a:solidFill>
                <a:schemeClr val="accent5">
                  <a:lumMod val="20000"/>
                  <a:lumOff val="80000"/>
                </a:schemeClr>
              </a:solidFill>
              <a:ln>
                <a:noFill/>
              </a:ln>
              <a:effectLst/>
            </c:spPr>
            <c:extLst>
              <c:ext xmlns:c16="http://schemas.microsoft.com/office/drawing/2014/chart" uri="{C3380CC4-5D6E-409C-BE32-E72D297353CC}">
                <c16:uniqueId val="{00000004-BA03-4A3F-9EC6-730833D66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0-BA03-4A3F-9EC6-730833D66C0A}"/>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 Top 6 Ship Cities by Revenue!PivotTable1</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6 Ship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27416989357240834"/>
          <c:y val="0.22759259259259254"/>
          <c:w val="0.43753340693557158"/>
          <c:h val="0.61499999999999999"/>
        </c:manualLayout>
      </c:layout>
      <c:barChart>
        <c:barDir val="bar"/>
        <c:grouping val="clustered"/>
        <c:varyColors val="0"/>
        <c:ser>
          <c:idx val="0"/>
          <c:order val="0"/>
          <c:tx>
            <c:strRef>
              <c:f>' 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360-4A7B-9D8A-6DB3C9BEFFB3}"/>
              </c:ext>
            </c:extLst>
          </c:dPt>
          <c:dPt>
            <c:idx val="1"/>
            <c:invertIfNegative val="0"/>
            <c:bubble3D val="0"/>
            <c:extLst>
              <c:ext xmlns:c16="http://schemas.microsoft.com/office/drawing/2014/chart" uri="{C3380CC4-5D6E-409C-BE32-E72D297353CC}">
                <c16:uniqueId val="{00000002-0360-4A7B-9D8A-6DB3C9BEFFB3}"/>
              </c:ext>
            </c:extLst>
          </c:dPt>
          <c:dPt>
            <c:idx val="2"/>
            <c:invertIfNegative val="0"/>
            <c:bubble3D val="0"/>
            <c:extLst>
              <c:ext xmlns:c16="http://schemas.microsoft.com/office/drawing/2014/chart" uri="{C3380CC4-5D6E-409C-BE32-E72D297353CC}">
                <c16:uniqueId val="{00000003-0360-4A7B-9D8A-6DB3C9BEFFB3}"/>
              </c:ext>
            </c:extLst>
          </c:dPt>
          <c:dPt>
            <c:idx val="3"/>
            <c:invertIfNegative val="0"/>
            <c:bubble3D val="0"/>
            <c:extLst>
              <c:ext xmlns:c16="http://schemas.microsoft.com/office/drawing/2014/chart" uri="{C3380CC4-5D6E-409C-BE32-E72D297353CC}">
                <c16:uniqueId val="{00000004-0360-4A7B-9D8A-6DB3C9BEFFB3}"/>
              </c:ext>
            </c:extLst>
          </c:dPt>
          <c:dPt>
            <c:idx val="4"/>
            <c:invertIfNegative val="0"/>
            <c:bubble3D val="0"/>
            <c:extLst>
              <c:ext xmlns:c16="http://schemas.microsoft.com/office/drawing/2014/chart" uri="{C3380CC4-5D6E-409C-BE32-E72D297353CC}">
                <c16:uniqueId val="{00000005-0360-4A7B-9D8A-6DB3C9BEFFB3}"/>
              </c:ext>
            </c:extLst>
          </c:dPt>
          <c:dPt>
            <c:idx val="5"/>
            <c:invertIfNegative val="0"/>
            <c:bubble3D val="0"/>
            <c:extLst>
              <c:ext xmlns:c16="http://schemas.microsoft.com/office/drawing/2014/chart" uri="{C3380CC4-5D6E-409C-BE32-E72D297353CC}">
                <c16:uniqueId val="{00000006-0360-4A7B-9D8A-6DB3C9BEFF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6 Ship Cities by Revenue'!$A$4:$A$10</c:f>
              <c:strCache>
                <c:ptCount val="6"/>
                <c:pt idx="0">
                  <c:v>New York</c:v>
                </c:pt>
                <c:pt idx="1">
                  <c:v>Portland</c:v>
                </c:pt>
                <c:pt idx="2">
                  <c:v>Miami</c:v>
                </c:pt>
                <c:pt idx="3">
                  <c:v>Memphis</c:v>
                </c:pt>
                <c:pt idx="4">
                  <c:v>Chicago</c:v>
                </c:pt>
                <c:pt idx="5">
                  <c:v>Milwaukee</c:v>
                </c:pt>
              </c:strCache>
            </c:strRef>
          </c:cat>
          <c:val>
            <c:numRef>
              <c:f>' 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0360-4A7B-9D8A-6DB3C9BEFFB3}"/>
            </c:ext>
          </c:extLst>
        </c:ser>
        <c:dLbls>
          <c:showLegendKey val="0"/>
          <c:showVal val="0"/>
          <c:showCatName val="0"/>
          <c:showSerName val="0"/>
          <c:showPercent val="0"/>
          <c:showBubbleSize val="0"/>
        </c:dLbls>
        <c:gapWidth val="20"/>
        <c:axId val="1299459648"/>
        <c:axId val="1299456384"/>
      </c:barChart>
      <c:valAx>
        <c:axId val="12994563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9648"/>
        <c:crosses val="autoZero"/>
        <c:crossBetween val="between"/>
      </c:valAx>
      <c:catAx>
        <c:axId val="12994596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6384"/>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Trend Report!PivotTable1</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a:solidFill>
                  <a:schemeClr val="accent3">
                    <a:lumMod val="50000"/>
                  </a:schemeClr>
                </a:solidFill>
                <a:latin typeface="Arial Narrow" panose="020B0606020202030204" pitchFamily="34" charset="0"/>
              </a:rPr>
              <a:t>Sales Trend</a:t>
            </a:r>
            <a:r>
              <a:rPr lang="en-US" sz="1400" b="0" baseline="0">
                <a:solidFill>
                  <a:schemeClr val="accent3">
                    <a:lumMod val="50000"/>
                  </a:schemeClr>
                </a:solidFill>
                <a:latin typeface="Arial Narrow" panose="020B0606020202030204" pitchFamily="34" charset="0"/>
              </a:rPr>
              <a:t> Report</a:t>
            </a:r>
            <a:endParaRPr lang="en-US" sz="1400" b="0">
              <a:solidFill>
                <a:schemeClr val="accent3">
                  <a:lumMod val="50000"/>
                </a:schemeClr>
              </a:solidFill>
              <a:latin typeface="Arial Narrow" panose="020B0606020202030204" pitchFamily="34" charset="0"/>
            </a:endParaRPr>
          </a:p>
        </c:rich>
      </c:tx>
      <c:layout>
        <c:manualLayout>
          <c:xMode val="edge"/>
          <c:yMode val="edge"/>
          <c:x val="0.39830496994327313"/>
          <c:y val="2.795046884699578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2.3471978545372262E-2"/>
              <c:y val="-0.1117020995890184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1421138609480421E-2"/>
              <c:y val="5.212764647487523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3136910887584331E-2"/>
              <c:y val="-0.1265957128675542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8324661711060486E-2"/>
              <c:y val="7.44680663926789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2.48526831656883E-2"/>
              <c:y val="0.1117020995890182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4182547850112448E-2"/>
              <c:y val="8.191487303194666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7279024748532376E-2"/>
              <c:y val="-8.936167967121476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0040433989164403E-2"/>
              <c:y val="8.191487303194680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7279024748532376E-2"/>
              <c:y val="-5.212764647487523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2.3471978545372339E-2"/>
              <c:y val="5.212764647487530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11493179557839E-2"/>
          <c:y val="2.9542713299703489E-2"/>
          <c:w val="0.78234526373356783"/>
          <c:h val="0.79347073375672628"/>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69E5-4418-9AE1-4ABAF13DA8BF}"/>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69E5-4418-9AE1-4ABAF13DA8BF}"/>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69E5-4418-9AE1-4ABAF13DA8BF}"/>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69E5-4418-9AE1-4ABAF13DA8BF}"/>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69E5-4418-9AE1-4ABAF13DA8BF}"/>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69E5-4418-9AE1-4ABAF13DA8BF}"/>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69E5-4418-9AE1-4ABAF13DA8BF}"/>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69E5-4418-9AE1-4ABAF13DA8BF}"/>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69E5-4418-9AE1-4ABAF13DA8BF}"/>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69E5-4418-9AE1-4ABAF13DA8BF}"/>
              </c:ext>
            </c:extLst>
          </c:dPt>
          <c:dLbls>
            <c:dLbl>
              <c:idx val="0"/>
              <c:layout>
                <c:manualLayout>
                  <c:x val="-2.3471978545372262E-2"/>
                  <c:y val="-0.1117020995890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E5-4418-9AE1-4ABAF13DA8BF}"/>
                </c:ext>
              </c:extLst>
            </c:dLbl>
            <c:dLbl>
              <c:idx val="1"/>
              <c:layout>
                <c:manualLayout>
                  <c:x val="-4.1421138609480421E-2"/>
                  <c:y val="5.2127646474875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E5-4418-9AE1-4ABAF13DA8BF}"/>
                </c:ext>
              </c:extLst>
            </c:dLbl>
            <c:dLbl>
              <c:idx val="2"/>
              <c:layout>
                <c:manualLayout>
                  <c:x val="-3.3136910887584331E-2"/>
                  <c:y val="-0.12659571286755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E5-4418-9AE1-4ABAF13DA8BF}"/>
                </c:ext>
              </c:extLst>
            </c:dLbl>
            <c:dLbl>
              <c:idx val="3"/>
              <c:layout>
                <c:manualLayout>
                  <c:x val="-4.8324661711060486E-2"/>
                  <c:y val="7.4468066392678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E5-4418-9AE1-4ABAF13DA8BF}"/>
                </c:ext>
              </c:extLst>
            </c:dLbl>
            <c:dLbl>
              <c:idx val="4"/>
              <c:layout>
                <c:manualLayout>
                  <c:x val="-2.48526831656883E-2"/>
                  <c:y val="0.11170209958901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E5-4418-9AE1-4ABAF13DA8BF}"/>
                </c:ext>
              </c:extLst>
            </c:dLbl>
            <c:dLbl>
              <c:idx val="6"/>
              <c:layout>
                <c:manualLayout>
                  <c:x val="-4.4182547850112448E-2"/>
                  <c:y val="8.191487303194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E5-4418-9AE1-4ABAF13DA8BF}"/>
                </c:ext>
              </c:extLst>
            </c:dLbl>
            <c:dLbl>
              <c:idx val="7"/>
              <c:layout>
                <c:manualLayout>
                  <c:x val="-3.7279024748532376E-2"/>
                  <c:y val="-8.9361679671214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E5-4418-9AE1-4ABAF13DA8BF}"/>
                </c:ext>
              </c:extLst>
            </c:dLbl>
            <c:dLbl>
              <c:idx val="8"/>
              <c:layout>
                <c:manualLayout>
                  <c:x val="-4.0040433989164403E-2"/>
                  <c:y val="8.1914873031946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E5-4418-9AE1-4ABAF13DA8BF}"/>
                </c:ext>
              </c:extLst>
            </c:dLbl>
            <c:dLbl>
              <c:idx val="9"/>
              <c:layout>
                <c:manualLayout>
                  <c:x val="-3.7279024748532376E-2"/>
                  <c:y val="-5.2127646474875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E5-4418-9AE1-4ABAF13DA8BF}"/>
                </c:ext>
              </c:extLst>
            </c:dLbl>
            <c:dLbl>
              <c:idx val="10"/>
              <c:layout>
                <c:manualLayout>
                  <c:x val="-2.3471978545372339E-2"/>
                  <c:y val="5.2127646474875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E5-4418-9AE1-4ABAF13DA8B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856-4891-9F52-167C0625A90C}"/>
            </c:ext>
          </c:extLst>
        </c:ser>
        <c:dLbls>
          <c:showLegendKey val="0"/>
          <c:showVal val="0"/>
          <c:showCatName val="0"/>
          <c:showSerName val="0"/>
          <c:showPercent val="0"/>
          <c:showBubbleSize val="0"/>
        </c:dLbls>
        <c:marker val="1"/>
        <c:smooth val="0"/>
        <c:axId val="1297045328"/>
        <c:axId val="1297042064"/>
      </c:lineChart>
      <c:catAx>
        <c:axId val="129704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7042064"/>
        <c:crosses val="autoZero"/>
        <c:auto val="1"/>
        <c:lblAlgn val="ctr"/>
        <c:lblOffset val="100"/>
        <c:noMultiLvlLbl val="0"/>
      </c:catAx>
      <c:valAx>
        <c:axId val="12970420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704532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 Top 6 Ship Cities by Revenue!PivotTable1</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6 Ship Cities by Revenue</a:t>
            </a:r>
          </a:p>
          <a:p>
            <a:pPr algn="ctr">
              <a:defRPr/>
            </a:pPr>
            <a:endParaRPr lang="en-US" sz="1400">
              <a:latin typeface="Agency FB" panose="020B0503020202020204" pitchFamily="34" charset="0"/>
            </a:endParaRPr>
          </a:p>
        </c:rich>
      </c:tx>
      <c:layout>
        <c:manualLayout>
          <c:xMode val="edge"/>
          <c:yMode val="edge"/>
          <c:x val="0.29502261327654328"/>
          <c:y val="4.629477958513998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40000"/>
              <a:lumOff val="6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40000"/>
              <a:lumOff val="6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40000"/>
              <a:lumOff val="60000"/>
            </a:schemeClr>
          </a:solidFill>
          <a:ln>
            <a:noFill/>
          </a:ln>
          <a:effectLst/>
        </c:spPr>
      </c:pivotFmt>
      <c:pivotFmt>
        <c:idx val="47"/>
        <c:spPr>
          <a:solidFill>
            <a:schemeClr val="accent5">
              <a:lumMod val="20000"/>
              <a:lumOff val="80000"/>
            </a:schemeClr>
          </a:solidFill>
          <a:ln>
            <a:noFill/>
          </a:ln>
          <a:effectLst/>
        </c:spPr>
      </c:pivotFmt>
    </c:pivotFmts>
    <c:plotArea>
      <c:layout>
        <c:manualLayout>
          <c:layoutTarget val="inner"/>
          <c:xMode val="edge"/>
          <c:yMode val="edge"/>
          <c:x val="0.1745258497492084"/>
          <c:y val="0.18486505445259746"/>
          <c:w val="0.76778255387115746"/>
          <c:h val="0.73250140463141478"/>
        </c:manualLayout>
      </c:layout>
      <c:barChart>
        <c:barDir val="bar"/>
        <c:grouping val="clustered"/>
        <c:varyColors val="0"/>
        <c:ser>
          <c:idx val="0"/>
          <c:order val="0"/>
          <c:tx>
            <c:strRef>
              <c:f>' 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2F0-43F1-A8CD-C8488B23DA5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2F0-43F1-A8CD-C8488B23DA5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2F0-43F1-A8CD-C8488B23DA5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2F0-43F1-A8CD-C8488B23DA5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B2F0-43F1-A8CD-C8488B23DA5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B2F0-43F1-A8CD-C8488B23DA5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6 Ship Cities by Revenue'!$A$4:$A$10</c:f>
              <c:strCache>
                <c:ptCount val="6"/>
                <c:pt idx="0">
                  <c:v>New York</c:v>
                </c:pt>
                <c:pt idx="1">
                  <c:v>Portland</c:v>
                </c:pt>
                <c:pt idx="2">
                  <c:v>Miami</c:v>
                </c:pt>
                <c:pt idx="3">
                  <c:v>Memphis</c:v>
                </c:pt>
                <c:pt idx="4">
                  <c:v>Chicago</c:v>
                </c:pt>
                <c:pt idx="5">
                  <c:v>Milwaukee</c:v>
                </c:pt>
              </c:strCache>
            </c:strRef>
          </c:cat>
          <c:val>
            <c:numRef>
              <c:f>' 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B2F0-43F1-A8CD-C8488B23DA53}"/>
            </c:ext>
          </c:extLst>
        </c:ser>
        <c:dLbls>
          <c:showLegendKey val="0"/>
          <c:showVal val="0"/>
          <c:showCatName val="0"/>
          <c:showSerName val="0"/>
          <c:showPercent val="0"/>
          <c:showBubbleSize val="0"/>
        </c:dLbls>
        <c:gapWidth val="20"/>
        <c:axId val="1299459648"/>
        <c:axId val="1299456384"/>
      </c:barChart>
      <c:valAx>
        <c:axId val="12994563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9648"/>
        <c:crosses val="autoZero"/>
        <c:crossBetween val="between"/>
      </c:valAx>
      <c:catAx>
        <c:axId val="12994596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9456384"/>
        <c:crosses val="autoZero"/>
        <c:auto val="1"/>
        <c:lblAlgn val="ctr"/>
        <c:lblOffset val="100"/>
        <c:noMultiLvlLbl val="0"/>
      </c:cat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Product by Category!PivotTable1</c:name>
    <c:fmtId val="2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Product</a:t>
            </a:r>
            <a:r>
              <a:rPr lang="en-US" sz="1400" baseline="0">
                <a:solidFill>
                  <a:schemeClr val="accent3">
                    <a:lumMod val="50000"/>
                  </a:schemeClr>
                </a:solidFill>
                <a:latin typeface="Arial Narrow" panose="020B0606020202030204" pitchFamily="34" charset="0"/>
              </a:rPr>
              <a:t> Category Performance Per Time</a:t>
            </a:r>
            <a:endParaRPr lang="en-US" sz="1400">
              <a:solidFill>
                <a:schemeClr val="accent3">
                  <a:lumMod val="50000"/>
                </a:schemeClr>
              </a:solidFill>
              <a:latin typeface="Arial Narrow" panose="020B0606020202030204" pitchFamily="34" charset="0"/>
            </a:endParaRPr>
          </a:p>
        </c:rich>
      </c:tx>
      <c:layout>
        <c:manualLayout>
          <c:xMode val="edge"/>
          <c:yMode val="edge"/>
          <c:x val="0.27508895244738796"/>
          <c:y val="6.94445123239274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60000"/>
              <a:lumOff val="40000"/>
            </a:schemeClr>
          </a:solidFill>
          <a:ln>
            <a:noFill/>
          </a:ln>
          <a:effectLst/>
        </c:spPr>
      </c:pivotFmt>
      <c:pivotFmt>
        <c:idx val="51"/>
        <c:spPr>
          <a:solidFill>
            <a:schemeClr val="accent5">
              <a:lumMod val="40000"/>
              <a:lumOff val="60000"/>
            </a:schemeClr>
          </a:solidFill>
          <a:ln>
            <a:noFill/>
          </a:ln>
          <a:effectLst/>
        </c:spPr>
      </c:pivotFmt>
      <c:pivotFmt>
        <c:idx val="52"/>
        <c:spPr>
          <a:solidFill>
            <a:schemeClr val="accent5">
              <a:lumMod val="20000"/>
              <a:lumOff val="80000"/>
            </a:schemeClr>
          </a:solidFill>
          <a:ln>
            <a:noFill/>
          </a:ln>
          <a:effectLst/>
        </c:spPr>
      </c:pivotFmt>
    </c:pivotFmts>
    <c:plotArea>
      <c:layout>
        <c:manualLayout>
          <c:layoutTarget val="inner"/>
          <c:xMode val="edge"/>
          <c:yMode val="edge"/>
          <c:x val="0.18422707663789578"/>
          <c:y val="0.27770006423035809"/>
          <c:w val="0.75501745793868202"/>
          <c:h val="0.69370370370370382"/>
        </c:manualLayout>
      </c:layout>
      <c:barChart>
        <c:barDir val="bar"/>
        <c:grouping val="clustered"/>
        <c:varyColors val="0"/>
        <c:ser>
          <c:idx val="0"/>
          <c:order val="0"/>
          <c:tx>
            <c:strRef>
              <c:f>'Sales Product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6DA-4B0C-8F62-E830BFFFDB1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6DA-4B0C-8F62-E830BFFFDB1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26DA-4B0C-8F62-E830BFFFDB1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6DA-4B0C-8F62-E830BFFFDB1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26DA-4B0C-8F62-E830BFFFDB1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26DA-4B0C-8F62-E830BFFFDB1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Product by Category'!$A$4:$A$10</c:f>
              <c:strCache>
                <c:ptCount val="6"/>
                <c:pt idx="0">
                  <c:v>Beverages</c:v>
                </c:pt>
                <c:pt idx="1">
                  <c:v>Sauces</c:v>
                </c:pt>
                <c:pt idx="2">
                  <c:v>Jams, Preserves</c:v>
                </c:pt>
                <c:pt idx="3">
                  <c:v>Dairy Products</c:v>
                </c:pt>
                <c:pt idx="4">
                  <c:v>Dried Fruit &amp; Nuts</c:v>
                </c:pt>
                <c:pt idx="5">
                  <c:v>Canned Meat</c:v>
                </c:pt>
              </c:strCache>
            </c:strRef>
          </c:cat>
          <c:val>
            <c:numRef>
              <c:f>'Sales Product by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C-26DA-4B0C-8F62-E830BFFFDB13}"/>
            </c:ext>
          </c:extLst>
        </c:ser>
        <c:dLbls>
          <c:showLegendKey val="0"/>
          <c:showVal val="0"/>
          <c:showCatName val="0"/>
          <c:showSerName val="0"/>
          <c:showPercent val="0"/>
          <c:showBubbleSize val="0"/>
        </c:dLbls>
        <c:gapWidth val="30"/>
        <c:axId val="1299454752"/>
        <c:axId val="1299457472"/>
      </c:barChart>
      <c:catAx>
        <c:axId val="1299454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9457472"/>
        <c:crosses val="autoZero"/>
        <c:auto val="1"/>
        <c:lblAlgn val="ctr"/>
        <c:lblOffset val="100"/>
        <c:noMultiLvlLbl val="0"/>
      </c:catAx>
      <c:valAx>
        <c:axId val="129945747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475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file.xlsx]Top 5 cities!PivotTable1</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5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pivotFmt>
      <c:pivotFmt>
        <c:idx val="29"/>
        <c:spPr>
          <a:solidFill>
            <a:schemeClr val="accent5">
              <a:lumMod val="60000"/>
              <a:lumOff val="4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20000"/>
              <a:lumOff val="80000"/>
            </a:schemeClr>
          </a:solidFill>
          <a:ln>
            <a:noFill/>
          </a:ln>
          <a:effectLst/>
        </c:spPr>
      </c:pivotFmt>
    </c:pivotFmts>
    <c:plotArea>
      <c:layout>
        <c:manualLayout>
          <c:layoutTarget val="inner"/>
          <c:xMode val="edge"/>
          <c:yMode val="edge"/>
          <c:x val="0.27416989357240834"/>
          <c:y val="0.22759259259259254"/>
          <c:w val="0.43753340693557158"/>
          <c:h val="0.61499999999999999"/>
        </c:manualLayout>
      </c:layout>
      <c:pie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C1B5-4AD4-BBFF-33B9F9667255}"/>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C1B5-4AD4-BBFF-33B9F9667255}"/>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C1B5-4AD4-BBFF-33B9F9667255}"/>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7-C1B5-4AD4-BBFF-33B9F9667255}"/>
              </c:ext>
            </c:extLst>
          </c:dPt>
          <c:dPt>
            <c:idx val="4"/>
            <c:bubble3D val="0"/>
            <c:spPr>
              <a:solidFill>
                <a:schemeClr val="accent5">
                  <a:lumMod val="20000"/>
                  <a:lumOff val="80000"/>
                </a:schemeClr>
              </a:solidFill>
              <a:ln>
                <a:noFill/>
              </a:ln>
              <a:effectLst/>
            </c:spPr>
            <c:extLst>
              <c:ext xmlns:c16="http://schemas.microsoft.com/office/drawing/2014/chart" uri="{C3380CC4-5D6E-409C-BE32-E72D297353CC}">
                <c16:uniqueId val="{00000009-C1B5-4AD4-BBFF-33B9F966725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A-C1B5-4AD4-BBFF-33B9F9667255}"/>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file.xlsx]Transation by Amount!PivotTable1</c:name>
    <c:fmtId val="2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Transation</a:t>
            </a:r>
            <a:r>
              <a:rPr lang="en-US" sz="1400" baseline="0">
                <a:solidFill>
                  <a:schemeClr val="accent3">
                    <a:lumMod val="50000"/>
                  </a:schemeClr>
                </a:solidFill>
                <a:latin typeface="Arial Narrow" panose="020B0606020202030204" pitchFamily="34" charset="0"/>
              </a:rPr>
              <a:t> Distribution by Amount</a:t>
            </a:r>
            <a:endParaRPr lang="en-US" sz="1400">
              <a:solidFill>
                <a:schemeClr val="accent3">
                  <a:lumMod val="50000"/>
                </a:schemeClr>
              </a:solidFill>
              <a:latin typeface="Arial Narrow" panose="020B0606020202030204" pitchFamily="34" charset="0"/>
            </a:endParaRPr>
          </a:p>
        </c:rich>
      </c:tx>
      <c:layout>
        <c:manualLayout>
          <c:xMode val="edge"/>
          <c:yMode val="edge"/>
          <c:x val="0.32852544368448022"/>
          <c:y val="3.60143730124088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20000"/>
              <a:lumOff val="8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50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60000"/>
              <a:lumOff val="40000"/>
            </a:schemeClr>
          </a:solidFill>
          <a:ln>
            <a:noFill/>
          </a:ln>
          <a:effectLst/>
        </c:spPr>
      </c:pivotFmt>
      <c:pivotFmt>
        <c:idx val="58"/>
        <c:spPr>
          <a:solidFill>
            <a:schemeClr val="accent5">
              <a:lumMod val="40000"/>
              <a:lumOff val="60000"/>
            </a:schemeClr>
          </a:solidFill>
          <a:ln>
            <a:noFill/>
          </a:ln>
          <a:effectLst/>
        </c:spPr>
      </c:pivotFmt>
      <c:pivotFmt>
        <c:idx val="59"/>
        <c:spPr>
          <a:solidFill>
            <a:schemeClr val="accent5">
              <a:lumMod val="20000"/>
              <a:lumOff val="8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noFill/>
          </a:ln>
          <a:effectLst/>
        </c:spPr>
      </c:pivotFmt>
      <c:pivotFmt>
        <c:idx val="63"/>
        <c:spPr>
          <a:solidFill>
            <a:schemeClr val="accent5">
              <a:lumMod val="75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20000"/>
              <a:lumOff val="80000"/>
            </a:schemeClr>
          </a:solidFill>
          <a:ln>
            <a:noFill/>
          </a:ln>
          <a:effectLst/>
        </c:spPr>
      </c:pivotFmt>
    </c:pivotFmts>
    <c:plotArea>
      <c:layout>
        <c:manualLayout>
          <c:layoutTarget val="inner"/>
          <c:xMode val="edge"/>
          <c:yMode val="edge"/>
          <c:x val="0.10435493353652384"/>
          <c:y val="5.5031659325049186E-2"/>
          <c:w val="0.78234526373356783"/>
          <c:h val="0.67253906442549416"/>
        </c:manualLayout>
      </c:layout>
      <c:barChart>
        <c:barDir val="col"/>
        <c:grouping val="clustered"/>
        <c:varyColors val="0"/>
        <c:ser>
          <c:idx val="0"/>
          <c:order val="0"/>
          <c:tx>
            <c:strRef>
              <c:f>'Transation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714-4CC5-9A2A-896DB3777AC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714-4CC5-9A2A-896DB3777AC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714-4CC5-9A2A-896DB3777AC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714-4CC5-9A2A-896DB3777AC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714-4CC5-9A2A-896DB3777AC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714-4CC5-9A2A-896DB3777AC3}"/>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6714-4CC5-9A2A-896DB3777AC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'Transation by Amount'!$A$4:$A$11</c:f>
              <c:strCache>
                <c:ptCount val="7"/>
                <c:pt idx="0">
                  <c:v>10-1010</c:v>
                </c:pt>
                <c:pt idx="1">
                  <c:v>1010-2010</c:v>
                </c:pt>
                <c:pt idx="2">
                  <c:v>2010-3010</c:v>
                </c:pt>
                <c:pt idx="3">
                  <c:v>3010-4010</c:v>
                </c:pt>
                <c:pt idx="4">
                  <c:v>4010-5010</c:v>
                </c:pt>
                <c:pt idx="5">
                  <c:v>6010-7010</c:v>
                </c:pt>
                <c:pt idx="6">
                  <c:v>7010-8010</c:v>
                </c:pt>
              </c:strCache>
            </c:strRef>
          </c:cat>
          <c:val>
            <c:numRef>
              <c:f>'Transation by Amount'!$B$4:$B$11</c:f>
              <c:numCache>
                <c:formatCode>0</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E-6714-4CC5-9A2A-896DB3777AC3}"/>
            </c:ext>
          </c:extLst>
        </c:ser>
        <c:dLbls>
          <c:showLegendKey val="0"/>
          <c:showVal val="0"/>
          <c:showCatName val="0"/>
          <c:showSerName val="0"/>
          <c:showPercent val="0"/>
          <c:showBubbleSize val="0"/>
        </c:dLbls>
        <c:gapWidth val="30"/>
        <c:axId val="1358794272"/>
        <c:axId val="1358790464"/>
      </c:barChart>
      <c:catAx>
        <c:axId val="135879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8790464"/>
        <c:crosses val="autoZero"/>
        <c:auto val="1"/>
        <c:lblAlgn val="ctr"/>
        <c:lblOffset val="100"/>
        <c:noMultiLvlLbl val="0"/>
      </c:catAx>
      <c:valAx>
        <c:axId val="13587904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5879427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file.xlsx]Top 10 Customers!PivotTable1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10 Customers</a:t>
            </a:r>
          </a:p>
          <a:p>
            <a:pPr algn="ctr">
              <a:defRPr/>
            </a:pPr>
            <a:endParaRPr lang="en-US" sz="1400">
              <a:latin typeface="Agency FB" panose="020B0503020202020204" pitchFamily="34" charset="0"/>
            </a:endParaRPr>
          </a:p>
        </c:rich>
      </c:tx>
      <c:layout>
        <c:manualLayout>
          <c:xMode val="edge"/>
          <c:yMode val="edge"/>
          <c:x val="0.44287475840310164"/>
          <c:y val="8.5486030215310065E-4"/>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50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20000"/>
              <a:lumOff val="8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50000"/>
            </a:schemeClr>
          </a:solidFill>
          <a:ln>
            <a:noFill/>
          </a:ln>
          <a:effectLst/>
        </c:spPr>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60000"/>
              <a:lumOff val="40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40000"/>
              <a:lumOff val="60000"/>
            </a:schemeClr>
          </a:solidFill>
          <a:ln>
            <a:noFill/>
          </a:ln>
          <a:effectLst/>
        </c:spPr>
      </c:pivotFmt>
      <c:pivotFmt>
        <c:idx val="52"/>
        <c:spPr>
          <a:solidFill>
            <a:schemeClr val="accent5">
              <a:lumMod val="20000"/>
              <a:lumOff val="80000"/>
            </a:schemeClr>
          </a:solidFill>
          <a:ln>
            <a:noFill/>
          </a:ln>
          <a:effectLst/>
        </c:spPr>
      </c:pivotFmt>
      <c:pivotFmt>
        <c:idx val="53"/>
        <c:spPr>
          <a:solidFill>
            <a:schemeClr val="accent5">
              <a:lumMod val="20000"/>
              <a:lumOff val="80000"/>
            </a:schemeClr>
          </a:solidFill>
          <a:ln>
            <a:noFill/>
          </a:ln>
          <a:effectLst/>
        </c:spPr>
      </c:pivotFmt>
    </c:pivotFmts>
    <c:plotArea>
      <c:layout>
        <c:manualLayout>
          <c:layoutTarget val="inner"/>
          <c:xMode val="edge"/>
          <c:yMode val="edge"/>
          <c:x val="0.19521533610564026"/>
          <c:y val="0.188395871977555"/>
          <c:w val="0.7706554129727925"/>
          <c:h val="0.81019239391623532"/>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751-47A4-8E4E-B45A35770B3E}"/>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6751-47A4-8E4E-B45A35770B3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751-47A4-8E4E-B45A35770B3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751-47A4-8E4E-B45A35770B3E}"/>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6751-47A4-8E4E-B45A35770B3E}"/>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6751-47A4-8E4E-B45A35770B3E}"/>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6751-47A4-8E4E-B45A35770B3E}"/>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6751-47A4-8E4E-B45A35770B3E}"/>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1-6751-47A4-8E4E-B45A35770B3E}"/>
              </c:ext>
            </c:extLst>
          </c:dPt>
          <c:dPt>
            <c:idx val="9"/>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3-6751-47A4-8E4E-B45A35770B3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4-6751-47A4-8E4E-B45A35770B3E}"/>
            </c:ext>
          </c:extLst>
        </c:ser>
        <c:dLbls>
          <c:showLegendKey val="0"/>
          <c:showVal val="0"/>
          <c:showCatName val="0"/>
          <c:showSerName val="0"/>
          <c:showPercent val="0"/>
          <c:showBubbleSize val="0"/>
        </c:dLbls>
        <c:gapWidth val="30"/>
        <c:axId val="1932984927"/>
        <c:axId val="1932987807"/>
      </c:barChart>
      <c:valAx>
        <c:axId val="1932987807"/>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932984927"/>
        <c:crosses val="autoZero"/>
        <c:crossBetween val="between"/>
      </c:valAx>
      <c:catAx>
        <c:axId val="19329849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32987807"/>
        <c:crosses val="autoZero"/>
        <c:auto val="1"/>
        <c:lblAlgn val="ctr"/>
        <c:lblOffset val="100"/>
        <c:noMultiLvlLbl val="0"/>
      </c:cat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[Pressure hose file.xlsx]Sales Performance by Reps!PivotTable1</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Sales Performance Analysis by Reps</a:t>
            </a:r>
          </a:p>
          <a:p>
            <a:pPr algn="ctr">
              <a:defRPr/>
            </a:pPr>
            <a:endParaRPr lang="en-US" sz="1400">
              <a:latin typeface="Agency FB" panose="020B0503020202020204" pitchFamily="34" charset="0"/>
            </a:endParaRPr>
          </a:p>
        </c:rich>
      </c:tx>
      <c:layout>
        <c:manualLayout>
          <c:xMode val="edge"/>
          <c:yMode val="edge"/>
          <c:x val="0.19638983954339054"/>
          <c:y val="1.520851658783037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1.59817340105896E-3"/>
              <c:y val="5.58141366050173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28093220573602"/>
                  <c:h val="0.15023255813953487"/>
                </c:manualLayout>
              </c15:layout>
            </c:ext>
          </c:extLst>
        </c:dLbl>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s>
    <c:plotArea>
      <c:layout>
        <c:manualLayout>
          <c:layoutTarget val="inner"/>
          <c:xMode val="edge"/>
          <c:yMode val="edge"/>
          <c:x val="0.25830660063232297"/>
          <c:y val="0.14380699505585057"/>
          <c:w val="0.71281201504246106"/>
          <c:h val="0.79133492034425934"/>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427-45F3-A31E-08FE12EA393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427-45F3-A31E-08FE12EA393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427-45F3-A31E-08FE12EA393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0427-45F3-A31E-08FE12EA3933}"/>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0427-45F3-A31E-08FE12EA3933}"/>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0427-45F3-A31E-08FE12EA3933}"/>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0427-45F3-A31E-08FE12EA3933}"/>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0427-45F3-A31E-08FE12EA3933}"/>
              </c:ext>
            </c:extLst>
          </c:dPt>
          <c:dLbls>
            <c:dLbl>
              <c:idx val="0"/>
              <c:layout>
                <c:manualLayout>
                  <c:x val="-1.59817340105896E-3"/>
                  <c:y val="5.581413660501739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628093220573602"/>
                      <c:h val="0.15023255813953487"/>
                    </c:manualLayout>
                  </c15:layout>
                </c:ext>
                <c:ext xmlns:c16="http://schemas.microsoft.com/office/drawing/2014/chart" uri="{C3380CC4-5D6E-409C-BE32-E72D297353CC}">
                  <c16:uniqueId val="{00000001-0427-45F3-A31E-08FE12EA393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Performance by Reps'!$B$4:$B$12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0-0427-45F3-A31E-08FE12EA3933}"/>
            </c:ext>
          </c:extLst>
        </c:ser>
        <c:dLbls>
          <c:dLblPos val="outEnd"/>
          <c:showLegendKey val="0"/>
          <c:showVal val="1"/>
          <c:showCatName val="0"/>
          <c:showSerName val="0"/>
          <c:showPercent val="0"/>
          <c:showBubbleSize val="0"/>
        </c:dLbls>
        <c:gapWidth val="22"/>
        <c:axId val="1299461824"/>
        <c:axId val="1299458560"/>
      </c:barChart>
      <c:catAx>
        <c:axId val="1299461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99458560"/>
        <c:crosses val="autoZero"/>
        <c:auto val="1"/>
        <c:lblAlgn val="ctr"/>
        <c:lblOffset val="100"/>
        <c:noMultiLvlLbl val="0"/>
      </c:catAx>
      <c:valAx>
        <c:axId val="1299458560"/>
        <c:scaling>
          <c:orientation val="minMax"/>
        </c:scaling>
        <c:delete val="1"/>
        <c:axPos val="t"/>
        <c:numFmt formatCode="&quot;$&quot;#,##0.00" sourceLinked="1"/>
        <c:majorTickMark val="none"/>
        <c:minorTickMark val="none"/>
        <c:tickLblPos val="nextTo"/>
        <c:crossAx val="129946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1">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058653D9-9764-41E4-A762-00341B495C91}">
          <cx:dataLabels>
            <cx:visibility seriesName="0" categoryName="0" value="1"/>
          </cx:dataLabels>
          <cx:dataId val="0"/>
          <cx:layoutPr>
            <cx:regionLabelLayout val="showAll"/>
            <cx:geography cultureLanguage="en-US" cultureRegion="US" attribution="Powered by Bing">
              <cx:geoCache provider="{E9337A44-BEBE-4D9F-B70C-5C5E7DAFC167}">
                <cx:binary>1Htrb922tu1fKfL5yuVLpLixu4FLaa3ld+w4TpN8ERzb1ZMPkXpQ+vVnum7SJDs756bYuECDooaX
xCWSg3POMcaU/3kf/3HfP975n6LuTfjHffzlRT2O7h8//xzu60d9F450c+9tsL+NR/dW/2x/+625
f/z5wd8tjal+Jgizn+/rOz8+xhf/+id8W/Voz+393dhYcz09+vXVY5j6MXzn2jcv/XT3oBtTNGH0
zf2If3mR/98XPz2asRnX16t7/OXFF9df/PTz19/yb0/8qYdJjdMDjKXiiKSMc4kl+v0ffvFTb031
x+UEY3nEsSACMyx///fx2Zd3Gsbnd33zm/Wmufv4+bfm9PuM7h4e/GMIsJzff3459os1PC/x3k5m
fNq1Cjbwlxe3phkfH366Ge/Gx/DipybY/PmG3D4t5Pbm95X//OW+/+ufX30Ae/HVJ59B8/XG/W+X
/g2Zy3ff24UfQ4aRI0klYZSSZ2Tol8iI9IjDlZRj9gwM//jsZ2QuH5ef3lnfffz0/x2XP0d+hcrT
8v6GqPz6X4wXJo4YxjQVmXjedfElKpigozTlLEMMf4yn51h9RuXXu1BDthit+XFcPh/7FTJPS/wb
IvPy1fd24QfjhUK8ZDzjlD8jI7+FTAbgQYr7HJKX/rH6K3B8HPcVFE9r+htCcXL+cVe+lSh+EAp0
hAnDPGPPmQuRL6HI5BFmAFSapZ+g+hyRk75vjG0gyz9/+q0Zfbuk/DnyK1Selvc3ROX15ff24MdQ
oelRxoiUKMueYfkaFX5EGSWMM/6p4HyOyutHY6B+Pz5+b0rfhuWzoV/h8rTAvyEu+/9itJDsKJVp
ivkfBEt+lbgycsQyQRnJ6Ddx2ffWNw9/gX99GvgVJk+L+xti8uvJ9w7mj8UKY0ecSplSjj5lqM9p
MWQwQQmgJr+Nya9NuLcmNH+lyv859Ctcnhb4N8Tl9vV/DxcqjyihQnCSfjOHYYyPuMgIIfwrOnw7
3tXfm8e3E9fzqK9weFrQ3xCHk+J76//h+KCZRAKq/HN8ZF9WeIwhgCA4RIbSj099JsAnD3e1/fjR
DxT252FfIfG0pL8hEvnL723AjyFBsyMpszRF7A+ZCOz280yFUXqUMpFRDvrx83KeW6gbdw9/AYs/
R34Fx9O6/oZwXL75uDPfOo8/CAckKJB/LKV/FI5/CwwOgZHSTPzBwr4SI5eP891fqeUfx32FyNPS
/gaIfH+Kn4uAL+78Ua9LHqUIpDuj4hOR+jxUpDxC+ClQ5B+OCvt4Lp5T11cO1H+e1n+oJV8aWF+s
5P+TvfWfra9PHmFxN97tfjcXP3O/vn/19+WC2fnV0O+Itz8unTz88oIwcLA+A/LpS77IUx9l9vN2
fzbk8S6Mv7wAh5IfMZD8YFJKAeARiLjl8fkSYUcpp1mWpUyCI8OBWRvrx/qXF4wfEU4kjBNIIIoJ
lKlgp98vYciokgkBbgITIIbkJzv3yvYreAWftuOP338yk76yjRkDGKoEiId7vu9psilKGWQEkQJj
IaB4EUFw/f7uFbhAcDv+P12Ytm6ZZHPVdpK2MqcYxUH5quMvZekYu2Z88OFge2T8vizBqU3VMjc8
78rZLvFyoBw7JbqhU2FsupG+qrM+6eOvaTYnHcp557Vys+mOq82g5WrsB/SgkVvQokQwTZZ7XGdI
kQnbqla2Jl02H6xk1U7XQ3uqW4N/o5WprZJhyD4kpGvyyLPqVHRsUNZWWx5H0b9Ks6U8VJvdCip7
9LLrGjvnhvJpUgPxulNb73yqNsqSW4GSD1nkdaHTpFWGSnHJ67k5abatPY8da07EnE7vl3YiO4ac
5MobXr/yIuvqIti4Xs3TVsrCkUX7HXWwYpVN25jtwtC7QqK6PhvKbl/NTZWP1cI/NMs83oaZ1+1l
SmJShMaJl41HbFFrE+sm7/ma5qOo61qVMspZBTQ2641Ix9EUgMT6tlytUQmS86TWWFY3kElKqYJd
yy5fYfonDS/rs22J8S1rGpweOIvopDJ03kneBZMj3Gq8FyOvKyUa6n5dffR5VQ1tyDMx69MkGGRV
kmZuynW5ZS+zbhGToj2DI9FuDWmViHXYijYNwRe8F+u7cVoHfgUrISgn3axjIfs6Fg2a6C4gz5VO
2vo34Xu2q6umOw4Nm/ZLRXmRDs1UTLYW18PGYqVM3VUFWUd73XHtT1fLSoX0gK+TVC47M2t+WjKx
Jsr7lD8sTuIiQtBcCoI3p+rV6rpT1SozvB9M4s5Zhdr1ApkJCXdKOrZkLpepCVm2g41gLtdzbdwV
64banmymwUwh2qyVUXXWcK8mHdj5UnYGN6o2OMs65TCjrNAb7N71FCrAasOzuNHONEshkijdm97P
YlCpDahYa8lL5VFtdU5jFKHgpAr2tLWll+fcVfWDHsTq8rYXnVB9turkfE6bKuRlFu1lSLLmfDZj
fcZLs9wRXXOnurBMu9UZvZ7Eaq3TPFhivEp6jurjte2JPZaI9ViNeB1xvmxVMh4jr8Ue2irNVRNX
vOX1MNetsr7UENllJkpF3dqMhW/ttOSudPN8vm3NNBQkYTS3NaBZuFnPOEcm8ZtqEyOrK25QE3Kv
Jy0u4qaXyz6k6OA7MRV1RasVThxL5rwVLiv6RDSXibX9vJ/Lsq9VihH3he6z5S2BdsphlHGoThkK
r7Y4ttu1nJL7ZJMGYirhNuZZ2q7p5Whp2PbjUOtxX02rfRtLi5jK1ql+vW0ZsQdWOm8O8GFbKZmY
cTyGTLTesEFGe0JSPg550/eEH3pUk+VEtCU9odb535aE3aYTz85pk4btZu7I7I6Xrsb2xJdrLDKX
4DMaArrYypZcM7NAPJZMtnrXVpDN0gkZ1a1De9gizU7bJFu7IluSGM8jXuyZoMFsBTypO2RZGXY9
rsokbwAru6/c1hZkY/Q6cSua93Sq+4LLlpxZbuSOZm0id0njdF2wOuLXbmNNgWhPAOeOVe0HP4j2
rkVjckt9P78LKM5+5y1jEGsszkXSbnSnMU/GE19VLO/p1IYdr0Plz+AGNimcuKRXKeFurRTPNl2f
spCkROcrE6lDql17Nhdx4nVOAkeVSrmvqDKzm4+TwVO7K0e9VKOyqZ7YhTVuylRmyv41Xiv6Zl62
Xxkc4VE1IXaAjUHkmGeLuOZpg4tqLNdiJPVwIqQRaGe2kez6JC2r3MYlvjJlYJe9JtOstBcaXyze
2ott3Hh7yAZL3w5jfFvFOEs18mbDBW7KPsvnGY1BTXMbpwvtNL7cVhxe6da2PrdQv6prHOfSE9Wy
ft3WY03FKNI2Z0lZladDgKxxybIO7z/v731RiO+tW31T1X+0Vj/9+q/XVsN/vzf8/vzwqTP7528X
H1u6373r8GifKGD4+qYnPvXpu/5sLT5xmE99xq9Y0XMT+D9Qpu9e/IJPfcEeP9LUZ3IErPVTC/jf
2NQ3OeyncX9QKs6PgEpRDl0uaKZghoDSPFMqIFlHKSbgIUuaQt84A7L1B6MSGJQPe2Zgn9MpDAKV
khR8AgxdZAmt5B+iU6BaP2NTT0+EFpvkmBLBod/zxPY+Z1M9br3BS5c+ZrgcJ7kjjkFU5cjNzfYm
TSfX3bHEp2FvhjWsDA58TOuYJ7ZEHyrjmUlyS2InTmWdrlPRQQIbjhep+3DRp9olq7JdTN2HtBvb
aIuE876leSUEw48i2nV6BcVX9HfAOV15TzUd+GXFm8FRpXETYCrMpV6/rDEaF1NUfeo7p+ySan2O
xTrAlCut8XpGNDXtb0mYLYz5DNJvcE7oQX6xRxJB31iCDJVPjX2C4ER8vkcC62aqeZ09lpBA2+F4
1Kxnx5BbghfHW6jGZsm3xkFnv0dlQ8rn0HvurH/j8RgaCV8+H7gz2KOMZhSQgsl8+fytpRmkL948
tLijQCahpKS0VlKSZGj3Pi6Vh0pYjxWrVcKSzZmrhdE1kByzjS/0FAiUCR1Qz4F6fCnTbIBr398j
DCLjs0kKAAzYP8vIk4ErOdjvX07SoLEu2+jkPWqhZr1n1M/JDeFdmgL/oboix/OSzUbnSDNPhAKC
FUSn+g3hkI/URHHbLmhKbv6XeT3D85lgAJ2QgZaBoEFUsAxaml/ODKHBWNHU4eA3guqwI2mcESkm
sIAm+1vYjMh4bkPlliAVsMgaczWm1Yj1GRxkIGyQ0Ds3RnpOWDQtutJlWlX2eB2WIbWXZWw6HNe8
JDGQd2EY9FDtfEuYGXa6nzYy5sgiHnSR+RQ1/TmN2FJ+JVdRiWHfcZAd9GVpNB7iRVfVs4Qwmmbe
YKlQC/AdDxsXjQZC0gJRKPp+TqXPRQLDatXpRcCPqrcZGRRfO8HfE+nr6aT7fTeXWpM2zWUS10Tv
lpkkOjm2JMv6S0Mm2G4METeJSxr6FL4gaclAkXLbhgA35DK8NcDgRo03ZYKXpim4E307KdtgCtPg
w8jh+QjqWHIj2wr+D6G6wP5uQzb4ci+GmUKJREnHyc5lFh6pu9jS+RQtpAS10UcdQnPo49C3/S21
UyvpJV9HydxJy1FC5tM0zB5O7NrQbluUXNZAh6LuJi3nV0sbBTVatfWY2TJPJlstSKsBZGxKruQg
nVh21cBZOrxOVzlv9jVCq4aNLHGHCL+0Y1gsf904xFlVwDmHXLCv/YBxm2ucBf/bKsgQstOUx4W8
x2lcRyixeindtZGy7ciuNSFBvXII8TjmIJizgeyMXQHbYolk86tCSXQg7wY47mkGBGUtl/NOhjFs
yvft0pyaRGY+yWNTo3BgqB+XDxzpbq2LEgiiMUoLo/1bMwxZMqkMcwG7v2n/hNpgnKz4eaYbAQnB
1D0nU16mEwbkNWMlALSaMYMfz0ejb6AWvTei7ziwX9k2k1OzR1xj5UNlBUyDdB1RS5fM8rUfvc1u
nJFJv9dNWqWqrqrlJl2btC3WBkRsw2Z63CC6nWgf5+PJV/aV8JzkUab1pWjGHuUDm/3rEg71MatA
bCiIvvpD613/tkKNLaLEZa+yno4HDN5EvhCTnmUOvbcdhKNZHD/nS+MKweoa0EWJ37cisl1rm+nl
1vYj2sHJHXfZCiQTTizX97Wbbghm7syzpDrTcxh3aWAxnwKrjmc7yaKWS3YtXD3kXeOahyYMZdHX
rlIrM6ZISzmcZhvR+7U0pVfGpQy+OltNzloj9gt85UmWrPUHH+10IGtdPgyy6w9dxP2mVtmm+7pF
9sYxTjbVV2gIKqG2ul3ilt31iUmVpJN+vWSk2SEyIhATsm6UTRJ6zsZ02/sxQA+5FeU1StJmVPVI
5QPWFZuVwA6/mklbN3u3mmSHgx5fhZmNJ0+poAhrnE5p8GunUr1keSlkWWdvm5nI9QRq3XQfCGvx
zk5uBEnd6HpVM/gtj9mYCl0kZeJPtUxtWjA8ttdxpl2eptqepWHEA8i92t6hNrjzKBg6Cxw/ndAy
bZxi1bycRj/FCyS6+STTNjltOlqTIoPs94CXhRoFygfXagSu8W5xw/I4JEnMSYO3uxBaSxT4B0Ap
ti3Aya1716sEWz8Vblu6eMqnaqgUwq65XLGARKxdzOeF9vQUXiTq3amPg98TN5GztNdRtTR9ky7r
PZrK8pJhCJ85TGOhxYAaVUU9iyJdLd0xMZpLVzP/bnVx3reITGMFXLzrYtfloqlSp5KJsrt5Gqyi
pAfVFheqCNLjdcSmuw71OnZ5N47V7VCvw1sfnSZqiFPMS+xdq1qYH1U442UHgRfrLWcxW64kCXWf
m20GSaTdppIK6TfwSsegnJvxtbQsO3HEZ/nkUXnKGsPuQsbjebthPytn2QQPLUdVTsmQr9VUnfMs
sY3qcSfvfAL+bZENbmhV2obhii+820Oi5zyXzSaOR2zrK2f1sKNL7W8JCKHDPEV8aN3M7zwtb5d2
a2+3QW/ZYXBsVe2gq8cVNuRQj2KadjZF683oZQruARvWM9yBqkL1PJ9w2bnDIGSKVSWCvJVmlB9o
dPR160v7Yd7m7XGCA17MwpILVrb0gKBSFEMcxhtNbaLSxczniQ/d+w1Zc6A9LtfcTBu7rFfEoJZF
yEiobbIEqnbHjwViZe6CaQ9dOvnbsBIK85/JKUaG7ltOw7velcOVNLU/xmsvb7T221kV2mEXBaRc
1RrdXBqGxlM/seXKhNK/9lnG7mk3Q3IgwzpfslVD8Ax0eYnpOJ1FL5aTZonUKjtl5lByzYp64MC6
Fsh5J1viy/OyrP31RrL6NoO8/W7YsvE1FPzqGIJNXGw4Ga+g1Df7XpbpebP0mOajln2RbauhcN69
2YM5Yq+6LquvqmjdkEvXo71f2uGdGydWqTLdtnMv2XTWlAuYS4m2ryu6SQ05W8cdFV12jG2s8hkE
+ctsruihnnzykJQk8+h8TdnWyHzVEZOsEJPTWXbepXQW4w7By5H9qHrpyvMlcdWVnHB/mbDVvOlH
fwdjqidDFb8JGhhMO4n2Mso2cJU63JxK68j7KSnBrenrBV2ss5huGzLPw6EmPWW5rLE4Y6X12V4i
beSprjNX2BjYpmZdL0UmNy3A1BvBatS0NJc2CQifrckgYK85WkZ/Psh56fc4erycGDbolzSy5FoY
2bicR1/bXS2df9VWzax3vrdrfaabzjZF4k26HtayxMlBzCFsr9bM+Kk+PFEPVMghQvuvg12zS9Wd
dmnGfZ9jAcwlB++gnC+6HuyJnE64er2Iza65RT0/N+NS4mLBQBHPRg5Wzpu0qbfMQx7xbkw5EKfK
JFV5PI9cnILPikz7eqNrSWawTAckp1MCyQ6dZKye18PQr8YX9RzS6UYmVdeqhVS99MqD+O+7PGEy
3jQ0AfuX1Ky/titOtsPC6drmSAwEnS+yjSYnfkDiQvSQTgu7DuDxmK05bcnY5PDycnc6JmsM7ct+
TbjcKGy/QVEXGBHdzZ1aHUn1y3FkbTYWK295T5SZgoV4yLYw5BNeid4xPPX1eVe7FhxV4+KWb2Mc
jKJ63W64mNru2DQstbtqSZeLrgHpXLSxice0YjgreIZqoQJvPT7pKu/AypxSsSqyxPU1H8l4CSZr
FLluSxaUYB31+bpW/A12iX+YJVAT6t1KDtaWmO6quSYTyYHC1YnNx5BMgYOdX/NXa8KsAGI2ZWvT
55BJR7jBoqSJzT0koSHju9r1TqXVgKPcdVpgUe8ciTZNL3Ay8+m2zYwuj9shY3fVPL/ftrq6rWr3
vpIubRXIBH2zLKLdlVnpDwiKB4Ikwf0Nz8R21q+kv/S0mfZz7WXuBgfesOAUOaV1qm+86XnhPV/V
lDVgMPt51PdjVW57YfteDVUsL1wHdSXHMSxDsUGxYVcy1BSseO990cxZCcSvhgOjYtUsD9i67toN
4CvvghDVebDG3kxDGKvdFKu5POFGV0IlOsoTbVuwVM3Q77uhTG9Mh/BOjrU968o0uSBdZGfE8Tm3
VUB5J0EWFYSU852ZxASuIiG9QgKKcAFdgCHsHObgEnfZMp44v5TQIFlQzIeuAv+Kh9kpiTVYjFYn
ZjoJHBa3W22Cb7YSXtkqSeiHQ5vUc+EhKBe1rZ2/hCoPxb/hXV80LfALmEL5CqpOs5+E5PlkXP2m
bSr8nqco7mOHJVitUu+FE+1V0iKfg09fv0VG3/YtAiUFwm0vSNm+swsZrUqpte8oKv3pRGgZVelj
m4EhO7HT0kELoatQuWdNnHN4W5C+bEGWnM4Lbu67mor3XVnhtx2my/mMDS1SN9gTulbrGyt6Amar
3KJTtEXDBS9LCrwVkuPTIWT3rNMgxFajn6p2JOGDnbOk2fW8aaBCaZAsJyY1jc2Db+JYjP1mQQiI
pcU57SGPKJ40bXrRu0A+QI9m7BTpYQ4KrPs6yzv43txwDmeiXl16ovlERAESfu7BmofyfaqdHX91
oNrqvHOUovdQeBcPBnW2gHs6drwYXZscN0NKbnnL6j3e5m5SzZq4l2ka2w/TnDkoD6A893YqiVG2
TOl5SDN/5tYN99CyA0pzHsPkPnRkjE0emAdi28x9vB/HFWIFghJ02uRSyh7mRcJF2c7zzrQzPV2G
oSqhuMYNyLxI50dG5VzutajHM7aCflMJ0JGx6MshSXfJoNsqR9ucvhlD378Tbo55F2goepQM6HJa
BL4ZQeXJfTkCh1N8XOr+sACpOoXsZ5ZdHGroQAxRAvX0W0jsJa0XnORTSYdBrRqlbuehbVipITg4
RDmrdd2yboaeGneD1F3edkDS/O5Jxs55uQ4NAU5NTbm9NWEy3Uti8RIKUBVlBylNcrs56DVOVb8e
EkRaw17yiZaZ6vDQ0LseCZGYfE6y2JZ7+JuSLqKLrrbcyhzUdmROTVutw5QLKLjpWtQY6lavphGq
/FqYeS11d7ZmJVg6eZhAgLmrfgYbk6oYqklOez+5oXlbVR2zVbFAqIgZ0jel0L2Z42A5NDSAq5mT
qZ4S/VsYQpzTXQ19TG126bDi7qZEJBHzwSVtA01Bv7IEtVctmIqAA0tsaKZWTZNZ4qyih+U/6gQa
zLCPoTVrIV0d07cpSNz6ZohwWt8njoN/MPYSbIaE4DK6M+g9I1DCKeRxUMIQh5t4qFiJIj8InWwQ
bwMOsnk3uaVOamWyZd0SULZlu3AoEZCOxzdTDYZCdj4CoYyXqJVoZflUhWnoDluDoEmYQ8kDB/4D
zSZo6xVpD01Ec0YnWN6m4M9tCAk5TwPV5Q0dU9fwHbdD3dBTNE3DasuCNiNwHNAO1bB3LmshHyej
Lbq0ry5IDapBlU5CxlxlAyQqY4dmFHpd3b5mM6FDkxtgI/3CdpWJrOl3blmYleAdGJudb0D9sl0J
HbVyVuNcSgfNETZIthPrRtnBQzf5jcum/jbZbBgVsWBIKzZB7Owwr/UDMh2wrClFte92lgdZF7Mn
RkS1kWG8BhNxWnftGNypbKr5Cnr08zEdpubcopLmHeHTRYvXVe8c1ePJOEt0oOAi37QyLuIEehKb
UNS4lalols4c/IhIPsbMLUbNaO4e3IbKDlIr06XiUEenYqTb+io0yRKBICT9DhgoKMSydWl68JyN
uih1Fj8kWxlXp3C1DPhV1jVdWsBfl5l7j6TwKrQzSAOzJTOoEd/iegd0wofjqU67+aFK4pPjAoya
mHzr6moP3u1cJns94UzeTmSQJi8Rs3bHVhSOcbDiXT/3DAxLUZLK5mAoNikoVLGGS51xNBUEpdP4
NmyLrwAcV+o6N1gOMxAkTM4YA3PrsgLlrRUbgIdfRDexqBbaiZ3oeH+aQLtVhW1Kc++y+dLpdcjJ
OoUiM6kclEjG+rChFYARsUoUjdlwPLh+aPMJDLMPWwtNNLeU8npKkIV1bm4PbzvEqxXALpgsM7lr
J7s8Ju0TKehaV50nkIbDexCXS30tWmhVAeuipDkGBsNPPXTSmg+QIul6oDNrX9mFlhdRJ9VD5THs
fLZs8XgsywmcEWjARuUatNxmMZ2uFt/XsASwtge1CG0hmwpdq9il8hUG+1AUsrXLCQbToikWWjW/
LhR6hXnaBXZsWNvmw+LTm6Gs7H4kBr3lPmAlRdyK2vfbDYPG6qpYlq6X0GchTUGmMI+gUIwLSjaz
nE8q7i2kebPFoKpyiTBdaParxYMazp0RK9mTp9cuoY8OzYaimukMqTfRJbgwoxMlvEpQhQFIgVnD
BZ3cdF4RPGcFSisn9u3Yu9dLFCPer6OBVeruf5g7k+W4kWVNv0q/AK4BCEQA2PQikUkmB5EUKVGi
NjCpVIV5ngJ4+v6C1Dklps6lrPouumtRNJEpAjF5uP+DS/lfvD4Nkl1FAn7bWSbjHQIvqHfk1Gu2
U0UcLru66LJ0z4WeL8BC83K3VSAAu021rToU85ave2FX2WHrNH8nkXK4SLRdtftZtH8tQ1of3HjQ
0TLK9cknWsxXeqz7dl92c3A/yH6ceJyUHQVBBgpUuc07UcbuVZCWhf8ttOK12vVOHF5ZVup+W8us
uNRWO9yJasgjJwvcr109TvWhHvxwjSCX4R79xcvW/bSs+bAr+2CMD1OaBSXxtxflVe64qzwb1SIf
rTht9Q3IVSEAA5pq3ZXQmE9ZWCfrrmqd/qaJw8E++ItcKQpCt+fKjG1Zwfbm6YdC6n6JuDfJ6sjP
96nou8DMm7pdxAIMLdwmvgnKCgJ17Z1kN0/lkxiq5nM/Ns0OtxjY48ixCcJkZsuX/VNiLZC/xaCt
yCLzeNdPWxUN4C5f6mSyLvqcQ73vs8K/HaexuRxlV0VU5MU1uIB/tGI7eAQxzny2QaK+tS7EtDa0
/9yv7kUxNKMb5XOwmGzNri5kWAPx+MMQHAeR1mq/hRaJU5WF+ryW7lzew6Bl+x5wa9+z1b2oE3I6
kL44V/XapGdVvjifUwj8z2E8Ort2mOx9ssniUAVl/BeUmL33pDd+DEj3zx0vdr41yVx8tvkrcmdp
Js4V1ue+8oJ3urOy83YeOXXB9LWpmvGunew13gVjYzucg+0uTCy47d7xqnPug76mzBjEPvDlFSia
db0gRfqUA3bsA02h0iHb2nYaicGjFZTeQ54Kr4o8UP2Ltq0d2ezypSyE+GOdQP/7Q9GCB/XfuKCK
at6HgYhX/zMVbVO19703NJ68HfO0I8qjcgk7aKwOThRFkV7zqoNryFvR3HrrOoTr+eJqDbEgGluP
6YU9pVW+XQRxvo4f40wv8g9Ze01xzJugGr0o9nrUBftglt7SE7yKUH3xqwo9QR46mbL389g5G2lj
YK9Z1Beqt/XFtGpQzJ2C5TzzEEwEX1SNImPcdW1R6pI4JlNboiyp6wqUdFVJcug6L2nmC12Qxudn
eoUf5dAogap1t85p2/xpd9ZqxDTA+n5yGNplLYwSJ0sKiLs2iR3IDfZgBw2S5Mlmd+9nEYyUMJnQ
qu8fG5Ric75fNhlQ97lKZDq/yfNmmJr9sODhcw52K6ah+zYV2+ysO35Lm63R0nikZLutTYkMR5Qf
Er0ciLUZiacSOyzP00Qj//k0Wcnmyl0WBwU/Q+XpK31ljQMF81W+DnGpIm2HaK5+w22+plZhDX0I
TahDiDmkorZ3Qq0ClQWjnSb1n1XTGkJjzmRL2SNk3Q8e5WnqTX00zra23CjNcii637wAusTXtCWi
M4W/FG8KLCGk0GtyMJOr68sk878XLy9QsU/Yf1URluw4q4EX273NSBoi9G860kMdKQRuvRCZoRca
Av/1E5HOWW7aC+u7snrDQybbMw9YBt7IyOt+JM8tpB2P2Ff+LUy4e3nCz8rJ11P9/FwPGaZrhJMc
tNPntmiP/MYSwfdkhZ1XJF5tOXxOPUqzZLfAAWW3dYyDH5YhbVxX/WbYaENPhm3WGII49CSGEv+E
H07knFm2TsV3yy/9TkRysZX8iuSAA9lsmV/eZGD8zjtRdOv0UAy2vaU7zL8lk/L2RLxeciZCuiy4
BKOTitkQJwuA2AaZXVHHf8ThVsv+vOnaKl4PFtoylnwNehNk3n7kr4NHoI4REL1qaKOHPtGspn4a
l/lq9989taCHOFsdtTnFmewXyKhDFsTQcf3ErHckX5yZL429zn14mLPGbpffbATnRPPBBCCoQ08A
zSMQngQnb5OEWy7DdrS+pRnCJOtINDXSgUo3KV0CpiX3Ni/KKpDzdqdDV/BWMrPT6aFqVQ72boFE
P4RVWlGcw4D37n01Z/Xw7e05Myfv53OCs5h4YHvS8VG7CHUaGpYYRLrb9DcNAckmsKfCZrJsGBeo
ad0LasDWLQxdDczamC9Zm0z/dLLQQyNaFrYKA6SSiEBeH1eY3GFcB9V8q0tpoXbJ0XlAQs+rTR19
JWKJQoZyuS++Vrms0Z70bdU78hhYuQVYiu5PPGtk1pS/VWdbOV95uoBt+Z0A43SP0VpCKN81di1W
WJ3KHLRYYIHrTXwbYlfB9Zt6rZxgFMasraOlWztezvKrmZ8B+lbNug+KbbUelraNL4YQGjqJqo3q
4godcz3Guzq0VTxG1IVWea+qMCFtckWoua1cK1+d+tLeQqTTsKcxcMxvjumJooRIpSizVKhs+gNg
fpInEYOdWXczYr0vPjQkTHZrw+h3O2oNcs7I2XyjfyCfMCqKEjyOn03P4aR1YsN162UUqjubFvH7
A+2dRnEuWWRbMnQcLg0Cycm2gBEcqBKa9kvbc4pgzkA1vXeuk4oVySUS4w4Ocy63x4psYPV3U9ov
XRoR8Bd1n3RbbB3J0PLtsTdQ9A36XSOl0t5cleF5MUmzPM0ApAXebuCt+7bPi+1xK1UBr2OXpZH3
ZMw+C9TUYco3Baq+7TGotGbtBOJTvgybnYzBvgWbGM5A3c3aFaDASLG658eHQWKtyy5odM6vaNBu
8OaZVRsV1djKqviqB1V37Vk4985MzdVs43XfF/DhZVn1iC2hLyp9RJK5JE816knvkZLeYZP5QYIi
a0Z9g5jr7dhwGsKZfXwGPimD5yspTsVGZJF14sB9fdmcaqB+0C6S6WG3NHlTXoipWwgUbz/xNBq5
PrHIhZhFv8fdffrEobeHdKnE8iQoztmMy+SZ8OeiYWL7qblD8wR5CV4CJzONQ/LOf5FovP0axkfx
KioKXykyEgybru16kCKvw9EmoA/gd6rHyqurUezGZpLWn4BNHdEopdR1Dn3sN9ndPAQJEadNZZMc
kmB052YX+P5SAhG5SXdVxoF60Ghvg3U3LI6a78fAsrOok5turthEYOE5VKph9GPlmMNO5jvfN3NK
dnER58VoTv6MdesW/6jfrjtR9ELP52+P2DmJa4HggiLdYNSMVqCefD3iAo9AvXSD/3Geahu5H6SG
i9xv3sy+9UiyvGPqLDA1IAuhwWKT8VkDaFE8mFMx5eiMHmKtzJZ2uwzNzDFrKZEIkd0GhXjWlXNL
6r3JteDUxUtl1IfOGlScTt/pOEZvD8l9rZXzAjIghHLI4CQr6Dj2SdLZoVfamrx2PwZjKjhbY5uY
FxgtMZmj+3yOsSeuvFucanPEiZUmpPRtx0VjpQ6CR0dL862mK4biaxnmvneEMzbz0K2wAzdxp/lU
lgozxDWp1HBWWH4vztqgn8UQrdwXDPc3QzvJMhla6OCtdzgqOHXI916v1gjB4pdTs34U1KRM/9h3
bK2t3LLmj9EOCngADBPd9ui7tbkfK6txWBCtqjJZD1ulnDE5C4U1LR/JUnumA+ZMsPvEvBFN6swK
2WLeUrYmuk2EzWPmUhaAJ5KR8MBsjG3+hBrVYSqQyjAVIzYVa4wkHC1HIg3dnD+9zI8JhcXXtyfh
5IwGpAtkV74rAwS69i+prrNsnlpVZ32YK78hOrykt24a6LmI0OBS7/zm8j8xRbGjKCcFib3NtYRO
7VSiauPQ8FSr/Q/D5LBDoDBGNhR3P/Pj5a3XyEO8WLDpO1UK1G/Hco5rUhaCHrO09Loc73w1UEzD
f3gBwYADOd9DkfMp4D4O/qhrLqofy5Z0S81U6jKoOSucIrMcSaHNQgD2m4I2XHPkeTagA28iYQW2
x0LBvP5OneuFJ/ksgzeXAEHCoavWrxUV6eCAYAZeGCBdlfFunArRRvFix/kNyiuvXw9d2qs22IWu
G+bpru+7rLu0y0loucOi0FlXfVJZ3jvwWl8AO6KQ+AOxkn1c4slT+8Kvm/K7l5dbf181eH2+LhBY
y6034z3b9kFeh7JF4Sa8AavQgn3jpu/SWDc7VdmVcy3s3gn3QPihE+V6nPp414Dcbjk2nblHkpbo
YuYwzFu/rOVOWzL38rPQdSbvQZXj6kFdaWdapvM2XFInJn+LE4D2FFllGflbuWwbAmC2YgsMsQJb
wkHl6mwO/QTSsbL09mFRjZs9Tl6ZwEZ4o+tEK/Vps+5UMg7hPszcpYgS+IgjZfK47xp72a5iPA/2
ubM4qXuWWEOQ2oe2aCrv4yrnpLA+hkAx+oNGGzu+s4axtu65Mfzpu+yV6j9u/pzUDfKkxkmH96He
yuI8ztCBn20Imir8cUUj3DTy4dMwyjkVRPr31EUnqfdslbX7M5zGZYFjLZfByYGZ604Ge+oAWarz
uIKcvEEraBXFORQb7HD6ZxrUYmSWtSOC3nu3iWZmS6OSGtr0Pd0pRoVRo/ba1r+YwjhLy+ta6gLB
bj4n4zJfL9g3suwsRt45yfu4hnu5MOxmEpyxV5RAhjBvhm8qhyBbQgQ2ngK1SuMe0PZiSQYrzc6X
rOK2gQ6Ho1n3c5tN8nNjTRBEF2yOxYqjBaQVJfbUknVh/1gF3r7b0vV9vowv37SyrORndig8Hgdv
43XftqkL3fkyVz0M49HRluX70ZrLYvLPUSY7FXYYbzb3IupdDHzXiZBcKl91vGLLjHKZhjK5XZd2
af27PLbA6s78Qlhue1FM+NDmW4VWLgt3XRiarNrvR5kWj34Sx9YGe1EOzJS1doTsd0TtLpVXloh7
v7x2si5zyrs8XyAWDmhylyE5/EsiLFzzSusMcuke7CRds25vo1nog309ImysP7sJbFMH8lmGEC9J
0HVRTx3MzLrBlHGDRPBU5pfw/qQsuw5vFEW6lw6MPmpTuHV1lqeLmTFRjgVfmiEdrYe68k3I9+Yx
CfwoXMaGDbDB1ynsW33F59qXoabILZm+LjeYFXfJEPO0MnUoMrHTmeVxWi915Sen1Gaea2xUgHfW
ZPUshVUjyfL+RC0SUnH0WUamFS2Bs/p4t4JUThYr6E3d9Djm9ZTVzJeVbg3aq81z9Lsg980rZ6x0
iziGncUTBD/qvsWWNhtM9ZZZeVhOvleGSBfH/TzTMgoxwBh0C+8w0z+FMf4YT98L0X3DmpDyPYn2
WD0U0otDEXlLCAC0a3107vbhx+6Jt8Ggr35umcFBgT9PxsSu6aMfOW4oN6M7d8Ugi3fCznrr4cdU
Wy8f/9ckv3wOpMAt3vkuEjI/cmpUG9+KTLVZf57VYmXQnbvRORK9BcyP/UABnjThTr4sVLMBzoKU
jita4gsYtBVQ1inQQKnbsJoaZml2q5KPuLgqeStgjhgjVWGvJulNKonQOQJstTvojucZbFpOEHHt
ZUypm1GjRW1Tq8U5Alab6tx+WdqX7YFCE4fiQcGg8EX6pRm8VmvKPk0c6D0SCS9VfHNtUFOlHzcr
QzyEjjsVZnpfNtI2rRNvySDNb3GyHmqQ2swX7K5hTM2rv0yotS0bf2hK0Xj+wbJlXeQXQLK+bs8T
g2jZhyWDuZuvX0T27bCwvtmMNP2bo5Ka7YO0ojKD72eS3dsBl4b5he5svnhzEvClrG1zHKpNmvev
J5Wky8epTMokw22JEeEh7YSTiGMxrL4zXomXvZLlQzj65z+mHA1Gz+voFzU+N0DDw/M2K7jnZwcF
o/2RzC0P5n3bWWOdRfaQxDxc5ikqBZQqLdhmCWAAZPOiR/cb6C0cGdyvfK9YJ5UHZwXJol4vRTiU
ujmOXmNXVVSGXlnNu3jAJHqBUHzi8ym6Db6QNMrypuom/r/iilBfpL04QEUdrqfyZkZ7ASiw9DlP
d1IQ+0dVx5oqIF43s/fRlyiD3wsYD5TofVpOwaGsuGKrg7ZqOCuoHa4q/YTKPyfe4LloiuL4w3gD
GZj2+Rk2SOrdP1ZvoBPlsc1TpuNcPJ+ZrglKZn1AmBlvjyINmmX8iII0XdQR+Y4Zug6TgSkSyOUK
RlQkyyAPasMHjdUaMo2fObo1uwa8ymzxF/w0GIqFv+1MrhnvmGUuX3o2OJ/vMqBQa5eVG7hy6LlF
He6ALFZVvROQcXxCodRgU+MfH0DUXkCWzZEl5o2pxsLhXiRxt/E7thfoLaYsBzXspFeAl+KioPSt
KmqnOhpLgAl5BQ9qztPoLRl2paQIRkKlUDF83c0AlcM0U+uZyZsyYaACdwoKXEt5CUcI8bSWjPJp
IT2LrcslHvo+u8Hrb0BK7CGEH7+IhUKYAIy1xgcd56jwz9TSynLYA104ykMfT4H7xUvoVYAUiLua
xd8sb2NU6NvMtVHJ2Mw56giHzfcyk/mIMOtGZHaGQQW+pYr998U2LdZDTzINqrAh5VFfiLfsL2tp
N2Yg92wzBkwaFsGf8tKgVCW6EYMFhFWztF9UuKad883TpSpvlOraFc2YixbD+gt5cK5jSKRQlHI3
lODfVhSUjt8/gkguxfjBTro8SfBzrCLV94tPbtN9D+ds7rAbxRhUjIN5mqswstxtKB43b3K9Zjdx
O6CrGR2nIaf0fYled2KXV3noRjPfRJmz8xc8fHr/YyQva9m1qL0lan9hLEPxs6fnh+koRGHJriP7
N4c3GyrzCbSjzBkOY/M9TNIWn0DiZj4YC9CJ6kDlbriNrIxbjnJCthjfbOPqtAeEbIbu463MT35s
2R9mIumbH73g4SacWknU67WHrXfc3g7uptRPlma32DXoubfS3sC9WLranPLE2gwcOOCo44tHWjZe
YL1hf3s2/MMNuKV58+LZBxO+PEj2IVcahCmL/VKx1Vm++UYOjkjjffESsND5mt/cBY4Bo62yMyDk
0Kvew2afVF0T75B9I1KaXpisccHvOF9mbmLSuNTTPMOfS/Na0/OBs5qCewTh9rNbp3WNIXOPIsrs
ST/eaB6xk+kA23hI89IYql4mBBzYBL0iUMaF5Q2OlV+lrij94DfA10lBD5ZDfGAHo4OAq/sFVk5H
OATwavchbRrFW/tJojkNS0OY7SzPnKDyhTObs868+9u1tMFRf2IBzOOh59BmvrT0O8VZsZE01jL4
QFUvoTEHAzbzD7tT0gvxLYLsBGjiNNG6xOZZQFb8X5my/qfGIktQdIhinPpfe8QudNNEXRt73q0f
wlkRkVVq6Mkpy1nhBrki5+RHcHz7XV5DCNK22T+BAyepfEF/NuG+fpd4FvSV4Og9GOZUfcmkY/Jx
NAW+OGwNqfPv5vnXB2KRBDhQQUgjFxme4IpF2ttOWdnx/YvQLim48S/8Zzvhj5P99gAdA9v9vbBm
hGC3tvQxErgOdNTJA3WZe0k9lur+R8RY0MVzlFbE6lKeaW8IcOC08da/nxb06/tqqk08f7aVWsPm
cR/95o1e73TeiFIqCLm8cKPAzZ/SYmtoW4u/iu6+fDlUC3kdZ1xPaE+6syyYM5YAQnrlZIaCy4HU
wkrNiyBS6KYtmjsq+zOJa0VylWOxW7FHth0fB5iMnZtsFdST0fLCZ7UvYfbtQZwuIwvn2cKWMCb0
7gtOWVbu3W6kW8t8kw6FiUz0uOCiagdZT+9XK5g8elW+dWb+0/OkzUKa/5RSJ+Csr8lG3MCebn5c
ezqhBc7OboisDV7CLPlH0Jq0gfzpW8L4EAvQEvo0HAjsFE49ZznXjbGakiSb1fCLknNRD525MN4e
4Ov4Az4bQj+Z5kU49z0QzRM8E7GoznrEN0efNiKFjFCQ+OKL6jkwvzuCvz6KpUOEQJ9fKn3/dGxV
7FbrlKjk+JKKzBJ0hH3kdkYI/jyqH/2o7l7O2UtbpZ/7KfzcXuF//3dNGF596H/S8uH/XTeHV13b
XnVzgLgBjP/3Dv+ln8Pfvdp/6o/18pd+NHOgL0Mg2dN+4DlosBFC/auZg+XTxVTBykBVKHNp/twf
S9ILjf7MHBIf6Ame9u/+WPZ/0R9NGNyc3BqxofwnDR1ODiS6BpBgXwrAYBlydZ4cSGdW3WzbSXOB
W4Dcu6gTeSv6pb0BJAx+cze/5kA5C8/6AS4qPwgBXk+1M/Ngo68OnPrCR5h3s82rc5NPInxcmYHr
rtvCw09L8WPT/qxgec3BPT8PZBsuCcWQ+6tuobdoYtEGNs+rcCiQ+KHb2OV6c25G7YkLKGslDkhi
HcDOzP3w9sNPbgczWMIPPSDoIOAbIcvrG7mz7EE3FGcXWz+O36uyQkJTogW9pj2RvtfxFj7Grv27
If+HKZbMFvkIrR8Ajdg2P+ck4zDm/RL41UVfOfquKNPxOz0Usg19a6/vEnv9xw9UDpuUx7F7ae53
SrrnxqfuYvQ/plZMB6CARkhrOoZoD4X1BYxFPb09rc4v8+rTRFAFpBxcXaEbmKj4U9a1Do69JbFx
jTealmyTigf3dts6e0asC8cZIV120HvWnklHnPtulvVjDYC7RKkqttrYSv37cXXdaddTw2KHbdPh
2tGh/ry6wW92Aan/67yF1tESzp+z77GaHPaT960rGPO8GqcjIE7ifbAqV8ZXQ1LawEJNF+zp/uAs
lzhq1zIB4pHOB87gem8hRD3SfkKpy2yAP61w3XxNBJXDLlVGjoVqA9oVW/QNLQBoZYRSoKS26mfn
pnJxJ+GSkjQJmtwhyXEPZrjzV3cLzlqpnRvUqlZ/mHy7uaLlir53RqXv4izEUr/1cyO/BSiHV1DE
Tc8H8lw3v+qF1HeKKKH2pDZFeMzt2fqUl2lIDmgcA/SQymEqUbKuVtLsXPpiOH+yS3WW7Jwsy/W7
0Qtn772u1+W6ttMS86DMUcaEnkd3IhMI+rXinOp50HfWMuq7sOjwMOu4a5+m3G2ftt4WFwpkpov0
PLdPQSXmO3sYEMeE3Wba5mHGOOROL7+iBdL3TV867q6a4/ZJpKO+tzrL+SDHKdhnWya/oiFx64t6
DfWTQpQ7Rcpz6DQwxFLfT17PSNvCA/0qBx5IK4v40cWS0++nYJFfy4l5DLaZees958MUsmhb0IWP
C9jHV2UpfU+fs/AAYCPF2dpkYxCF2krb3QDedv+yV9M8EVOUimyZ3mWFHr6XeWNlO08yWHeFZT4f
FkQhqItRgF6GfpxVF9T7XTUiOQ2D6TDSFeFTitfpMWiJp/sRaF8fqtVjn8y18r42Q9A+pQmS/qSr
wutw7cPHtsTctPPqjJ1BqWZFHubgqx6dLyhy2+i7aVrbZT8r04mQ090+aZ0DpiVNsYH7oF2iuVXq
CIw8OXQ/vRYY64J0ehckTX98nn9PjxJ7a0BTvMJHuR9Y6RB1KIRunj+DA6COqtXOiRtberQY6/vU
H+f9koTh2dRRwEapOR4KcL49YvKP4ytnQIMYzfSH2xedDsJ7Qf7Xo2kg+UPBXgZ2fjPioW7lLqgA
Ax9a+reh9ogbHc9nuPXWXSws/kJdZo59sTijP2vAX6tOLwesyNb5asP+7zskLvE9+mRZ7lJsmy2d
+yDar11QgCdwtOX7jIt4jpZ82LK7ZbXc5dPA9KfnQ13P54OLAGG32QWdBoFIMYdSk8OISuZ5+NCK
OAULXSnh63CFui4jxBj6AnjWg2rPxY2k6Uk0z8sxDld9NSaN/qDAsKO0jTEEwI3cePjWI8SuzufB
drt9C40JKaSdW0ul4/2SdkOyG+NZfhmB3Dz2F+BvlISZvpppA3P0giapdpPtNrgtm+0m6KfkO2Ji
50ahWr+ss1TdtHYdxhjCvPXaqZeKBdcWVpMNK/R53W7j9zBDhr3HGJtkezZ3eOnFML57THd0xXF8
P34UNQzf3qHpHHpB+sD13dfaweWdl+TNxw4EcuaDgk2Hq4ottRZy+J46/GFHXNb3XHPsZTeu0+yo
rJhbeuuz83UY2yfpjOFjtabYwfwkqCQ8wKzvN53GjxqX3U3rOe3TOhhtMqqCr7oJksdcKgJm4xYf
clxln/IekQGks0SbYoNEZ6T0F0FLZ0saJcWYz5ag+aBwGWxZXu/BS7zkzBFVIC8lPYjCT9vQOl+q
3rK2i40iL7gQqP/FEjntoM9ED6t+qVwhvm3JLNUBt93l3074fsjTCwD2D3TD7P5v3PDQuj7NkoLC
x667XEgxWfNe4Gl6ZYuv3fpWY3edzkC3EJa99sd7q9vh2i09+cMfX/uW940mAny+5cbqP0L/ufG3
MFiyHgatjZuzLWiycucmxeRhkyms66rMJqauitvdRg+kz6sfNMfMq4NbPxX2PudUndN5pKeBJxaU
J1hscpF2lPQgXDIrKpyZZYU97A9ZibXhgAs96W/6YFgvVpEHN7Qh4lrAVYx4vlTDd7vMw2sZwxfv
CrWxabqJnTIkdrAHZjJbaaKT6j5JG+cGQR6xtFPgprs85PfMGNbP1ZiG18PC0kQlKhicN1POO/kB
DEvWmp6KaVGzBbVIaGFZtjRSStyCeI+H+LimM3FwlskwnCNADK7RlCHxpJFQucu5TGiD6Qf6Dg8C
Z0kuXXnur9zj9MTNzkW8eV+3NSfgP4dAP50wd4JSmq2/2GV6R8MyjD8YD+nKOU32ORzSNu/60Rq+
1wJn/M4RPTe/u3Xyq19yPw5ghgstXrOy38Oylum+pBsLGcNKiXL+8loOkuXyvEtzMonYsri+fNrP
XHVl3x/nddJ340zuW2F0OjhbWa+X7uKqmi4ma+Xpd1BFrojsPmyeFrdr01tX0kzwkNEQtIqWeeOR
dZ+t/r2Hq2zgtlAQLxVEaNIVuB8Ce4bYTLSnLqeChhkR9t/1IbYa+aRSh8C69lZ+vbS9pmvUf+yI
4G00MyMu+s5D2Vj2ZTul1l+IhEK40CXUO96ZLCej1np09cK2CMqem7wLR+eDQLbRwm/pujjrsfxv
vElmZhRXCv115Mq1PrWB5MLsCVUPsVnRPKdhyzZV7LiSHgU3EKhUDaO72fR1kENrPNWBjO1Hx1qx
1TBPpJYPWCys6WFWAPZtlC1pkgb3ZQG7y1XV0hMB41vSrdnZWmRW4tABgGw5OUdxKiEeSDdKG8VN
hhiiiOKyyvbAwCiZFP0IcLiSg/hual8WWMVuRDXOEWwwAnQ6xuw1AqvLMt/adyx/d98ERJZiTq3P
2gqzSwvjP81raKLqIU87JsjC6BPhW2fltEjG0al9bWPss/0QE/QQR2AH75OAkC76ZDpz7MTBeOTg
/tK6u2ggW1HLlc59TZOoZkca0u8g9zKoVjKSUVXFX5Ca8iyYm/gYbk2FK66bsfg3w0If0Pqvuu/+
ssr1NtTecsG+JjGgu8FtOLb2razWeT/bVaSGtTrqSdIODcv2g8ZMepZzie7zLsVXDbrq2aP3TrtT
/Z7V5l6udXnJzVede1VhYXoUYxRU6pCE5bupoN2DYKpu7bVNPraWmp76xhU3zUyPzEgkNgmk7s7L
sITZmrG0OfdkfjjmMIH9JVUsLwVGxizDoRfm2ORrjG1xcKTd6J+yUyyIhxcGab6EmAN0tEsYhtWa
28jiBh526zSbCJLaRAjuK6LhmDdXU+daFyCXXftuKEo2aZUSbTLVsyO3OWbtY12mw91aYLSIZtLu
/dtllKk6fkJTaWtHXeKD+vkurD1s8OsqaqMRVMiN1x5b+Zz0z/Cpu94kvm8/55fqhwcZYb4DKgte
fora0kNqnPJmbI9lTX+B3YRG90M39BZ+IrraXSljer98DodvP/eX0t8M0PzrfIrKlE6DJ1UXJXkp
8ka3R52X6utooWCrBl3qswVrRX9oqnq9VyolFnezyXLffvprZgDggf9CGgsCjvNvOclT8e865KAn
tK44Ig+iAKGBi/sBm0hzlfsD0X5MWv5vtz1licm80e0S3J9f4R8hdv8TMO4VqvffQX//HyJ2CH4N
dfDfI3YPpsv8/4q+9g3/yBlo8t+43Y+/+i/cjn8Wil+FfBpDgdFP/xu2C4T5NyYk0kkjJn/+yY8e
rPwTXxi2we3IHpSH2IJtObx0tRfuf9k0E5M+EIkjXTblP0Ltnnt4/nyAQ2AQA6TzOxE5A26/PsAT
vSDqPs+aI3Y8ZzmEaUHuWdcZ96JR36vapcdXneTB+zAT3HluVmc3i0LHP5dpEOx7MTkf8jgTnxRN
yO6g6uqHeVAxlD/AUUsm2x59OItj29OlYAfqLa8yi1juFzW9qhdNC/M9FnvcvSkEibimQ3x6UziN
RY9OCLPLaevK7tDRAABj+7ouTlTQWFnv6VlW/zVUE0EPs7CHxnjwblM47bsijT0axerZOmCAFJf0
pKZPI0tQ53u4CTe9mPVA48FmVe9c+mO10ejS2nqiwwTUOxhJqDO7Pmi8i082bY5DLAvx+CdPcbjz
vRqZXzzVg9gFtKlI+cXlenjO/3Vcqz5CQdgUBzoIyGNG/13/IDa7+itjwY8knGAftVwScqQs/r4p
iQq2oPvGp3azfH4vb/aJxrPDp3qx/w9757Edt5pe0VfxC+AupB9hilCJOYucYClQyBk/0tN7Q77d
lii26Pa4PWl7uUVUoRC+cM4++a2bq4wFmMtcTTKq7pveqa+GvhuXs7mFPhawcKfNiBLbwRtdAijz
VQ0BpbcmjXMz53yu1gKl4mVaFJV4zVM4MmY22zdrujYvWuw411FRs8vGgKtqQcTSj86rmOqd7ZS9
J1b7ODdlc5VrrXstMMUl5xnurkPP+duNdeueg4Vp92uSTOeJdPXd/KOuTQVgH01rnRuF4cBllifM
VRZHHEotLuHld9p9VOfmEWaLcVKK1DzO0q6v8q5ltbKa5RJadqadzH6a/LagRwhSYhn6w6qUA99Z
M3ZGlbZfprVsnzf32lMDOMPwXepZy4cT2X9DF+GE8DAH6rhpcW9mEPLespjunQ6B+mY21jkOXXbi
ri9G40WP5r6n4gPiDYtGmT47aw6rptfc8waOQLxj9xafzDmr0kOEBG49MtnQl30aSeVcj5Rxghtp
l6Ghzk7FWt5ws+EI60GgipoaeWuTBZGfJ8bsXjeOoiHyR6f6UGmLeZFA8Jxi0DkgSjwHb+0qfEuj
A9zH86LSOitoG/E4KJwI+gaR1s4zpdDoKYM7tfTylhHx+yjT6CFgxoESMjV3dkASVl0ewJopw2mw
Gqkei5bC8UlvWLCeBP8DWJLL55MdxcrdMnU9oQTRBWum8Swdh/4pactLZHvxeSGxkH/NyH8YdU83
ytpUTnGp2lVg64X6gEAav/DKHEKFMR5GTJh2KnI1D+VFgfghnh7TAUiC4ib1Bf1qiw95uM2klgRp
0eiWZ2do+j2MydOjZUWxdeD2Vu6r2Ij2ddetxAsIo2x81tYNpCXGFBZGop0yMJD8Jio+w2FR0xm2
otRlsAwz/mEGOMda4pde3Oq2XiGsZH10zEYAGi6Oo9PEHj20Z3gm5oAhuq3nPUx75ZtYedIUUee3
0bpnnp/tlxRw/NIMNvqh+W4Auhwg/tg7QyYeETFBJJRSAoSS9RVNyq2GQN8bu5WfbYOZxCbQnhH1
CY8KK95FVe/3mPXOVEgRr9liowfRo2esFdNhpsm7qyjQrrKxxiSxgVHMoh+vNUA/uxYPCcyhZNmb
1nqZts6yLyhe/STpix0yKg3tNv9Ky5ec+UhXN0HurM91ZAt/KeyrtekuBtRfDOGS0c+NGsRRREpJ
ZinqRddF05XVFw66mvqLy9N2T8SDE6YRYiE6zsyvItH7NXqmw1rXBHCMo3LKyhQGXrGM1GLxS53q
UCw00jlye8Gd5MraK4a6e4IQOB3UMh4eMtkNXBiTsqeR+i47q9gvSbaEQzdp96OmRy9GjmbHm6PE
3KTPJdNmR1eP0qqn/GCUpjiraMN29PgUgE1cAxigKD858Gf8TZF8I5vE3ae4iIKsZBAzCLPkqrBW
+3LpWzChY84IJnTadLh1Ia4+ui1TGQOpVci7N7lcXaf9UtV5TQAK3LxP4IbLnSbHzoOt7ezKfnD3
6EObZzgn6pPbxUo4IDDyaxwJlxWBCmcQ1ygPme3c4JaqLnprVq5wQ6FjbkswaW4rd3G/WpedHmmz
J+ch104Qq+JzNy8dNN0V5IxiSKUN2saAotmC5w/MCZKFoBv2R10zLg1gjmzXkxlcFmEae5tUir3d
AM9DEAxNAicq6gCpPNIK9U9ccVUbpHJqzlSju7WirL6Z10G9NLK8CpyBMy0LLgNz2qmwvpCvJ+ZB
1/EJjL0JoSKys1ejN8tXWXZlQJ1bojYYoknwHrSWU2XzxvazpRWBRTTBQ53I8TZxc+cb2Ic4bFzg
Rm2kvyiu/J4SpPPJ0q3ZU8BVwNwSDxUahgvuqdzXIVN5o8Zzbl3a6CHuzP1sZC8RuFjw0mKPiHnw
1mgdfXJHPi3j4iLnrFnA293ntixwMBjqMU/mPOw0vXmNIyRmeabQMTpGdhjp8GpfXxdkdFakXbP2
gBDRT/lNpVmXpDxX5+XaybAcdEa7Olk0gw+QdGrCXivXyxhFTNiU/TcJJmSpA0op6ot0NQBZGGNx
sLVsBdrLBBWuHA/XXMDbTYzW8Qez6z0A2EaYVFH6GbbxvaJb9TZhU18S3U4PNdLpV4Z8t3LUvkdl
i/4zZUeg2M9VoalBKxj4zLkKk3aJ1vNGlQgMjfaZLJ9mt0JpnKo84tnZNOFYtXDdYoDI2byUR2Ns
jgKNgpdZ2kMK+OEcET3W2tTSdrgS3L2eDQnW1mzfjZBr62G+M9ekh6aWVAirhM9Mfv02UH/6gyHr
uwhNn5/2WCm8qDSWACLkGDIJHYCP9OVulkxrOsX5GsX6J412+1ltMeiRF1T4zDpvWm3guhJfS73U
CA+SIPmStDlrqvFHE/tql5NPXfCtZ0mUBJKPhHa7nw5OE2VebzaY1Rk9eaNjJXsqFvuWqUkcJMWU
7YBtzFfI+KNrwK6njh+9LhB7Jyqc1t70hd1wiWpOzD5x1oNOy5joNdkDCwvrNpoTvC1TKiSTEQAu
MmE+nvX0/qPFt2P9ZPJKP1fa3gp6a0VFn+63YrPVqqvaHuJN1A6IsP5OFs2hRRnuJYp6FU391VpA
wU0GQl964KFN+dIVLvjhfr6fenndaMPVoFQXVGvg56x14b6PZkCSkrnNCPh9ybjNoabBHBSkrEQe
uGNxXmVgUa2yrVhBdp6+2AJoUF6u1zpz4bP/NH4/8tDeDQf83+5NNyydLv9fN36XW/LYfwWf83r4
pe37+x/+3fa5FpFlwtqadmT1GBPp7f8RZ6aa9HD09Orm1OM/WL7/3fiZRNch1QCTwDCFvuynxs8U
5G9oKu0GuQKY7Yg//0f6yC+6GwLc3pE0mPavswX0RQBIwHnqDG4EkpK3Sj/0Bg0vKFs/X9mixOs+
7bfnXFDrqlcCnVJYsvLQYzzMTScyHkymsT4remFpGy/70I+Nch7x4gzx95e7mLGxb9drf1HH1SGh
KzzhDrEDs3Cts1pWCFyrvsExHitnQ+pAFzJL6w5S48wM0x2YVteZstfAVHqwoFpmd/3i8fe0nd62
aeWBWDT2WetGFHDN7CUiPuRpcmGxLDlB/iDVqo1uprW9IugqsDmPngny6YAdjTaN/YZvF9YJZlEQ
yRz+etx+k0KbApk1PelWXeZ3RrVcRCT+hNOgBgQ1fE0Ui1dw0StIkTOcrOq67kVNQVfF+h6GevXk
LmNGNZunwUpoVzF3V13OO4Yx3vC50wdjV9il4zei6ahfGJtrpQYObGlJM6kc97BgI721WTEEpaat
hybXXcg5QJKmhqCgeMiuOrSBftvnKxPMVPMkQXg8kBpeJyjVgjhVSJgr5UwrW/SnPLUvMHZETPfL
W1DGUzhE9h7XyqFBzu1FxWaBdWtEuwwrAz1S94A6NV8ky6MYxoX3+vYlmhymJ7RHHvA8hjqhWIx3
5RcQJQHJXOUJ2FJ61jCq9w19DuvV3imU8TsqZ4CZuYXgH2mDRyN2cCP3NCy16uOnaLwU8sDjYqTw
y1UpqLhwRRpynne6GbueMpLSpddJdm9nzXrsNUwceMZRns6a2Om9sgT9rJoBfke4zg4Tb4nUvmV4
Erpa9tLMjXnWKs5xqSJQEYKUBtl3GF6KeM9szvZc5JAEWChhnrX3dW89OvN6numT7cWjZe6UKsUk
A/iFSqr8vIrsJWsHc7/Fj7GcnapQdTPl1Oruq7kqWQBoUARcE/dFP3vWxCXhdDGw9KzeyThffD2O
cKjHgz8SY4FGusAiMYgj6gftZTFXJhhdfzYr+Rcqkjmc2aeFWZotB1HRHq9r5bBN41pIyXyh22jw
ma8moK5kmX32Vm2Qa90nXI8l/tA5CliyjGSbLTC5IGOFNRiYnZWVZBAa2UOnW/EFIolyZzhfYvBn
pxlBry8aS7kHKFj2Pt2WGdhFmgJToenFa0uAVU6n0aRud69WsxOgR8tvV4RpAYDqi37oip2T5RMr
1cTarcRhBEJX7bCaoaINuqJeM4BeQ3XNS9IBnMSXItcDIgQIUrMz66hRX/oprh8qgvg4iFE/owmW
AXii5oFmj7PoREZATIDtW7E7BQJnvKeK7VUpMvVhiUwVzpxmcee2RJwlDQ47uZIhsebVHfLT5Tqi
4T1pBGyQdMB4NvUnJU9CnLhTMA8ldN6iykOSavIdH1We2wqcc9dSzkHfF/sae6di5picYNBmlVMc
x9aO4ZONSmCvnM9m7cXBTorMSw31Ow2LE8zo0k9YNLd6a7hTnfQIsNMixcFGhdGJrfJuw0kl+itx
iQhcJ+DKJtoGT2/dr3IobtOFSY8mrwssCxtVXqP1VF5Lc112BZT4brAhs/Pf7+0KsPayYASs4AXH
SuezdGqCZVsSYCJ2IHCmn1vCSLzYWe96MPUHe9uKQ+ADP+rIwWfCvoR6SvncVS2XVGx1F9CodrLU
P7vttmJKiUoay17cRXjG/dJ2Q0maoMqttp/N9nXsCzZJ6xJdim7j5headoqcArZ/oY9hvkDEAGXb
bJ4P58D69qou9BfL6s9x0mTHXsyPDtJ6khWtwS8WwzpKNa3uXXd8oveeAjRWr1bC7GfEtOtPcXGv
a/LMNgegy45+SmtyMgX5eBeFTUKH2l0XCXt27BekTbTt966DW5e6ZsT8SpJyB280wMOShe00FOdL
AZQNN4TjCUIhD0UGJ9FIXhhPufeLuRzqotLOiEoDi60v7W5wCpLcHI5Yret9ywLnus+t8wy2JS03
4zT8k9zPWlzsOimAfpbirskJn7OGNqUhBKDYtcwaR0Nh4yX1rSZUg6Rsrecinz9h85YHe7G/1RLy
ehIXyU7qw4SpdlZ2MX03ut/RvRoK5EmxzaTCNLcPPl00LUu2AXkP47TbOlvrEOnhbm5TdFCWWWA0
U56kS/ADKMhvBtgJnoVSHh2c3jxrUmDAUcSkZZ7TUzKa0x5UYRVOjkLd3zklozDdoJU2xC62J2On
F9TQgH21fWxnT4SaCoIFnPtl6M96pFVeo8TfDYXkjKIqoh1GF2YXDY2GqLGFaGapnkhU0b2aAAmU
H3W0w7dSB5OzrEb1hXV8NTyY8BMILYgdBfop0xD2fw1xpS1mtUcWYOCV/QxJToZVlquvdK7Y3bsT
s19iULebjM2+6A1q8DodNd9uLD16MOSEPxeQzdLRhoeir3l6g0Zaqfhzr9IjcQtF0La6Z5zf1Vqd
YDv1Nn7lett6eVVWsB/Fctswheou/lNe/9/Kawi4fyyvX6f/OnwuG6bJ3evPaxWdKG7+5T/WKupf
OA2IG8I68tNOZcu1E7DmHNVB1fNrbS3+wsyrofek/sNnQQH9j6WKqf9l4bbCrGuwJWeqZPxbtfXb
neg29UBayhyAT4Gz5deViolkL24dez3klUh8g5GDx1v48aeT8k4B/5veejsIQmvsSXxPxGK/HmSo
RwXHtbMeZM7cgchU4LT2iA07N4cP5M+/dgpsITmUyWmxsWPhnHnbKdRlNGMENFZWREQBpVBbz3SQ
9B48fxQacTow1++U/byiYnCdpf7g8L+vmPGAbf0KxhJ+tLfKYL1YHTFZDB+zarrXS/vJgZj755P5
m9rZ4RDC1emtNknw2y121ymLVCOtPdAT3M/CeOxdDSCdrgHoXVuu0n92i+/8clgr3l4gyLh1NPcm
udSOycrr19/OiFvTmt2+P5iI9U5xXmp0Rq5SMjmKylMxmg8mXDNQzXE74Gw0eLbRiLiMwsu8Kzty
lRHw2XpMUFuSOflRTraLmqgeXfSsRcHUou9dXmx6qzXIThOMt3gvj3pWGl/0jIc9kVTfKxOsP6Ig
VX/EGYvMYHEp5HIqocuEdMPAYBMYSJDPj8wiOjQF8RR7tJMdwapQ5e8tkB1PKHagaZSdcQMsWVyJ
ocpvrS0pejR5Zcp4iC/lWBHBU7q0lo4E6KeKTfq5rsfciS8krLqdUZbfTXKp69T8aq3ODbFfaIIA
dZwadX6JeT1xiMwKFcHfLA2GbXmztvu8FeBTKw0xTTa9dolL2luWXDWLpfD6r7vQ1EsZTvVkXc4z
KVKuYkUnnXxVW9GiE/lVA62VTWcyjq+Gpbj3cGbSYNGyjFFwG9+DsCl8/MG+6o5M/WsUMDM41MOK
nTTMQEpeVP02JiN7OUL0dSZi1crDiYXL4sfTErvHwcnkvEtr271vbaQXCQYPX3dSm0FelqlnFcA4
bVfNXWc9mKjmnpJ87K6qWuPvOPOs39daPp4VXSoPSOZ7j8n+UPKriuSMUWGHUkcVoc7cb1dSaiGj
abPrtiYDhpZFCxFl6bsRmMwjcFrU9CO1HpQQXT7LVG010C6Ldq4AAb1HgbmGRDpo3r+OD2rWqrum
0jxHTGo8/4gQMqWRH3CiaRfabFiHsuJaaLccITlUIIdL4znJO7F4eSpjQtOM+WD2qXsDcCHbKwYr
iR+hQrJYAr2Xy8XbYKHaIu3QA92A7HsW6b77Z7oQUYnWdWr3pKwbjB2jwQbPrcUvmcyTI//saR7Z
1pURqqZmummW/CHTULIqIyMGs6zGs6GnKkjJs2FpFE83SjRpex3z9UGDTUqsF3Nx0fTtGd0rchuV
3LircuG9wRWNWNIj9Ea9MaJ2+Uwcg+oX3DTnY5wx2Ygtfc+Wj/KPXWLFHgLFWB61dtCqLUeLWb1w
vxCz5lOXR7sIxS0EbCd6dvIB5rsTu3uYJ9PZnEEht2s5+ZarIAce1Yh7v1Q83YQobUbkepUihzli
FdNp1RPtfMa3sosyy32s65oAwTxFhmQnn43IeHK1dQnjYVBvU3aKB52Np43cCZByfJdvodAa5lrP
SNcTawYkw1HeeaupDCDJxjxoSUzzrTUDtNM2N1kbFUHVrt9o4HrHS9R88ZwoHo+REstQU9SbeZG7
Ya7jQ6Ygq63dZtqvOX82xs340GmQIHk8TQqQho5OT6+Nz/3IVLlmlRkieW2b2LhHK+0CsM+xvVT2
2F9LpTE+89x2jmk50XFopJbNROuECeLHDT7TrJdRkQ+UuVGzPNR0wuc8kNYjdgxYdLpAqzX1UB8I
65qcqPZhQZBVpybnMaFZCS8A1P0qtP44RqRQlFp12ZfOsRj1B4p5cBGRVvmx053MzlGCdVUYJOWK
cxFH+WtE2pS/EjJjY3//LFWz+YIJYbxqTAKpPIF6L+CRYF2lSzafk7NaHK1SZyIEQiWop3X69CPL
jWqIIzNnWJgFW9xAnlLN2XfmDsWTxrrgPrJX88ZYM8IjCloOTLNIJjBDG8g7kyG0Kq4vbbbmbyAR
lKu8rQpOc8Wowc4eRSKqAxEPNRrxrpC+Zs6mDz7gh3Sv2MvVNs8LzAMtsv11vCp7RznAWbP8trW/
4isjVG1E3hUQxZMdncyxt8mHBlU8Jc1KNxffHpf0QHK8HmqWm0BXqOuzGundQQxCXBEpmqPPj+MX
R4RlnLK8XIjl68dkftB4ctHquw4b3aW4N5yYkZSqbcl7Q67fmS2RFlNZPg1sRF9mOvJLq7PWp55Q
G8yeU8psvesupdYMu7ykaxsWOzuYOWkyBbtGhuf19yrvdS9iy7qz4qg/8n6cjiNsN6ZCc21bZwSu
koUU6EUv/6eu+I946oMZOmjBrUr8Z1X0m91xV9QEJ/0yPv/73/xd3jvqX/wJpucq+OJNAEWN9Pf4
3LH/YmxtUccD+8M7jW/xH+NzQ2N8rrkIHfgAUMcMasm/dVO6+RdqKWC6XLY2a0b333I7vpUFugz1
TYOiWGA8QpX4pvqOp1ldnaaWTLAocngDuMi5sdC457wUXUJ0RFed5xbEpcBNPhRd8gWbnzRb4PbA
WTuM7FVqclDSbxoMAohW8mTnYT8xNSBrBYmqlnIFL3ZaHn76Wd4pVt89lLv5R21GC7/1Mp2BaEIr
xbA3NTwTha4xVO2TJjQcrf2gCH/vUJzKDSas8aO/lXiuGhu5xTQHEnlnlp7G2gY4HnN/mO2P4Mpv
OpofJ9DgOyEk5aIAivlrAT6PkPoKwQl008gFqazfkHJjfefxEjB02d68jGvaCBF1QwzLB6JOrsHf
fj0D0sO2fLEQ/mzNyE/GwwFzSWQ0wwDk3bQ8BGtJWJGa8+8Z5PmKzFxJaiceEnvIb4b8PnaMfmwj
uZVNiNJMHRMNeV7UoSHbSET3f75O3rQ0Pw63GeR1sDZcJm/diQL1q5Fog9zDXwHknnevsCW+I8gt
Pd5UZ4w//xamohf9Fxus304jwA3d3VrDTar5tmeLkjybHIP820wVAomKW/BjuR81n286wx/fS8f0
S8SA6jIz2C7an34sU/Liz9tc7o10BDSrKOfgCK8WTSdjmFnf/4ht/+V3eu8s/ny0N5cGs464BYUo
9844UYwjAYlHBPFNtkXPu+7gdXn+5c8/3BsmrPjxDdlCWhvzAwTH20fZkuSWQ6gT8ceJhSK+NovH
mMDaIylgDt7YOA9ke8v73UGKZ/bfrEF1To0wDjLu6v0o3TGUsz553WQ3X+mzlOOC3ZaCaWjvtvxp
Ut9idEnt+sGDSfv9NkJZBgBCs5hMANbf/v8//TJOT61dkxqwx/No5p6pTLntzbMYQ8rrjRFEWnDD
9DBA6tKEejGbLyrhRddSIx7OHlaMbE3sXoHliD+4F8S7H43n83aHY1Xf1sk/f7TMBZa9ktW1n4dk
W5KIIO3IF2odawghGfYPIMwIxpwsMlbrgrkjDMXuvI9YwATlPKCEwR+A34DpLVIZz9Aays3KATSv
x8tZLPXuUrdW5bjmEzjtcYAhZm8cUIJwHyV2qMeB6EXfNVCSdKZi7xClpShkOifE63wa2D55RFtJ
f4iEC0oVfrOZP8jJ6S9zczG8xVjxuRiMzSdluKpdJlltahMsbZIvM2MqOFeTRX1SkGvusypXNkLU
93wxbgeyQ8hJivPDgIviir9c7f58tf5+g8A3oDDgrkeM/5stnXw4IcW0/eh9cqnkMoFyqB61dL6X
a9SEUpIk/v84otgE2miut+fNr7+l280jYYn5sO+i6KiBZSm0+KtbmecsjPGuudanPx/v97egI2ye
NjDkNmO6/kaP3cfuCMxfDvtsIfxTZ/hxpF41QkfvPmIm/36ZOvSsFtxeouo2ofmvXy2WYsymseYt
6IzirFZa7VhPLEv//IXePQpqB8oUAkg4h78eBbQPql1wYnvF6lT8f7arHEATOtd/Pswbav/2HOPb
4BHB0U8SKm+/X4+DH2rVrMbt9zOGkKDW+mxnzWUcsF1AxRP1NiUFF76Ke/7UOU+dHu9rM08/eiwZ
HObX2mxjaTBmdrZhpWa++f3atibJeLR7dkyFHWJJLHbRlA07c0L24Bvmah61ijzXTq1ffwiZ8mGb
yAl1vCADwTgBX/kQ+/3uZwIl40C1cqlZ37xWYlNRCMcy+j2xU9VR7UToqhJncTW0l1HfYBy3ZfNc
CG5luGLLldwyfEgrATfkVMgpquIVMN54mTvI7tfphamd7iOjbO4WoKLYMFMaPYiOp2ohmFkdPiou
9He/AJEHjOeJwtikL788UIkwd8uFneGeHfht3NnNTk5m/JDwFPOb1s6CqNdU9pTWwBurK09kXnxm
zHYP5cA9yiaKfFZ4I6qJ2r1BslDfO+b6uooIureTuLupiZdgQi/Iu2JgkZcS0vbB1bn97L9dFj99
gzdXJ5tHPnC99PtFyeIT0I7qNAhszliIgyHteMhLknYZCh6NemGdjzzmg/vQeP8kspPAfcjk+u3t
7iw8SxYh+y3JdiCjE/fhF8qqa9vsUfy56re6GOcn5ELJ134DPI4xizA9CXLCxLwx7ne6iraGDER7
ixafcFTosvETDrifBeMqLK/a61JpGo9K+8428lCABw+YrD5hR+8O2ijUc0VoxaYi/myP6p21cCBS
l6XfTC6z1D+f899LN5IPVTY9VAhYb96uLQQoHcI2eSC0WfFURcRrZ0WgrBgm0Ngb4Z8P9s5jG8WW
oPM0bf7wW7J+X5BH2vHQ2Tdx9d0lWIe39phhTvt3YTTbc44jYQtzTdOCSPPmZiaVUBIQKLiSuvg+
ZzYDO2NlBgarAWnMkpPNrFqKcyI74SMm1TtvX0s19Q0Nx4uJwvvX23CI05Z8YrXfS3t5jgbnerbb
Dbz9vbCHL7S8VvDnk/qj9nxz16CgYyqnEbyBnO7NXUPaaj+nKZcsbXh1Kw3qngVlyFKhYofL/6pG
5T2KjTmIl4bixnTwOPZxF6hUK3/+KO9eTAJuh60bNoEcbx7rqRxGkYzcv7j5h0BtUB6YCRJNJa1j
JFTZ9z8f7p2XpqVSOW5YOFSAb5/YlpvlMcIufuSlm/cxewJ/hRX8QY/47vnVmGRwJXF6ofn/+oNm
vRbXmtn0e3pkWMbjTP5qRVSbFTnKceqJNo9HMlEhbxfhFCFOYhpQhPOonK0r/uQ/f+ffm3LHAtPA
BJt7yPltzTgtUiBAzvkw46CGSYztpu/WC8TesR+XJB43fcms1mbIW+dS/eAG1t67g7fVHwwrKFrm
22ttIIBcN1CT7MHTJ18au9vEdV08XMGzEKUHxt6y/FryBxCwb0AAiFeFCNQM3Z5XtnaSIzJaposx
MdgU6cMgGWRuXqQ/n6V3PiZmUHCY3PrUOW8toYnipIuorHZvzVG3k+Y6hmbfumj9RPrBKXnnUOwm
UY5CP2GR/XaPjTiwZ0Zvt/thjdjQGQu+sYrwLU+x1P/H16IGZcFsbSO1355qzYYCaRyz3Qs97W5c
oVm7erGjM1jnTBH/OWh8Z6L1zkOMIzEWoUS0GWq9ueb1NYqzWnIktFtxEA1Vc1fGrR7ydls9dS5N
z4Sh9MHj491TSX9tWnDgcNK/eWjHsVoNbiLa/aJrI6ubGUZEViLAUvX+g0O54p0XPZWGis7BJbqG
J9avd7VDbLaMV41LxCTIbIdYbOj8NDEnXAplVBW+1fV6YFGTsw4wxknZ0TnKOVxn2yhvUOtzc6UG
M8Zj1C/Fo97g9EQqljsyaAoMfyBh2uRzPWHeyIG49rs4KSAA9ShDybnmKxm+bSGhCdxRTNpuMlSy
qYSymXOWzl7DGvxAxi4s0e4tqUNdKMxZ6LtMI70gNAjf1j+5BNmXr1bGsCRmfaNaydmMqDja0lK7
5KEvam05otRyxT5JtRLNrdpop3KdZ2Xfy3zsL0VZSefCHOQS3Vi9VlQ7/m9lYlPagXPxpOligKny
0YwvHLsSdrAJD8FoC2xYI0FH0amrlPoAfqWKvCXudCLok/QR+ppBmrQ06+yIESxufEdC4954DEsc
ls1SdefZSDsJlIrNV7Fn1eXm6InFMgc10efqWan0kcrcoWz0oCnFVlylxPZ8tnu8c54N/cZfHZDb
d40AR7Gvhz5briccLXdVanZDCDLItW/JN0HSJJcxlkeKWPZmzuymO5OkWIKTmnhdfWBH7r7CLVWH
BUYgZIWK7iJ/gtf+gA+PDVpR1obfm8mosUZp8Gc68oY5706OonmKGr34VOClux2A1eP6yGb4SlkR
Gq17xdZ2V7U9hk+7uo1shqhmEodg0dK9buYT4NEcUbgcT8a4TD6mw89ZjmJXSD1CdD0bO8y230xD
mfCtLLjizM7eW/2khq6ZWnsT5oNHxbzCQHbjM/wf8xd7ABNkyiWDnDB+XltLHEZjXr1xxh6VFo/I
6kMLEPa1QI+AmLdKr7Eyrz7aQu3MKYvkwpj4PegWSDoHwTWjbtsLRbtJU0zzaGujY+SauT9nuaSo
6G2fZEyB4tVeb4hgPSIIRvyyEnWbrvnmiPXnyexOOXv6AEZTG87oYr0siTDY2Xl5NhkYHPllryPH
vC2VZA61yUl269qt/qIMMoh0qBwrpettFBfNS+X06nmV2GzqB3Aaszp03y0Fq4cyjE3gMLDG61WL
Iz4SKDMQ5I8YL/UjvHycrvN40jWkBqLRdrlYPpWqbD8BGjug6bkjceCTwJuM/pRlaCejT6WlxB13
ICvOUdrVblTaKIAre5+7TnTqIyMN8L44oZqZCr9Di5wvcxEY0Tfcpp0yXrdx59z2cua9aPTnwxLZ
XjGvqbco1WvfYvl2jCE9wOkuD1XpjN/NnmjoJZ1WJlw5KiIML7JuCQ2kNdfVLiZZJnWH+7wmD8HT
uXieYM8Zc2BDVs15mfKQyGI5PTec+0sigFLGI1HlObl2VCX5TUo91ASOr84Z/0sdztwQYYRneOnP
kWbEU/+8JJ3dtx70IMTwwdrr3TNG3J2aQSnxFJ3PvLcVvf4622veHIy8wExaOh0+sqXWbCxAijVk
Xm47cMBwPQrlxHhW7RnStumh6zhT3pBXRbA65Xj/w4auF5l+H6EASI9ThuFMuGl7qU1YCZEoToQZ
Yzs9JWmvfrHUiHqS+W4T2qtanDW8ZL8OSBbR3i/EvWeTSI3zmUC8O3PMo+8uw33pUwWUNN/RqAbr
4swP7JnK713TWcj8y157qWa7C2jRxJVbgYEjBxvMFsEl+4GK5d5ZzOx57Pk7i1Ig5B/09rRuSWXp
DPFQJ+P8iSkca5CsT9BYj5IrITHc9hORNO3XtjERNsxK+8luiWzPumgg/w5D4y5d1P4JmwRJ33Y9
TQHgE0zbcu25OQodfWmumnkQW5bwMwquo2xFHtiMkP+bvTPbchPZuvWr/C+AB03Q3aJemUpl67R9
w8h0QxsQEPRPfz5cVf921T6n6uz7feNRjSUhAcGKteb8JhiaLmz3BfsmeZQK5B6BAsnwsYnHZNkF
2AuJUUrGOIODhgBpIxkNnlSVlus1aIznhIClJ1Oi16z9FuULTjxlfKxCwVf0VRGmN4m9cKheMXwc
YFmNDO/j5JoFwOEIO10udYe5SqQAPZWjsoMwM+9p6Gx3iahEmrOn0vSajxrfPIPJHY0z95q03Kq7
qpbLfumnYk9+E3HWMHaTa1mqVY3H5P3KTdRwU3F2acI350KGcL3TVL23Q9I+iAU7vM74vbO8mA/L
XM2HgJiQo9GKmaB0u3lQbqveQbVV7abyFjVArcOHxi+bHd1J8rYG+CWrFc1ZWWCtlkGr925W7ScG
7PZu8f3ma22hQ44W0iAR0FYyPid0Iw592Olv4ajdq1gaA+lwHSbXKXNhKoweOoJvCxCjYOIJPDoC
pt9oxWDceCyv2m5SO42UxBx8qylks6DvY42V2rSelTW7V0DM8Yvy0gSAVV9/8RKv2HZ9SriubSyx
hauIItLtHRtlStCc59aMt4nRDzet5MuT3Dy9EGXKupjE2dFRvFqZRnLtw8ZbIpRUVOAVqJircJry
RC7kClcKaeJss2KMz6ns+AtEswRIOsay2+aLqjFqc5/Txqr06zzTtA7QlnzzE+Fu4nhGNN1261Xe
p6pn5mK7T5lMB9RTHY7cseYgSxcoQ9C16s3JU+/JgDhA4ko1pldiLZC5aVG1n0qyY+8DT/cfTTUV
j9l6unE8BLcuGIbHRgx8UGFA7PN9NNEUGelVaH41iEszKm9j/mEumJuNSbhVRNM+frRlLk6NmVa3
njPyjvVSgBQwpxd8ZPrbMg448peWlvjOkOn8w8cDjJgIZRrgQNfSGP095N0bz6j9ipV8kUD0EMM9
ipQtV6R63cwnOaCt4LtzJS1G07L0eoIrjTUrvZZFXlsbaS31veHkNHGHueRcm3g7BuhDdVBtQhSF
dWCwZ4K8lIN/GgE01bn1USQrAXLU1ndvyHvERfbUPLBaLD9qG+nGBl4InvU2d/vvRC4tLucMW6yh
FD+Lx5NcH8wRv0tEPqb1vNil8Rh2JquZ7w3fJxU0D4Rz0fhvbHWHiQnCZB43D1YXJFfkRpjAwxXS
uYJPWcegw83Y2E6VkXSvDYZk8wHLqmaNrwvpnuq55sdDVnxhTxzvFVi1FRti+/RNOwdbdewEXxYd
dHexVMlhIJviKDzJqeGxeeu0ougj10+ye0+Ax1CV0C+tGmJsKekP6Iv8J62U2saDct7dMCHoXUEO
VAJLse1M1cYdHO9g8XtFTDTFtuha7sPOkfMjmVcrhJddQyVy6KFlIjalUT91obgMwDyZRZqYHLq2
3Y59mJOPEJyJqSexS6qWjy28qzlK6y71JeuGszBeNzPjMnmGulazGz95QGBX7EmPgSeTS2RVDBsb
yzVPbtadh3kuQaP1w8VMxva2SvzqnKTVHFHqUwICssSylryFbtqciKybHot6cL4NpTg3mWmxpAX8
4ehmV3koXadO3MABFa/U22Y0E+PzTj4Wc6a626d0lk9NXPtMy1IK0iGv59eAhNdHs0rHPaFER68u
m22IPwBtYFMfg3F5o/8nPxfSX/CUIKZigRGozzx2OBsf6AfOgaLQp8IwnWiI8ecWUqi97nsGX1av
tlSo470ICvJy8lw/kXPqsdSFyWMPRx76ROzf9ybmXRrTc8SmVLyFWeh99HRXHrPM/zjlpjzQLk2p
AynlIpnNdVQDb7tgdIxXcMIpdhbrHXbXuAd8ax5IwSO9L+ud7ThwM5IR10VjQaswmWfvhuJCvObC
RV811XtuJxbgGkRolHjg6kKiyn4MRW+/Ynqz7kIZLqgWpHhW6ZTDuMX95bJ23chYlx8tzHgPM6mb
excYLsFq1IURMQAkQ02T+r4warI3KumyuybnMsgq5NyRMVXIr5SC4QGFASiAytsNA4QoXDp70/se
Bb1I8rd8nopzMlbHrmjwQrnCuK3RuD0spv0KBFXuuRX3QINQIjPVoyDz+zswDvFLWdSUGWLYFyyB
eaSCLnsMzBZdr3SCGz1nrF5mukvRzkWF07pXqfD7bFKsNgwtyuU0z/VwWXXGFTWaUXDDedVZJVN+
JfQkRYUKN4v7roVbFJXEQgLvq8fhEsZd/knCUT+4Fg14WmsQHXGD0NLoMwNMcOw0tzPNbHZ1/oBF
pCf7+ByOmfmIxffc5v50jIfV1qeLS8lZvtEVFkItaphsDHiiatTdLX1fwg11fiQnL/wUMjNlnwNG
quo3MnWXTaOIlcv9Kg2wBXXWpwnI7qm2/Xdr8b7Hbd18oWItv5Ra1ixa2ngB32jsIUoku87v5cPs
UbGURBox9A67lUUYp9iAzAnOAXnoZ8OpR7EdfFP7R7+w4IaRU1NfjXEFRFYItq+0b4AE2UGOUrwn
OWnhGsXzKGVePdhNIB+8jD5ylM0soITbdd9KbZvvFfCWb01sLmpjG7xhgwrgjAGsfpqFHYyfWioe
zhuxc3sJWpqnhOE5p1LBsVxCYpV4WtI7WyApowWlIXlCxQ4wEnVeFyGyFAjhARdLbNffdK9pIui5
lz8KCEIQdZYu/mLq3Hon/4AnfS2wy+lmir/YRcsmnLhgUD5qifU3w1VQROyFDMrdUrjVU9lMLAw6
xaKHX46M3r0IRzoa/ZRyeaREQE1RXZX1U+r1BX7BpI6/wObiNaGaAGL6eViAWqpMLiMS5LpiO2iO
cpe7yKW2FSotn03MxIfmoAn1TbYgetxqsxrQzY5YjZI9xSvvjGVqqk9ipP24TQVBQAdjXkuAjgkp
iNxJhrd5akJg8lpJ0VrGHmfJIOTI25RTH38Z2gFYTdJn4CrjxJU/7L7nU/uGWLvtKJzwy28/pjsg
xY2QIFnZZtFrepkPKp4U5sSrDw5JhhsHJ1WBc2xtCuCVqZ5c9GPVocxy2j0oC3AXVCSNH5VFF+iK
4Hyy9uQUujdz29VP7oiiglPIvHUzxg3fr/Bd+iGtMov8RqNiGA4S7Ex6CYdu+DEgQ+ZWsl2FX9uw
0udiHuxD1VfVq7RCYq78sIFMA2D/eUyVnsnkFVZ8FT1f+mgPJsdIVc5RZ1XMyfPmqTKY/yF93XBO
uHfp/acwxrFygS0xQNezSNj6W8buhQyjkYp41oP+TphcXh7Cvm0YYIQyyw/wlO1pUwKupN7ldC7H
iv4fdCDsqBHXIRWdmwqVn0yvpYnSMlvJWVwyt+VWx/LPaw2eXxtojTF+sqBHVmUvxI1e08HBuL2W
kKVf2R0kMzt9sXJiKJuyNs/MpNvjKHvnQSbBdIuWKfu4LOn4Mtpi+K2t/l8N6j9oUNdYi186w/8m
QaXqo4D62v1P/eN/iDfs5Xv2Jz3qb6//w23mfQjX3EI8XetUBrfQ/8pRff+DRQMg9FcJRcjAn97u
Hxi/4EOIGDXEV4Y2jqYf/+t3OaoTfAjYoK7CMm/VlfC//gOaw18HOXiIgEUIzFE2GjXPWb/5r4qj
GZGaRQvLPBIdtZHJjzIxrtMM8ooubMUTWmbmWZvxLoz7T2w+otz5JwtVuA7/fpnV/TwEx/OY0fOd
beZWfz6E2vWwVweJCaR4Nu9i8WkO1a0eil1FI3AlAJhd029D5qNwreKLUrhAfFvQlbI/i8HeLBCA
8ZFezAWGQB3sO1qVyrfumhT/nHBBfCvwfVRZAC+/CjpPWZ1GPbQ1o/iSa3u3/iPy0Uhk84sm4jQD
YAe7YXbDIzu4hoUT325j0m4Eqd6xFzRa7Thbs6AD4lQf56CIiEl2WH0CTEaYLGwHqRWPd8LYHkQH
MDBYEVmBcXHdHHZB5+idLm6F0T+UadXvpiqh8Ay7By/8bDnGTif+28LjeydzlOYe+aeev5ENybpp
ig6r3A6T3LR98YiN+BlK1kokIrGuU18A6ZmHrOzvE+3f5FYF+hutVl5sGo8GprdwGGPXsR2vqq9y
EuahyAMKU3P8WomE1kqvb0HnuFEJ5F55mg9b9lnhXBNo/f9dXH4jwfzD4sIdti4B/zt3+rfV5fl7
RadTf//+q4P191f9IXG3PnDr+yS6AGL513oSmh+4j5lBsswg2eHPf60n3gcvQOrK7IoMKtNax8J/
rCfiA+IehFxox1xUPoxy/4P1RPh/mSGhL0d9hpIe3QRZu6jm/3w3+3ML63h0q5MxgEFUB3aZST7s
YmMcKVgkML7Iggk83nY2hhVJB2Fr6QkvCuitYyMFvRc35npexVp3Gr/jMxSrYoeoqNomiYfYY2wd
vCDe9EmChG62M/XKW5hU1slWJr670IX9mCZi58f+t75S3YldTHJwoYht4bk0GysuUmAZSI7nwTQj
3LJkT1JostUBXUjibEAJm8/1J6Ga4K1qtTz1U7Lsaevte02UhNkN5mbIs+Rq0Z05VnMGaCB1Bia7
WgCoRr1df2KD2BzswVjOmJRWoh8r+Xsc+CqN6LyVTSRBxlxY8rqXIu+C2ylfzMd+bO1tVfoPQ2+F
FzMHRxJI3C+QmNlEgTo7Ln5PFy8DyIWeoj20flwdxww9YevMD7Wq/VMLdH/vGbirFtBg18oPz0lV
bN16Ku4xjEGoiu0isuaRrNiEQIUeO+RTazqsp40wN+YiBIm9kz71ejGOxGjD0yxS41xq2iVYhpdN
Cnp6q3OzvjRe6qe7hvZNHo1j/2zBr9/Z7B1vk1i6B3z/cm83jsu76uVBDba++JkBd6y3n9HYTV/n
ose7NZJwH/uFfljQ3QCv9sq9h+B0a6hpfhRZ7r/3MK5UNX8xZaaB/YBmY9uMY84O449DkNX7PI+9
b0HmFfMFwGZ+ocoFAwvxJ91MgDt2zHGGbQZ39qi9tt03HmDJGRk8/WHXBh7AqtiSTPIetNX4I4H8
uV9Wggk8R1ntuG8E0a2jhgKRq5eU4MsXKvL5zfCwkwB4cM0LqZjDDVt0NAbS5CRnIWYHhdUtAihA
2Q4X9BybXnWlTV1fgDO/pJOhushwRHNkFFg8THVjnEmDH662bKGhNxnIO1UK9tAZWFL/2Bt9Nu+Z
QkLTDZEuF0g7pvEM62+fVzZh0svUOuT9qWBjQ1Jb8ZS2PM59AIhxoXrHA9ib1YYBhdwy4BpseOaJ
T7KEzKLJXuQ9Xbhj6JJplBKje2k9+42WiR/fNk45pTfKKl+9rPUfZe0eYiOwjJPOehHbh7JDKu1H
QzhW4VcCO5psl5BRfF2A0t7r3g4kwlfSB25F1VPtdv2Lqybnvg3oKvc7+CLPyCzzXdj21i4pq/A8
1r4to5BGxEy2iKceFbukHII7U0ugRH7RvthM+YppS1+16igAPL8mN4QBpTa2kjaGeWWh5HeXg1r2
sZfD191hxDU/L4SGdBuTguGumX1M4SZS16bdaXe2HtBX9vE3ug9642ZLGLHCRaklDLEzIdlx5bpF
FABGwldM5A4jv2FFp5tdmL/7Rjwbx6AazPrk1uVoRLiWe7Z8P8NqVlycuIy4mQkNIUepQKDBlYKR
NoG40ZlDVDXjdF91vvgGkbYrDpBlBwDIcwMudTAyapoOFm+4q9yCj1wIqfAiOdH9Zd6O67nQ6yTd
HJk/sPatiO8iRttlhxqkCM65nA4Wg5z6SsyEXXtkVDWp090U5eia2xomAKlUk5/s6BV7V+ws094V
wIZNs0SM1rr8xsBl4/mZTDb7pvUMesNF3TbmZpHhSKCw412YmNDFy5isM5WPt25Rim5j945/6C07
PTB8DQ512hb3lV3eLkmIR7613Pp2SldbslL+nnhpgmVLuALcVEMGeamveivqcs8+B37L0LVi/A9C
lfUr8bJdm2C32Zs+aex+qfKdZ2sYScQdGZFnVNWdn/b1YzD43l3ngWR2mRtBaXTCm9kJnIhsWmtb
TCI5dC0syWhZenhLUi/z12Zu3nlGtXfsDb396Mf0vQeYzJFtNuYTEol4T9BT8AL/TD8IYcQ8HKoS
g6Cvr0yDSDdge3ceSDb4umBIu59ja6t9LzmxdMZHei3mp8K3si0+z+DzYOEmZC9vq2PuNtMN3cjl
gsyIAUQzMbwY5xzkowPxs6mHO5KS9gAAkRJ05pJvOswziggER+wYbC73CMByAo/Cgy4r9YJitcNW
MfQHq62AkA3SbWA6Q8hZtEF8UEmv3IfLnG/byQ5uMoclPsT3tFWI1KORz3+aMLdE9irQSDAk3Ks5
Aa+zpMWOwW5y8PgCa5t4KCNrFClL4yI+OU5DIsPghuptCOzuYvmL9X3AsLt3cU/sCrzrR083zuva
L9zZYZ1sFTbrPe02RU5NV94V5th87LkPL7Bf23uXrtstyveKWr/Kb8F1ZofGSdEV49TduKDljuUy
fGkCkd3StU1fYxi+d3Fs4WrItUclIJcSDBOW61o65p2emPJsMu78e5fW3AF3S/uGmANbP9MitAHd
QwtsCI6CDLyThM35sOaD31h5Ub+POmkiNUkTXlFtnlIzeY3byoM6Caq1BGwaGcbs7MCjgwoyLXIw
qtjcCZpNFzfLzBvH0CTY8PTHZI6ZfSsgp5KCZXUvht13AfyxBKS0IHgoNEaADMPkhZsGrd8GzuzM
7Cqx4Q/IwGbyaxaelfBu5hgsTsBN3Q7dlu6Y+2ZPzCQnAYozolPKStC2WA25qwAs+08OYffEaEBX
yJL0WXuzyh5+Fq3/bR78Q33v4i79u/J+81ZmP0i9/3PL4LdX/V7eo/3/QIIicnUcmi4RnLzhHwBI
zKiYq1GkCOyt9Az+VeJDojHpJngBBX4YAr6m8P6jxAdt4/CG/h9sm/8IAGnxGb/u101EaPhnPRIs
0F8J+gZ/rvC5hWvVMO67q0Yn3A3j2gSrndwvkK+Mw4NnuPM5nwY4aaZZdJ+7WgwvhWCIEOmwal5/
+fX+L6I86y+qvPVohAmABUUe8QbY0P58NKKa1xF9P9zZTWXdJQiJ6Ij6NQA2zJo18qJR9J/9gdSc
qJUB6SZEfvN4jBftiw3Nmepb2HVMdkKAADi5S+sFOQtjp9lz4+/WbCCO+fsj/mni+qXf8fOIcRKv
QmwXvfdfFcEi81PO7dzdOROciq1H2+9lwMfu7Dt/rpmDkqPGMNqPg2jxPe74uTCdA6xJmrVEI3bf
UpjzFoNYRbO4yyC6d5AGhshv3YLxTJ2n90UfngEvpnpLREn4UafNzyf9tKNB6V3wlA3y8Pff6t9P
gy8Iu+NEeFwb/+Zc80lcHA0CmO7INIUkkdAJi0QBl48pN5PhcWrDJxVb5ae//9j1Wvv1t0TIiufX
d3gomesf62H94uVzzSlBhZxUYLQJVbWKtL+rsAYgo08//v0nrfvWv34SAFXczIiNkUf+5TpjKDsv
TZvWdwDJxFszIjM5oGSf7ahQ6c5seoYhjjkHiG4cd5T/dNH8xQaCkJYLBeEp3vG1VfbXj8ejk6UJ
Oap3Pqmab/AKqCGxypcHd5F6BxStpo/DqT+MZcNGuylq/3tXhvo0Qh2+nTynNSmM8rpYB0jyxWmV
7YCVmefviqigLbm40t+4IQrLI33Cpf8HbelfRdLr8fvrskGnwRbcq6uG+5cTZXq9W7lubFyg0su3
rO3AqlgG7BIROfNcJecxzYr3JKD1Ny1NuvdqMWVsYwb/R+cvS72Z0XVvEE8O37PW8b+hM0z989+f
YhLT/3qSHeFwEdENYW3l7lybG78cpdcGmdmmnXPJBWlzYbBFewvPv5uccI+Sqd+0U2M+gBx1+yhN
U3/TWhVpi60Cqq/sTVE28lGVrpwivxwTGPZM4mbdYcR1G/XC6CTYxk0VI2HLERNmbJuQR+a6uhsV
5uDGoDpKgDMBsF/idSQwpPLoekAe7Ty5T+bKmaKy95s7dLTPnS0Nh8AodK5Whjp42wrgSGspkN+W
qRt8js1enFP6QhTb0wAh1kyFpKE9ZycjIOiUjXawbC2q5e2ST1/B1nRPvWkACxxl5+9j3fQndnf2
c5NaY3GIfcPKCAgpCORzzHaIsqoxvvTSl1ultH0q6kqdiPsov2WDQkqqHFk8Eeg6sTFsBNa5uKVh
yu9wgHEVXptRTjsxts3esiZr2JX0e5LNMCISQ+qRxjuJi2Dbq/CaAogxt5ZVd0ceNTYhM2ZOOkfn
l5+owtIbuw3Vk+t0LsMZVAB77UlMXB4cJ23SVdkDJyX1YZrMNxsA4A+dIFjdLHZHYie11JDsJwKx
uDnGcTcnQx/s2zpec+wcJIj8VVqwAuagN8gBHrfOc2Pjx3R3/dpFRCq6Mt44FOTy0AJfStCZmg8j
ozGmCK1JH4krqds7HTYlbIT+dIvBlxHzQz82nZQoG8Ght98whNj28hm4zeRLOj0tS3n91Z5l3jmM
mLu+V+ZdV3SymM4Ia5bDEBIHepJtxl4wtxlBmr6BUmV2GP/1nAOUx43JtG9J5drIB9mYbrqyGJud
V4yJuWlLdpPXtAF5UR+L2Sc5bJ7KsLtFm+BwRY0xlqRxg6zGoJeU5vGVHYbjJViRFbJHy6HlvCfE
tA3ZRvHwivF2ZB6zfsypboRYGYtrjS+ZDNWwH+P9WJKJsNMxVcF+hdUumwCf87KpQL+s0+01j2vQ
c0K7gPm/ZKueBT/QjbC125q1jW1XBH1w5wJQis+V43e+S1Nj0s0yHzV+mDal14JIZRfrgYTYsNUV
UXelJ+ejqTUhIK49E/frT+5cHrDpkfzIabVfDSVRiDKfKQgpKKRpoAMwDbIHO4aMuZQhPPw27Mpd
QSLM49J3jrMnHcC2btIxhai6UiTT7hC3g6qeeBg75zxZ7GLfK44AbWS5KhAtvFybIJ/VeJHBzKVt
cKu029iyesCRrltuk9hJeuyS7Hmj7GdCV4WAbvleFlBEtmCuSzo2s0QlY5mZOCaZT/wqoQCNs83q
DAVuHzMmNsZWhfc5rlFB2gFShkiqfDFuQFGJPVbwhKi/NPTVzsLmWJ/Qv7PDL0KRAjri70UW6pSK
yydxVokyttiomzLjS1shb2K0wn1k31kItZHrBijHnGeQqHZ/h3cWIVIVNt3F7SseSUwfCl4QotR2
9nGWWtXnBR19ekbbSQAaE4Ylu7G6pHsWDDrfUBgzfw0sLt59j/bU2cG1Jx5R0mYjAtFpCr0JxniX
WVnzuRxHKouclvKTdr3xXbWpcxz8ESFwUGCBo70U8z5uWefT/mcW9TIpune6c61nq1v7cyPdCxIW
rJktFsKHHBXuZNsjvKiEIO+fQY6V2awXZ54z8fVLtK/3aC2ITzabkdoxHSsOrNYsujc8wcKPTmBy
dUtWyXYbWCGz+k6HsX2fM6UpHu2AzshpEjkRyx1KV4pPJm73mGY95LOj5KPreqGnN9myW5gt++uX
b4nRHlmfOC6FAAtJH98CzSs/VUrSCMGxxcCto8qkyICQ+KtsBWHS228RyZbdVem1scTcIgVU+FdP
6dhO/QU9uYIHh5pnooXBaHIH3g1dBf+uGyJSLRaQKbTWOrmrJAHxTngOhiwLooBYIq6LOfHegKNy
GFObz49ON5n6JqHMzW9qVRX5U8DT4qArkwFcmDSfscR5TZQK+HFnQnDD/iZO62TYzviDcBL7s3NQ
iKiB5fnN/LUoC/d+6rVZHxtzHopX1KSJPkqEDj/mJVzXkKxBgsE+IFj32DPBE4omxKuBow+LhmJv
7guWubkd08cMC8RNKIvc3bo2vm2WPQz7EfgvIl0BCCY70ObcJlC5nPAk4Oc13yUL8nxmwsK9Ma4r
NnINgyVlGjBM8ZAZmxsLlbC3gRvSDTxpnYEZQtvkX9pwCJ+NmTL9vIQdkRSdxqEQgWj3h1NGzBPE
bmmlcL3HhFYQWuF03BiAAPZLjZ7nMs1++ZQPaM0DH8KjxPpxXEaPk1OYll4OCvVTfam8SdwaHXSZ
XYoed7hJ5lGlG9w0Mn2mEiGhlqBwwMF+pokySTX0snAcgoanwNw8lUljZZ+smnbBEC1UYPOL6hwj
5M1wkexS3yiSsxGr8T1NTFpEpU9L5JSFpvUwaYNwo7Ynp3lHEAcXaWZ3uXNPXNji3kkPi0/UqMH0
LmtLg0wKqhu9Q5nBWRsDsr7RMyIjjAKtyx3gv6klCc4O2sMSNFz9hQAwDo16NvUmVtprXkdass/5
T9kOT7qQ1PBE6vsqBO+2720V5vsAvdCIqeYzCtCRyVJRDP4LKbgYPkY36cRFxGUwPDaxXhWcxLXI
nUJX1uzZOMzTbUajtb71W5U69/Zklt4pnmpMEhluoORStMaabYvnBghYJfvuUpYxx9+GBQbDNCjS
LTQn8zQ3gvt+9ryV2E2k2n95v/9fk1LGm6sZ+v89KT2V5Cfip/l1UPr7i/4YlPofkHvb7JZcusmh
t/ZEfu+khNYHuBxesKINQAH93M/9EaVBu8QkSYNsC4/dHqiYf3VSUHMAD8HSGDJlJX/jP8L90qj4
834DABGosdBlDy5W9+hKKf51v5F5mchLS6fnqbG4ekbF9t/NUXLCJqAKoREgcC7lbJ2LBsH4atUk
qW8IXIzLuqubY2tJGAVBTUbFAosv3pVDvYxRZ5rTQ4+uSRysnL35QxHm7WuDnM/dICJO8s0ckxMc
MZBjCRtl0ERljMUq6iXzP6wpvccMkNow0mNLvLi1dAKqdR3ultJ32t2wwqcomWs8PzpWJMhB334H
Qeh//Zk80wUhnYiFoWLE7U+WDRl+tru1klHYt6HNwEaH0ruMYIMjOfSPGoPH3td40qO5HExnS4Rl
9qTyfH6YUrO7axNbPsqcfjHha7WBLjcgxTCqXDMJIi9Xj6WrBhTQLPxozedjAiHnbBM2cWOlwWHK
bDCNac2YkE0ohZNOmfB2o11YWyYVzV50vv1ahthxM6ctnywbO2GYCgiys7q6NZlRGI6c+97O29NQ
z2KbWvZ96i16i5XG3xlz5kWTMsp7xzfKO6caH11zZIRUlpgm1OSnX5FJq4OADrZpEcjdWFKii/am
5nFgM8vPnmbJBe2iuBvTyuHY+qW/NccdUPL6Llat/JEPXshORsx77YIDSfAkPcKq++rGcb2loR4j
0k+byKPVQ8bJ8hoKg1gDX1ZUCO55GBkR+VR3TznalUdnCqcbR/njPSYiXCJF+p5D4Xpza2/cslm8
AQ87b11ErOvwUkStp4yHoZ7kU9kWclMV9HkI3mJLwS/Cg7B4aMu8IyodSQz1qH4pJoLshLanuxkr
11bh0txZLkdqoMjemkOcPC+BjwSRAGieb3lVgyGm3Gp3plLWjcPG5Dyb/beSv39NelE++EPFYx+v
XfjoY1Z7CNC7RUsb53G0WhbvKEe7Ta4G40DyZX1YjL56NG2uaN/ru1t2GYLMOTtirkEpzGV/qeHE
fR5aH/Oz0XXpWeSptcWcxGR+jVveNkUxHhhBsHVs+hsPNt/ZTL3LwPMZLaoHJLMh6pqyfjKOTlUO
RaS5BnHfsbHuY6MDfNp9NIxyn+rlEeu1uY/9GzGwJyNS7tM89vl96rRXo0NrzeCZ8EzxaDVmuasC
9VUr3z+RDk3uyRqqZesv0ic7A9UhiGCZ2TcM5xAxrmdq/mYkxATWFmSOpTdfRR9OG2LO4qMaB+My
BmG4i3uVbHNTfGYx1FdbyWnPAA+WaZG4PL60+CjweWBg9PWWkE20o47NbWWcfRBUa4jdZ1Qcza73
ZXso8W2hLj4vXXbbyY4hcwfgibDOKtY8/zwiWVohoVHlPPUZR+4JkJ42osj1I5V5+aACNwGiyc88
LwWJqaE3PcipXA5VR9YHNgfqgWKihmgHdNbOeGpnMsm3I9vRh1F0H3t6skejmd27kTKD7UZUazGa
T1VuEBm0bazWzpm3jY68Rel5J9vgvW6INve8JXzOnVntIdox4Q6y+J4xYHZ1U/1WCQW4FwxytGTW
m6cGFxRda3ZfdMtXxhumtq0q7RuG03JPm45L2kxKki5EidEuLe9nlt0onVjvaMqhOPfRKix9yBQs
Zn2mc9TdktMxkxYxUQchqmuesMo8VSa1MSBZea3RMdOsDste3SdkNp8cxQaT0lgAmi5dakxN/sFJ
FQPenIwZ2ZZqO3zscv+Hqs1xk9gobcc0KHGSBGyUsNp3QaS8StbxRmQSBcum7t0cf1LmGWtY27Jn
Nif3c4oYmsUdy/HUf0zLWVviOA9Vd5akv/Q8W4zma2Fgp6CIzzF4T+loe1eGWyjhCLgOjgUCg4VZ
U+s9TDywGS7BLSbegkvv1HaD+0lbWXtOF8KhIoYH7nvH1Z9tLDaa6cYyYl+wJVP+Y4Nl2GZXbLZn
sqQCdouxgZgvr5Jj3DDGxFl+Tcu+fMLd5TA7HvA4043iwg2XMf0MBECznxPyaDHUeiMgm+E9RkwA
M+RTidvEaelf+UIxN1tIxT0NCkkeOXzDEDHyM5Cn4OKpCmFCqhT2eOkGre/nyW5MLE0zsYmLVYGU
xnD0f9g7sx47kaxr/yJaEMy3hzPnPDjT6RuU6QGCeQwCfv334KpqudLV9lf3r1pqWSrZ5xwggh17
r/Us2nDwWcZnE9n/a9uZ8oV3MvJEhLlXvb2UNzHDz2+Avkesr0Vs36OFUs8GdfI18acn2AzF17K0
vS8usUT0AYn8G7GLqILAeEciH1Cnkt026qkf5u1cdMEqhuAq0k5Kg6dRzS75uX3xxciY7Z3LUQAD
8Bo53cUIpp54j5DApZc1fXYWRlT7fhOD0rPS5NRR237OJSknbEYJUZZ5pVYaC3Dock6NW5l5CBYF
6VgvzJPza7toIDyreHD8SITlcgrHNv/iDG1+30xI5OmoiUgydDnlFj0UOvAs1gbZ5M3S2qizOX4g
MRT4psvdLELzqinS6cWd5ulrHKTtp8DBzVEZWQgcIgkJdNLtbJzJ2lO3eOvRaNtktX92zBl2Iq4M
6Dj4ro6jj0nx6BtT8ylMdMXkc4nHU2MN9rQlEKmdgcmV2XMbSHSdQW0P9xnoa8jA2m6vvaEpTqw5
dNyjMJs5Ikup3fDNw53td+ZLHA6xA9XcRF5iKYO2YuHI+zhsTIbOsx9V44gMgWEzIa92iqLTtVQZ
2bnwL+dpaM/oObyt1zgm5PSx3xbroBZ5wrKipJxda5LViRFy2GHgDyFo982dNfbDtmdIeFkYasQ6
FoOK0QRanRhScYAvi6p7ybtsQFOajMx+ALzUH/NZNNWOtLWZeXTWLl+hFdhXMRqQrS28NydJww9+
WpWvNTKvvZ0Wqtiyxcd0HVVeGxF4AXZEF7D3ScIMuQoXx/+k3K44Nilj/kgk7oIj2J7tN3/q0osh
tuynkNhbjnClrUnR6iBHV7Woj2jR+WO+jHlwxEcz3wewy1Wk4Yu/qhCNblO5zafEiYc7NxxoMmVa
mC/jQgG5S8xp5Fky+3ETVL71JWxFm+3i0ktQQ9VZ/BF/d/VhXgavJ7051RdjP84HlRkGtqmOpkWJ
0/uUJfmtyaH0Y1v55G6qbZ2WCr+NwdET2F81DyFa3NC8Hv1V6hqWvtwiUBA3+E0Mmk+JfyA01W02
bqecN8iFAk5P3SRPzH18+FrlhMHTMmxrjqxempipkuS6H8SCCnmJSUgo1GFx3GG7NHaxH01zvLQM
gqPGrvyaZmJkJjV6pBNlDN/odFbQsbyh+5C4fvzmOQTbqNrEsM7dXPqooZV/lQqdnxLKLKzisWvS
GOwSvOJJ7mRfGpIFKg6i/F9D0AxbC8k+NXANcpB08ShdMz2Y0jU4H8TjZdcAGucB94ILUiDCKDGp
EcspIWQKpARdsnY8BjJE6QwmMv/Yo7ToNikId2yd0l0jTBvh7Ug2Xi5yw2rOEzaLS35hcSkcKT/H
ixz2pRxI82hatU9Cuzq1RUIOV748N7OewIYLq3ulrejf2m1rfKWJ2Z2+H/3+T2/wG72BsKyVCfO/
T8lX8jOHh9fqx1Pyn3/pr1Oy+I9jCfS/mBNCH8sjU6+/TskmcgM6luDJwEkQO8LY7q9TcvAfixOw
wNuA0NeGq/PfU7KDPplDLekyzvdTNxrlfyEpfj/hh/6INQClM5gp03HIWfn7IbnVhh5IU7RIvXAU
jUmFakUfO1fJQ5yasAxIAJjL+jLLCTP/8J1CoLEgNh16A6R2vlQV07EZNa3SnK69ZcbX7KCrxNff
MncI44qeLCmTWIZ/uNL/IE5Yv9kPM2MRIElYBdHrlB8Z6ftvHvTjRC7Z0l2Qm6jvqVaN6A9XkfLN
a5hPyHJ+/YGovH/6SJTXlu/g86VJwTX7+8UiUtFuDOC7F54XXtaDb2RRoSzLQ6JHKAzmpNZoj1Zn
Ni+EwIOxj0ZH+c4x9EYV70ExWvUpRqLLoE/5XJXKi8flIAYPY3olac1jRtQcXBwiDIVFt9qJq/oC
HBi9w0RWtPGsPO48Xg0tMx5Xj8x7MHpyrQ1P6ftiwYGIhdV9hZ6EhTJDOizB48S0YpEy01WfqH3/
atF73BG29wHDLdNIY76aPSkeO8vmIZjswn3tbFzJs2PQ3AMCZV1Tk+YMecgJoHcrQzq41vrNmXvi
xkMTLh4ti/jlP0csfZe1L8baik88XMEbLWSgifUWzYtQmGojrxZ42NGK8Y3C2bVP82IRPNARo8II
pDWE9Sg4NfYXoobtdw1U12da5s9e81HYuErOAyqyV6YKzBIM4bvqfkGc/WjYhdCQDXF5frLFwJWT
veZaz0PN5KBrAqZmCsvYEsW43gh+a9YUPiLL+XYiU8yFmZCbamMQBZPexsrqvQ2KI3SepALx+wno
dl8zJiJP40yqxx8C1HCyyOFGUnyHWZF/2kR4n+zk7HAXPGcY+o9MNRCcOgu2vx3XkTkA7BAuizRQ
FNAnGdrlYUZqSo43OgXrAoNfkZ5JbRGP/npxwlZSAE6NXV+EsECtrSwGA9GaUtNVmkzLHUCgVG8y
zeK1YTcGW/JZLbjGHRyRDckU/MjO84l+rZUodk7sJ9vCba1sIyY9P3qDoMPghhovTBY7yDWBQ7wm
2eBezcwkngyFX2BSDU0YO09exeSQkW2gJY0wKPqvVUIF3tgmUyFGWDXjO1Pfqkkx1EkzYiKisojz
+UznB78x6XPhE0SgfrgTcjG8rUs3HWBQ53N5J1l63Y05aNemF5MYYLFKnJTWijkGQmNvM55I8Znx
NvdO2o0zfZuzeWxe+GOZfWv0pEE7INzNPBqcEcWZ+9qLijZIWofW4yzWO08yTOsRFzNxb/NpoYOO
lLN54cqwuPysYlHmTc1gtTeNpv/Yx66+R8zEQiCXhwssBa/sQ16Y9YUrFlQ4se67Y4IrnqzFWOhb
x3bbI1ANuuB2NXLpyYzhUzydMw+xWG3hDqs91wV7BLOe0e3qiyrNRffI/NownozRX1o8HJ3RcUYK
+SbkMbL9LiXa+Q/SMcv8PlbAO3UJ7ploats+LQroHDntJdeyA9C/0gcmRhVhmHAhGrPsjrTrmRA6
7CrpmR4oXt7vDzLAGG5cbYSsY0+ti2LoHP4VPdnsoZVTi0c5QuWJAitIvY+a4Flxk1HItxGxIIzS
fXsCYuBhXMaMVfKZjDmgUuFN6RjcWB08LhBTyfDFjoMhf+4YwuLB1fHidhzNqwprl06Ybu98DHLd
js4h/xJJEtmZdhD3fCg66zrjdKufgzFu868u7k3i1dDCM5ksTSXETcn7Z2k3YswSBg0VqngU4LXH
BCEV9tJxjIAgBBcyMT9JjR5ZEpRzXZFt99FVIzSAxXrwVaKnyCrr8cM6k93lQ58SMNX0kT0m6Yl8
l3hrxzEG9BJS0MaiXHVJdyvdo9FP3nRZO1lryOckdcYeiITrcZCpmxWIVDQ0F3DSPtHFEpFdmp8M
ptGboVqd9DPJojKdOOtbuUjeij72v+qEILcKWfHNUHiXGFfaeUd4ir7zaj/55Nqq2pUrjKKuaDgG
bVx9go6IG6Qykzjyl5LEy8HvbsMEiAeUndbGeZ0XV7JJig8i6/FQ49/dL8ZAno3SOqo6RumKCd+N
Kpby0nXUuMNkV9yxrTefsnBMH5RT3E4+mo9DR09rj4hbE4haVwdFU/Ih6b3iw1Q6CI07pvuXIS+w
bQFf/lwYYb7H4kG3BkJUD3meXrxUdv3IS6f5WLllk4KB6as98qD6OYUPwaUtZUhANBPvyINCdN14
2t4kUpUM8/3+m+xgKBWj4xzFkiXoH4S4dhOOc1sSmHES6plyYNt3Ql20+PUPQdHORZQVdn3yYe/s
E9e6y+K6OaxdhC397+ZjlncQPrRQ3qlCUK52cwkXAbpY/AD6zjsYPfR1FwJdZGTGEuwhQhBHmw7t
BRs2Ooiqmk+TYYWnZSCCd+47WL2CEXILGu2YEt/7qKRaviD5zy4YmhAdW3Vw5n9dobxTWFESBbbJ
YIeliw/yp5JoLhNOYd0AE8GreIf5hskrhseWfa5i/k3XGHGhHRml4s+mkbFIf/0F1pHK32sytHL8
Dw1fuOYgrl/wB4lXiwA8yAhxOuuBFgKMvgKevs1b0DG6gCapqi+Y7Ha/+dS17Hr/qS5aXsHRSKB+
e0dWdAge83HFhWdc3DBoyCwlY2AQ6BB+/eve6SG5vL6Pe86jXufqmua78k+ltTf2IRoZJ+/XTd3s
eGlUMBQQWbBj/fsPQz9KXAEVehC+p/pabCJGQhV6Doop3NV16px6+A2RIcdw9+uP+rmSplsXcN14
elASvsfatknoN4Y2vbPtzdZ1NVL7uxPBHTB1YGn4dfCbx/QfPg+TpLB4TNBau8E7W7RF4wGyQ+me
F0JXnv54B1ZElkngaWDqtj2ci99dzp+fkQBSMT8TPivCb/PdZ9aV05oaHPR5HCUm/wlBl7am+uLX
V/IfP8VnIIqM1BWcTP7+/BexmKpY9t45GdLuCDFFHrAETb95NP7pUzhQYp5DS8lz/+5TPERkrWvw
W8K2D7ae9ItIAF3693fJBcMGlJXTDsfNd1csp2EvG0l+tojJGKKzwj2ByYPQYo4H63poEG385kj3
8/bBnr4uMrzqNn9698MqqeKZCG7nbNSx99Eag+S8mIpSZCyYjlbBjFjA6xc2r1/ftp8X9qoXJxfg
u875pwcSUpKEn+KKcz6yuOKabWrwyIci1i34Ddz5H34iDwcRJNTgPkf+d3sVytWOjyrFWXdpGc2l
VV8s/QDm3+GBydcTHG1++Zvr+k+/bw2+tbA3eNDs3n2owj9lpxgPzoXXdqAfgW0VZpAeOOj8dqF9
Rx3/fTcG5AvA0gFRDDD6p5WWBl0AFsqEfdbDecvIqZo2aPWLe4LYu+s6w5e/iWfKZD1R103UWv21
ahXBi47ROxwuave1SECFWCkoALSMDCdvgxwJzG8uy8/7ECQ2JsBI25nmWt+9BD+8rSrpTnLGdngW
q5gukrFsXpg48rpSGcqqDZT6372q3ufj8A4Bo8yq4u2I6SDw1+/0w2cmBf2SmFfM2cDX24HEtDk/
DLhovwSdxRsrbeL1eSdp/hrVe/uilLtqKIHL3Le9aCGlJiMSG6okKGqzxdj210vhn64JOyXPimVz
7977J8wWrqQKWPXlElB0mwCIrMSwz31hV2goWjDzv/7An55NprvraljtJcwj3n9gK/FWGt28nJUD
wquH/JkhrwXEwov1t3lY//Rh9I1skwYNW837ZzNYGJIkbUi6Z6L1LSk54SW4PE45tIA5Jf36l/20
TfPLGISBBLDXWuw9urxc27nom+YzSEgOliQy82SxEDkl/vqD3odFET3Adrm+u11+HEKY9Zv88FAV
dio1Q76JF3iHnNLkDDdGjHKG/ENs1Et/0WSKToiTOMEl0loU9EXj26S+FOtrsG71Pf4A+gTGxGEp
6q2leVn8rjuahkcri64XRNZi7X5MZG4th4m8o9sBWQExYr/+JT/fH3e1BtAwDYmR+qkSkdUcNH7Z
92cBnW47VWN9UeJdOCTm/K+LHg9fIxfOhwi0Eh3evd6GxBQDZP3u3CFEOqGw5Pe3Nch2Q+j6wqlI
VPrNj1vfXj9sjA6vNT/ASrP6W8DCvL9L1VLaVtu5ztlrtfPV84Q6dw5+nu8NEc/v6eq0S+F+qGEX
/2aRifePCPY04cGBgWFhYjHlHfD3RwS2yyCdSWZny6KTtADIDzyg/jNuFFtEk46DN8/KcwhldW/1
1+C2WIF2l8gjqghcX0KgRzXHki7i8l1DC4J+revHju1qWfXxXQld7TDy79/6A8Rh/qWJBJrQSPJ1
PkIo3J0LLu+pWx+vwuBlcICAzsQD7xWqWeH1yHYRhY5RH+f0/XIaRzEwQYVwMUjQE125poEW0GQU
ejfRbbjuvIF8c8jUt/VsGcsBjibwNTVUGDUQUpiXtKWx5Pe+O+I0d7rmcsgd34rWeeG0red24QC9
yPMUSCsCAOoyxByttAUqOIKTItS5NhH3vK6svJo1YxHpEY2NVVhfpi5A3JgZKHsiKGprM3QGnX6L
vYw/+0aLBNyraVEewi6M06Oncg4lBPTyX5fW/7P4hBpM5yUs1rqmbVhraVXAP6VbLqcoX9mwxH51
OmRUFRj6nqlzmd7aZV3Ul3lCwthdb/fcEEHyCAZ8q2zy+3oxeV9042Dh/TA9oI+mCC4B+9bASRur
/6J7k18x2Zm7fLW9anSuuhbFVORPBbcZACV/kZ+Ocnzi6z400EhCyBSZc6m4mjA5G5DsgGuGXO+9
Zubj6YPQuRqWlEZ4UM6evVP2ak4YvTS23pZpnVjpbDQeNKEggPbyhbdWaILqYlJW2MjCqwlNyL0l
DTx1OY9Lestxse4iVOQTEeiGdE5KdQjftwR+GNFCLsG09QRbuLskPEEVKbveRvgTGd6Oiq3plGoD
zfaA90VeY+SipxUAVMVtVHCE3AhAkR3SJ1N3j1bFUPYQSJcHDPifJ64N2fFu+F4H0LPn6VsScu6O
qVfTN0PVCDY/phGCrG+Za/0N2F98G0BjuP2jBUdQIF/GTrX1hwJfximuhH7s4W//sayQfeEqXtfM
5NsZFBRA6SBCV0Eubp1UHun20psXg8M23nkuTxEhdRyMUtxPGJf6tWduZ/34NksAinuN2O32j9GM
FTivsWuvhcR3UEFQ+85raWVrJ7ajPc8sm+OPtkw68N9ffyi4aDKm9K78S8al47LJTamzfQ14s78o
w4RlWjYGk4ZidriwTqwcXBqhSORdX7V8Ecukd7JHwNPfV8Qb6E8jLgND0ehx0ecHdYgw3tUFqQJZ
hnFl7GI5fwUPySObIVBz7maroQucItCebNbf5Je8jxkDQIxM6RbwrDhMc1AVOYPtP1OY52BggL3V
DZgB7FDgUeJ4KenNG4WbnYtupTLMBU3J/WrMD+gIIFA4l6apabXRIR8CGmTLqGBefH99/d+c9Ddz
UmyTgkLyf89JPwyv6Y8z0j//wp8zUssM/4PvehUNrcdm26F++cuTjV2btCvMvJaJS/e7XPivGenq
yaaHQMPiv8NR2ydp2KS+o527yo7FvxqOQmf62xsbkXIIHMqmpqKfRpX6rlhH2ibTeg7mq7BajCXH
KNPM8770JkAj6yGKlAHWkUqS5qJ3YT5b8wzDd12N3yvYDiPrhWhqdpP1XFlKi0ILwvVtyUZs2pu6
0DIGcGZP5qiWY1l6TjzdGz4oxRbUEgmHzoeUHPOyOY6lQC6aTAodgVnExk1YOqo81x2S0xAnp1UH
39CcznI8TtS9Wp0Sf7Qk4Qk+3f0zJUmrHhrFRX4wKvgvu8ZJhbNLMhTIF1xLx75BVaIjk48FRtGY
1KulwO8BT3Ie7rsScyPzVgljueTc6AuCOifml49VKdLHZaht9AkE/BXLaLxRYUq42Q6jiaZMM9g7
7vWgu/a0uFAp0zoeX0NUChsWKkQiokNI5WCAHIUkcRQ+79PFFxVeLyXhNm+Y/IFLnyZTtReC3nZl
sXMF+jpl6GScwIdO8zbPjWR+YC42LljaeIMk+5gOPIxoIWnxHlRsopo6WrTHrZUPkas21/degVTi
qkHuA5VqU7pClOr/lBP/X/4CGxMmy/J/7wiPX/Vr/7ct4Y+/8eeWENrYBDiX42jEEkC84A9bgglv
jaxRumucEwJQbP+VTdgelgS4DmuPlvoabcB/dwbh/ifA7QfVzaQ/vroL/pVswvneM/mhmgfQ68LP
xQDB+e779vD3gtocDEO1NYySqRXdszIcYLbF/DnQorjG+tPuUsPqoZGtddcUXPV9oz7CWm8fmtp4
aM2uPzNARuAbrDyaeiSgN7a9+KBWwgCAKON19HEIhMBm26MTxBiHEUEkOHR8d7bB4sgciBPzUcvH
QdAF4jpkulyTwYPmG4tzvtR4v/Khaa6CpjN9gm1Jt9B6k4dqIE2JFO3MIfYkMeGsN1PXtR+KoCL8
EMZsWVjnNNQeRalgzLfzU9Pp9ym01OY8OCBRaI2QOwTeTYOZC3eyzOCY+fUsnhxcpiCultqq3Yjh
iQ4OsFRm9zTSSTRhk83Szx6BOWE/3Vg+63Cb1m79mlVx8CXxsrXaEj1uuR00AFN5UdDjUn3QS5c1
24Gv0B9gaYqLwLSRco0e+RFxZi3QdjCt9ntKVHB4S51xeqTLfCzhu7/oSlLKF5U9HDE5BLvJDNwX
skIQL9pJShwK4ytyIbhZY3bViqo+ZmJ6ymppH7Jh4uxCFXTE2EsGSlsm6bPUkip+VvLkB/oKUz/z
7nF87hP8AGPRU6CDMAYGE2IBSbzPg44n3IPTy5K5fSTIyMi1fUp0/gRDAwlgaGVnughviay7nR3n
48MSjDQKFgN8OZfUsElKdf0G35+f+uiKqwPH53u1yCevEN/qQg60EGuoWXlyDYCLEf44vNRlfy5V
XR3zQTZbX9pbDg9i088N/pfGtPZdu9ymSVlvcpE/NQyKtmNn1Lu8VF89WXlXpUdZO4W1t8Hojd+U
HIlNT9RTPo/5wVGOtdELMLXM9raIfHWUWAx7HGRtl2hBu6tgmMSO94p58msp95UmQ2A00CQvfRu8
yVEAI1aufEOmqumFzvOuoad9n5A1jxcm+RrbcX3jGsODO0ik3ICLD2ZTAuihJ32scs+DDc5LilhO
eFSVO+4H2tgn9oV033Ui3Cel65AAaIQH5U1fazcvT0M61NuYvWOTQ2sGZq7lWw2eMFIu1rUkIUIm
NMseYJddbvoKM4CLPIHWENJhC67QJhD60XKJfu6K/InzxWlZqmlT9k27cQfj2cWZvbFznZ3T1g0j
o3HkN5vZ/qdx8aPMGjZZDlUN5lBL5BJO9vwSJjPuB29gxY8dJkJyaI1v9eBV8MQI1XXJTAlIQ+sy
RTLPXGKGELk53s+WmvyHwsmbW0qnsiICoZPXDR2AvV3LAKI7Q9LIKsYM+hAspsG0luQgiQ09V+SD
03a2yfbY8mDlyyaehs80Gu3IjJW6zUh1iJTisSDxuLA2gdbzF2JlTHOX+M58HgdZ0RFAYRwesMxL
HRmzB2u55dvmmAWm4ZvVthMJ6VPc7D09jikCjR4pbjCFa2CR2TbTNZnB/QsV06QEVT1ieTS+5gWK
3fIwyYD0UuQ/B1PU/LJ8Ovlz5h38lHTSTKOHrgnj2DECh6XdLOgEmtbexeGydkZjCT59+YixK3zy
ZaOvi8x4ZUk9EzFDTDcWz13ZDufBaB1amyLfdgXO2sqQX+I+6LboOuRT2WVFjd7blVeim4ngKkck
CItVWrdtGX9oC5GTeEN797JxivpshQAIfFtdqlE2944dGg/gePxXUbpym+RhuzLcsPqgIGAZU8kI
5guVxj4/m1dePNe7IR76bTIMwzVe6HrHv1MhxjDnQ7eu2tyJvbtyUXi9W8QzBv5cTNPqtkgdjKJz
f5wsM8VCyfGbd8kSgAfwqrvJnl9onrlHisTwcyf6Ox9c1bTpc1sd7WD46HFwx6hsGjthq5NTIBjK
R5SCm8Fqhm9x7UA8MwbjgvTHdB8AzNxWJkEI1LIQcxKQD7FjsR8E87WcgvxmMQhKniVC2Goe/a1k
2rzRPeAHRRotKmpSndPQQTAwiSACooZRwiLScY27CuzhCtk7WiZQJZt1TBMh/6lOtGrcjTd17iax
pvuR1u0mRzlFTB3sSX5beGy1BtXe4oPA8xTVlsYqTDbJ57mp1c5cLUujZRhbAGrtFlYI/YAwEP1j
KLNwawf5vG1XT0s/tKfQCJFHGc033fofSunXuyWcxr3ZN7Q85xCBmbM6giud7sex1Gcjb7+ofLkq
hni8sDTW3GVCeI4YvboRVCaXQnNjK3PO9pMcTOpe1zsaBIzT5aFFpapKIp3BJmfAiIERmsEShF1/
47bep2UxZ3z2vgVobvgk6jy/cIlK3lgzrqjYnuYNTRfrkmegP/SSFI0pz7+NXhHudbN8Shr+VSIr
2MsyEkSuIE3EgnEGW38eJm/U6FNkFkN3G+cijlLkbTh9AsXLHRS0ZyYvRA58a8L2qzPIYl+4FAxK
O89lh8y7zPv2qViFNUvndGjm9PCtGx0Rwe3It3jo0db3U3oLAj67C0XdnMxALJcc17kMfg7NJKY4
V6wudin1HMw1L4zBfpDSqzhEaRwvOmBf92TxJioyLUox16fRKb19pvw5qkKj2vfk5FwKS0y7YV6c
SNnzW5/GM2ZLjwDkkO8wpTlwrLANnnpTLKTN9bhrVkSnt0nRklRcsIavr4Y8e2HZ58PVMFXBY+uv
caJAhh6IYjt5pLpERhEmdyMmjFt02tmLn3kPjNcmKC/JtSPq/mgzobQjnWbNzu1jLnRKnuOH0M2x
e7keCPwh2DlL7BHL3fsJd1pxVlnact5IT4VWlNQCl4qu3O3Mfd4ITlA3Cjvo0ST08QhPI/g05T1a
flN/zpp4uMH0aWQ7pVJ1zJrBvnFLT2HKzDT0brMZFGD8OQqFCkG+ui5PhFnet0Ho3k8Yv82IXdOg
xEC+FnFcLb71HWCzdaEm3FPECGCO/M474BJ0WTKVN9RHjpcLAAPmG9s5sR+IICe3azAvOctnH3uM
vm9VQgLTlMbLNqtTGCaJ/QX7jPtQIV78bCWZUUYLg9BVfDXqUzMBtuTMl2YjssdZfzYRpeFpGfuH
BZnTCfGhT1irQSRA5d1iBbwgdmbwt4rXgT7S5c14nD3lf4kTH/6J6P2bcHDls4usH/yRdLddORU7
1JVQtutmKbZdC7mkHuz6vrMdjpozl+Ja5yLgJB1jCfaHZkwwOwRDuQWpOt9UgQSzYXUZpsJp2NOC
4LjM9zoMnWccMkCXJSfgQj6zm+XPvOLGjwVe9QdIw/HRzHx5Mt2JijduvXNbKdpTkmzJfDPDCX9K
hMzmC2VgZAwXpg+hAWBmk5KmhHm+CM/QUlXEhIYYEe1UDYK8xNwtZt/dDYsens1gGb+4mA+PQV+H
F5COhhu8KN2H2na7nPVXZ8OWHAkyW1wGi1RXyxOKoLImCMbtp8fEYoeNOCeN4XYJGxsfRtHMaicz
1gPCJGfVp+Je/jDFweJ9THIUvVsVaN6sAeGcLMROD/SkPZ3snNzxYHjmKQZGsB8UK+NDsVSMMXrE
2FdFpeULoOJqD8e5dLbEgBYn3D3mNkMpGGwcJzeCTV9OJVYvHd+Bz6wQNLK9YqN4gJJUUYS141tV
EnZvpH6294YlQTdFSVpUqh02AzqmR4uB1oZZkjhMQZlfZnXf7mesk9s6IUuzMZaip1nYuPvJqqa7
wnFJY3JJzgXrKfOdyqzxsqyWceOIrML6pJNb0dgxJhs/6+obnaTa3WKDMluP/o/vCYoFFGvh3Aeb
EWsYSAjKTRkQ0ZT77eQ81AORajSAx7kO/K4/ZmFahpspm9VyUWjHiJiSWLuCHna3tfuUfVSjyqR0
8uzjkHruswgwFG4ZFDT+sctZi2947+Mtcq04uZRKYT/kEe6ynWAqQhd8VE2UGz5csnTo6ks1GLSL
+tC61+3AWcBqjTXOkghphjLnduqaE+a+jE66LS+bzJVRLEb/W9nVzmcTgx7qUdkN2UGXzWOfh7F8
AakIRYh0lquB9QhhYlncrdcHwdc6aJKjN5aU4NaQGlGLMO9pycgLlR678y4kgH3fw419NSmsL6YZ
4FPB+bj2sXsRcT2eF9EOd00jm4+pdsp7+DOogvDaRYIwqK2bWnazsdIScldOgEiNJxBMDHMrnSsr
6ki5uXacdh1BWM6Hnipyxyg9jJbKynYJ7zqKc5STWpDPOhb+yWgqvEsc3O8JTQ/3HbORV9fRzrFE
/beJc3YmFGTBxifE4CATW2272g0ubUTJ3N4+nd6K0FCHQjg3tk7DL2bV3WA+xAs+mNiwhJiPrUUO
FjKS5BL1W6DB/jjTjuem3TehdnftnHO+4aE0N1YmU+K7y3SHOznlNEJiQk9Nv6mx1x0NSaK6MfEm
qSavAhCzGv3R882RkzGOrWMH3mjoGzeDvcw4vNIjSYfFlc6RTLoJkzsqcOO7fzb92jSec4VwVbLR
tvg9a4O12695uQ2sgiItoqVDntzlg+KlM8136WCG10on+S6rpHfM8W7tRGGyYfZ1fZamdRsEpdr0
fU+uBfbnV2BN2baqSeGhsGuDawTWXQQ/LN9ZBf7XrAjtl2RlEttTz1C/lGn5grT6pbV9+vqgix2X
mQSzJfXFJP0Jw5RJnFSJ/9ji4Il01CWolCiHIppz3NOZn2ACXIpXN7TTHQJU0gsr/RGF7UWaBFtY
gl+qrPjYZ2p93kaz3oGcyuuNtu0djE9U/6DTzplEHJ73Ot6UiUlmDnk9ZmRUmizdjsHLmOBcvKyh
W/O09P6BmQkuTZTRl7jT8lv6D6a5HR09BjvVmAq/GvU2EzKBTZr2jw76Btk+Ee3LRHM3yQLz61Rx
RMuGTB1Lh6jZyWjFHb5DOgINyaKpHs4gXABNB7l/Bj+6TdO5OQWNRzdYGPlZ+KWC4p4m+0S2b5zX
KMUwh89bZ8nKUzViZSAZvp+f1RCTA4g1wEZe/kQp9SiNto38bvAvUsIKo1YvFI51eoqnpe0hkhvd
tlLjp9BqryZYUZs0E0+VwZaXKccBAtQF0eTawTNTrXIDgbhigBcoANSx+7jU4LHcJRcX1ZxeSqN6
GRoYO3OfPnSe9Q0RDPXfTHVUJXC80lq8gFUml1RVzpfeZfJlJp29JR7qSRPz961pSmPZJ1XgDRu6
HhTfuhlTqADlfTAPWGnrJLO2QxMQvWQSKr3RzAZpUMzTfWsBqAB7EMe0nYZp2ru9M0uK/9LijPP/
2Duz5raRNGv/lYm5RwUSO76IuSFIiqIoWpJlWfINQrZK2IHEvvz6eRKq7rZV/uzoue7oCLeryhZI
IJHL+57znMm+yHrTvyuZsIAGmgAZ+HrEn228Ju403gQk+nrWHLE0bMYliSaOOuGWRyXdazBHiKOB
1cFny7RK6akTsXGMJS93gwdmZNfrsTwrtOslv+E/ZaX3akTGnZVWTB5eEh99kpiOs83iKszxW5jJ
vr7I0MrvJqe3Nq5LL9XOpyPRUhmvunjAbA9QXrEHekPVAmUZBbPfQ8cTzqDeCXZ5ibAvCEO1AvBa
TAnO1AzjgST1gzvUXyJvOU4M+ACQun6ZRdp16LfsdXB+7NLaJZd06PbYWtwdyLP8KG3Kf7Wvt0Ao
6D+yMzWC0KpPTTTc+mn7omOt3/bhbO/8qbytLUlUdzG7lyUsUsTGXXzB2YUCIsbHD0QmfU6E1WJs
1YglbUjejpAQXcS6xBlTFeIwYTLdNnbfXpaIMahcdBXIZftFjqF/22tAqoCtJfg25i9ZJKicdbO5
B06fbOD2fQ3tQXwcPVJqnWkemyDtq/FPu1Vx3GaDStCxm8AFHHpsaopRukhJptCsa9zeGnWWJDF2
jZ5lWLPKayiDQJEW0wJRm4x+v3MjUUAj1OPsWLM+CmKvoUPM8rkVVfWEBscstpm2LN8yUIoTXepM
e66covmAyE07pCx4OKtdUum8LG1ObsYRiXyQNEbaB6mRFMQd6ZHzV/ZZvFqRhNiZCu9Dhd3ieuni
/puWOK9RI2bMG7HWHmvK0LfLZIV4hlwCQ2WijyQk2P2NYcTWcm4mryIpy0XoThVUEQ47yNfLAvtK
VIlwt06WTFtpJATVkpQt94k0yBDUQ+2M690eApvF4JCEw/0c2Z/YIdgf6zCq9lE9dwfegxkCais4
XHkPI6KRjYxL42Ok5zJoY9pGog2fC8K/grQIvUCgvk2Ijkf9dDUabGpOoNKJ8+uG+Io9RDftIwc4
RpMmTn+0SuafjdPpMr2IwnFSRaIcQia1MPY0hSPwQCzEV8DCkXZAen3z0EirvqprD8BWjJFI3/Q6
Nb5ZpmEwMy88OdXkm2eEJ/r9wA+A71f3y+c+g8fNaxxSNKJATYcLeNi12cv+5DJ66kCXY3cx1mVy
WiSUjC0Llo8Npo/YMeE73wgDHAfLvNoJMcs8FZnjfrGaGFxj1qfdgawzIsi0qWbT6lleuYm0fAjQ
1U4f7V52FJ/0TDpAQXWPJ6H5D7TLoxebqLtoi/E+mrbU1Oa7ORumDNJtkaASmaATuy0Hb5zeOXmC
ekEopilfR7bXO1oEtzNRrpuldfSjxO+8tWU/XkQJQatTNBif05Qd+Na2mLCXxhY3bV2BaAAo6d21
dM/Z8UL4v8kXbfisWUl/hAtDXaaAg36Naaz7nElNP+s4ji4M7HQ+h9fWvG1tz73zSWMoiBcIfYKQ
Y+Mr8MfsSDD28NEwTIqhE47shPA+plW6al6J+KKNiV23W4A2Lt6xedvD3W+J0fWj9EyFv2M98Rsz
J1fJmO1954w2T7rAqd7hy95OWXuzRC0kd2eWxs6kDHWvL250TEmrCJCHzq85HL+nELceDUMH0DuV
juYc+34SbaI0qT/3jl3tRxXwHlXY1kaG1JbDTrLTI1RLUhs9fUNp9KoBqXo5jHq3k7DZTlKUeFaI
E9BP1VKNn7q0xDPjTEmxjbXRChwUXEwnHYCLrJZnm+CXQxGLaAcpU16MrW4FpgSRCrdl7K5xR5mP
VG81FrFR3uvs705NVY/7vmP3TznTpUqjxXdznA7gswH5TfQygki2xXXf+d80zKY7Jqfw4MS44TUs
k4T58WqYqRHvktq8rGLh3ZSTM12Osz0cHc0FWOWE+dbqOHX07BgD6s3NkdTd/lrDcnfCYvCVdqrY
ob3W90RWPUewMAPDQu4Xwh6JMawV1Mqa+UFLzHDvNgIcKP3fncZAv4gH2WKonEHUtqSVB1VWQm32
Yd/G5iS2jgBC1dkVe1l9aZ6S3MLi38XLAVkTgdGuaPsbz8V5x0Yvz7elbQz53WTH5MfELDYppFYs
UuTTnzS3RiJD+4YaK27luYr3iMqWjV8tZztb+Pd6iB5qmj+MHUpVY8ge/NZ4NCMma6ItdollLgrF
++yXiDH9iIbHOMbRttVyfVu6WrU3RGYdRpLCSVG9Wzx4QxVO4MDvdTJeo+UDKksEJ2n9WbZ1euNE
Pfk9BrScursYFmv4ok20QQxTe0Spqe/1hR3yhCHsQg4s1JPXPxd+Wt+OfX3bV0ZOTG/lsbQLdRCM
c+2DZ/ozQZ1GfFmXuoGOSXuxNLe/royyAe4HEgLjGrwKy7ceuxFGclRMp0HK6bLJ/wK//0fI8jsh
i4MG+Vdt689J+w1TXfKD4998+1t/ta49hwxBxyCL1GAyXDvN/1Cz+MYftG0c2nMWhTVFA/hn69pC
ueKZBrpr/ovh0vH+Z+ua8AF0KK5OhdIydChS/1aImNKs/KtvbUGksqHh6QaKYZSvf9O0GLQLMor6
ztWqRWsKgYhOILde5hkty2qq/u4G3bz96P9iz3xTJWXX/s9//+yCNNWg8KE9Be+uRDbfiZMRflJv
lIV9hfnb29K6Si4WH5+7A57sEEFEOv/6ej9qiN++IM4K7hddGOQB74S9kPWWFpK+deVWsfOMhl+c
CZAW961iGvz6Uj8qetdL8ah51tTvwbkqkcL3X62h9BT1mbCusmK0n+lsw3fvFgywjhHhkGEL9uBm
qTg3ykH860v/5FsykmxGA5tXnw3/j5dGiD3MOjCwqxZp5iVYM5R4ml2y8A2Q7H+jZBc/plKsX5QR
SG0QNKAH6fHdF50qYo/dKbGuxgoOPccyWi7UtHQ080Pn4n0rzVTGx2KaUB7OJCC0j5aokO5NOTBo
3Sj939ho/v71se56joMGBEseQowfv34qYrrMUWhdeaPF1/XxKl2gDuaX/9u1EJoRzMsQZuC8G1BR
aursMGbrymzxOfeYVF7crpju+tSQT79+quo+/vhyOjpOCJYVl3wc/b1lIME1SYZzb10NYfzKOcLf
9YDof/M0f3bvmIQIMuFizFLvHqaOucXtjNy6Wliyr1JvUIViIISBWCj3/kb0LtTdef+VTIMaOSIZ
buF7sxpYOjEsuMevUkMhDMyBa3IUo0KKUFM+eSpxwVK+w9XjMpMPcBkNofmmw/o2/b/oz+onk9BP
RrCD1wc/i3pVLeP9gAlpGcFpz8i49zrjaGal0Gib+95Jai0jtPYpfGeZwdZgXnpK2OvLa8uWqO3f
u4B+9gQs9iks1TxpGis/jt4s98nnowt11Q7hdIegcdysXgdLNr+zOfzsUsj+PQSRLC2wI368FLbA
pmrc2rxKoDvcvcEAtFzJFj2HJ/Hr4fvjVM/0TW8Te5NvsbKgTHh/MYnAIq9rqR3ZSkI6wOAknyBu
4iYZPYAQnLl+Z8ld82v/NbzUJakJuXBrgMbygN97V2W2WOCqiWHU0UBccPLCxgHZBHEfuP+7RFHy
oY4sYFW8lDJYxCtVTNhaXU1pyL3EqQ+LchutM0hH+RUw7AKXAow44YzbhBP/b26SvcpGv/vMLPx4
Wl0GIkY5E+Xsu8fPbjslKde0MFXpEA8VLbBS3ECqHFlPkbuY4QkSak1UQlClcnbAe9rObQPHH84b
/mqgVUXI3BuCYX5ZzKJ7mQjEYlcbcxrcGHB34i0dAkE/EGw6FSvId8917MGIUQZAPFbdy2p7cQFi
NKRNGkjRDYAt3eBWV15kmccm5QYSjpPONwi+cKohyfMfUBnAvIn9sBYH0ZKIs0GT1MBx9mNqhXlD
0VoloZvORV7WXEMZiKGmzjec2JGLIRui8oBQgvDRuGKESEvIp5kG33IB/tp3jivhpO2iAuYz8R/x
Mcvj7oUGef3kyhL9WUEcx50A73KjGZ0G8EJmUfJFzD6PDFaEQxt1hGf/sFrBoV46z3A9Ge2WguHP
wm9fWkG7YeNgrHsu5sz4Rjy9cRhqt75rnK7A+exSKU0iCKjMvxSQR5/ONkUeIYDL1FiDJsK/oGZq
AZg27miYhA+zZcBLMk2aQS2HT5VhgCHC4P4A73Dv2jZaHozBbl+kb/GcVgWxmJr2JSsig2qV2QH/
bUHABR640ode0mEDUDIDfln5SUWKN2Cl8Fi9TmluXeWokKp4OCfHJELIQ3qgYE2ZYwZIOG6t2LHm
TVHOi3ukd9YctNSFxVOTZq+nBraQagaQn+uaArCgIjzXK/o9Q1r97FIwAriS0mIOhsqb6c7roesc
VWjLCRQM3P7WGvAiGpPBhzFtN6N70LEuOhWdW0ZwBP5mNRDGWkGBd7aLzgvCysPD4JIhh+NxDVAU
pclYhjbn06sP+bGkV2KA1czpRgoFL+o6F5vJnCvTRsfh0AzgKy/Xi5svUSASXCpDVdvPTkw4M91C
RVTARdF8jMzFOCz00NytgXnjSzkM5b1HKeua+ke+relbiA12AeHtBaE0xySHChnlM5dpc3gYY7lQ
ftfb0LnP8yUZN7rjIdwgF2M+w1/QKWXF1NyKzPcDyhpoAGzNCuZyme8zX7fJdo6lPGa6SpRjTFK9
1tvytpMtlaE07AsEaU336lm4hGwDzoS/oi7mKaWc2GfMTAFUGhCvOpTlTac4GU6eNe2+tWfnG/Jo
WqyKslG1ehPtcXC7qP96mWzFCuSo+urspwNSj3Jp4y+RqdHlrjoJ4gmSRQ3f4krMnVtfeHBLnmRS
dPu5RDyCvrw6wrVGqTCN1vKlzOtsh+p0wRI48Bg9iq4B5N7ySypTt6NjoPw6euNeqM1ou3EnLKrb
pim0HWFOVKjZvOzJ0uvUxATPhPbdXZ+12mVJreQyxaq4J+tn/pNi44hcNtFuZyyFjwnZCwFBAdTo
S2ArKUj8DXXfZ7ezeD9ABm1DgwpFPzRiX0BWSanpni1Q1kz/qAZRNDY0GLaOC++jC7Lad017A/zI
iyr15OV4YqfrHQh9hN+C53wELK+oLqiBwq2lUC/UU9uAhhsMRAWCMRQShhIbRcmhbPe9nSFGifVv
4PurRz9PIBH5JJlB8De3fc7n8MOuuGVVgjiDHSs+OVZNCkik80TdyEhPFC7LG72DRpu3HYNaw6bY
Pa+2es1IeSXgfiP2qoBYpFfOCpcwTDhtWNmYDaNGZ0KqFsUzwuxlwHoZiFxA2xLtvH6yyU5MYhQh
IMz1YVO4IaYrw9YqymPWdJNTkwhcsKeHrvVZj73eprlPS7O6ejNK6WKSqGwT1A40SSo2ZsrBoE2c
o1qEPkS5DIu4H6TFq9/HgI5ooAISsUUmnyRxBHw0FxPhJsvL/Mmo6oj9XEyoqzCBWdLQi1tZfLFB
rcrXWQ4WekgXCmLudu2uTK3xz8Ib64iatGZ/9p0QdVfst4e8moncLaco6ZUPL/7aDt1zKm1zZ1tJ
FAXhzPTxSDETm1mySOwInhF754E6c+BQntzF41gj/3WW/eyp7E4/osTvu9b4abCb4s6J5KuRIx1E
7v0h64zuwLyquAo+GbpWL40XiA7Ry5Ik48eod3lyvPHprsY/72+syKWMPeChnbHUtu7RsZO22k4j
RcmgdZjHg4zgyfHQ+ZN+ZdXVfA39yrxzFhJgNk2B8m5DIF6SBmx2/AfYQKDYyayknds01gfiWvIP
pI30d0VCflNTifYb1aEcUctifq18Z4BWINHH2aEBK731zCTIYmqvIwxQKL11znThhzZ9MM86zuPw
NaTe+XHsogw4aq9fN0lkf8lGJ1MZHrHPWllSKa5nM0JUPifXDTSuo+aPPgqqIWqf6ZLIK8CgIBkS
GwGco2ugZboWmrNgyttrbGYpXQrDwL8JamxCXlaa9w5ihsNQmpgKkzg86XO/3HaEp2z8IRqf+ryr
+53etlZyxKM12cCR8R9vvBCB4dmZ9FFeEEXYoqMrtVPqLtUn3BuIWbSsRwJraK6eYZPxxvPICv8q
hrq97iXg+omF8KpMW6DwEhheC82b4wVOS5pvFnaQQLKz0GicusMtiVV40Mo0hFVKsjhc2KkzN82c
2yc490yj6MN8AkLlUI5bA1VcSChpZVx37oy+efZr4e283LWYEAWqY8Ppw72PGXQfyci6RKpA8Tp3
lkPbu8kdNr76Uy/m9sHDW7eDX0XmNAQ3ys0IhC09jpXGOnW30Kpd2lBgbmjB0cjedPo8BKE20NC3
uFU3w8I5pczxbAc2AaUfDN2dPunNqBGK2oH9T8za3Hua2bigqEt7jxqNHPcKG2R70TN2X8M8noDm
md03EIHuy+h0TrLXJbiboM2FDTupyt1mE2LifV26pU62DXQzmoydfLVjNDPYUE1WuaTtjuY40Qup
qhJp/5RAC7awkhOhjFZCy0dkK7oTdkhqVHQ6hDREoTRycDf0VgdCtUf9iJdieIyduUJqFi3pBx09
s74JZZl/KKkSd5vSmLTbWDN5am9I7eINsD0hJkdusB5q/lML/V0tlEYmdaD/v4Xn83MbJ2XUVT8W
Q9/+2j+sfYJQD0gS9Fs9X/lvcOT8w9pnWH+4JseG1ab3T/IpVkCKkxZHI8qdqmLwrzqo/Ydt2cIE
1EIVBmLEv5W0+v5gDKOHrhVEFFoQFEPes2aWaql7re0RVw852MUymXqCFtqOsImxbr98d2N+Un54
XyjkYoQegiqlCkqB7P3BOLInK2fpthi0M0dihdSb1aL9tso6hi6fMOJYz76C+v0fLm1SQyBXBezM
+wNyomWC866wbhd86k+l3wAffMP4uL0j7k1aP2x69YZtSBsuv63//FgSsMjXxSFFUZlCJeVY8f7y
hplEpQ957TYvKM8FnjawjWHrs8hjUqnLTWTo/aY4+A528NdFGSoQcgXbrPe8G+a4sI+kb9ySVmTc
l+SRXxr4Weo9LBiSjjo0XVai8Ju96DFXx13fvTiq1pNrDvehdiq6Nq5iGLZaA2JwWRbr2UE8DmuR
tABxNciQGlGywMDctFLgN55Y4czfFOp4N34onal756yFAroJyob6Y+3GGz0TL3VssEpzQsogpV9O
ec+ByGsnELHJXF1NGYfKXw8YqMN/v6rPiKWCQ2lbAZC/L2o7GmaxyW4g5IlB3KNVIw7cLeNX6J60
nMUy3dkWB3jU7Bii5rj/XVH97y8mxLMVjaPjAvXevyuD73M8yCZB1jH4gkS9MIheOLsO9e9aBeJ9
XZs7TFWXN8tTh6S/kbTC2e1KWNvi1lKAHQ1lQ7YfEpxMKO05zE+ZZT2TuaXeTsit7BRGXpb1JJ1m
6B1/feN/9sVN3WK2VMXmv41aw9Iqv9ZD/bbval4Si417dUJ3wCY+UaSaX1/tZy+Jy7THe8n/3L+V
gYVM9UQzB+N2LVkg3eKYYEWwT3oXsCk2GAuJFiVCQLKMcj8nArggYQUJUgoKGvniUl2t3OGotjl5
oKX04GsM/m7FAsfxwGG/nFPeMiQA03j0Y6Dm+19/iXewqfVNd9nNWFTNbRMX87tXJKUH0HtY6G7D
MNXr/UqtWcfN1BXySR1FgxzX9lM5cwPZHPqAlBcqZy17tYOcCyo0SWZRyljgwDZk/egtICZ40r/+
nD+ZBZWHFfMpoUtkj7/7mBqKiMHBMnNrg0ohyEXdZiGpjgo9FPe14pv++oLG+8Hk6DajmjVXV103
8f6KRcc5U8/m9natqK1AjxAB6nPom7Rrep0SS2M6VAspX0FioCkQE7GB2eVj0mfUx0yg/i9mNeBd
15kB2IlDVjThB1lqTKy3qGXVcIjHjf0TZ7jqaqa1eVphHQYigTP7w9+VTvkG7yYnFmud50wvyjKo
o75vRC1e5rs1BOrbioJr4Mt5abYpHO4PtZmjVqIiMYyEMA+o4Dny5k4AMzSM934coavM+dl6ME8S
x3xq4BFSSbzDEmkdcI+2F0EpIrSPEMEwM2AwxRSkx6P2CWli1G11t6qazRjNsR0QjEbpg24Db0ba
jv2OJYDEL+qU1cbyZHnbl1185bVFejIKrzoPaYh8AaQJsbjSyLVHyCbZB1HN+Tc9ayGlctpGwzov
i+TzDfHLTDCWc+xmMKYJsZbVke5wYW5q2mw3NRtmMNUA3Th1UQLa2m4MjGRwXU0+9GWejmBqXfej
T+iAvqkJb3A2jTHU1ALsqEExQT56Ezid4X2lUoyysywgRR2Waelw/Pa91Vwa9ZxolyFAuZMR9dTr
5BAedfY4Hzk+CrblxJs0t9qIp5vIFipzGFwMIquKOJLyxo0o+gUT2afh1kuBJUTU5x5kxhhxcY9G
G4fUr11dxNho2RrA/QV2zqerbPsZqyDbhDVwnC0gE/EA+/XujQg5uy2F7dDktOa1iOc2RLnn7gm1
bNazMgu0LxLtd6+78mhGejpfO2ZVn7TJ98Q+mkkBQryWTN4lHub4PGR+942qnoPX0aBooydps4XH
HJ0bw2r2DflCACDk06jryyNotuRoYITYUnRF8dQRQ2QnKsDUN8I9apjqS+G39mOlam21I+MXBsr0
Z9SHaUdOcFRu9Z7HE8RhV140EeHyhXAHSKxRoXNAC8tpwrqnafPGI4PeqtEjT8AS5L1me0l2NZRe
m1lwbnK/uHdJKdJ9BkBO5XxbuAUwlU03UztAnGfZZKPy/zikDBsRnZVoIt6AuZudYutlwpePWjw4
Jh83S1GezMTGentNV5ufhS41PiQeUKmBQCT+jc0QMzi9A29UybE5/AvE0mH+aYKHO+A1BASJlBFm
0+D6zCuIcUBFrtzz2BMsplZZ8zNQfsMRa1qerCMWHipeVJpuOkzY0SfDEmWw4nRnA1N2YuG5cr2l
C5bZUTCbcQSdxoF21+U0kcgKsZ9BR/sPowEisF3gojo9mEbNYh5yrYL+ThOjaa55Q72AICB+/Fzb
fDhOHNUV2zrQ7QrumBFrcJWVmXFPaoz6Q1Xunzr4QokqSeG4yy2/iLZCdPybaEGWviFBWJwNXJMQ
/F2USXuPsu9zY7BSbzqqje2miUV6RpvHFIOcA/CSKrj7bjXd0VpnUU/ALd+scyR7OO8U2iyibkpP
huJ4+wKZjlvpNxZqhbbnt+unLXATpIiuKd5VbDsJtLMTOirrXiSDltl8KPEvHKKIUNt+4YkMFjvD
2Rip0glMmyu6q084bpg5PbCVUB531EG3s9o9zgb3XhQzX4pXkitltO9fsOtPd6n6HeIuKpJRyu5T
z2iarDxauCk0M3IYcWsOLWVBdr9T0s5360ZhyagyH1HSO8+GapekLU1AHOdwzw0vfbFMgs6CxAVb
XtVKZRjzSjtVqJ9brNXViWHEszPUpy2rmoWnrZrDimHXU9X+qBSnbS04ogJgNaeNQ4cqNOhyveFB
h4rqwWXdNqq9wN8BWwUmZDrVGij/YN3goByHa7Wk3cvb4cdUa/Kc+oiwYXBZWBNxeaZIHZzeuh7t
GXJeYVvPsUuI4QXLDh9QGiSgbzytpKqB/DD8mmsxyLJyfYVEaMP2GqZGbYNYebptM9561ti+5EqS
wgnCY3PHP/o455tdadnMbZU6qmRxkVys/SamAfPS4Umf4Xy7l3yd6goLn3OHCw/jKOE0fFoMwwpo
y4qL0599uWrm6Nju8IFavYIsDTR+LBKy+2s4ZVqMPjHkDCgc6MxkIy5E/ULm4cOENgP4rQXaCeqQ
hI6792nmYWHoaj25oAHIGMEuYj8TcMM9nVBocgRQk0CWm9MdvFvuSp4l/smZCS2gqc4L56jLFyMN
oFS99WSjQ9lUbdVVgMR2vz7UoclTTQxotjjR1X0Y2YL6JZ21NUJiUrnIazMxIwu62L3lBkQ2b3zT
tHySdSRaUwo2jgQBNTbodu1EkzP5kMwBNsOfYPNS2FcPKK0tpiaDSJ9D0Qj/IcFah9qX42i7Qzyq
WqgeTcqNMUbFRzrZ9vMqIDI0jzMAGj5Bt8ET96OpgtVNA0EnoYSpT+st8eUTpWRe9FqME/x1xi0r
0XQHH50ZiFY8fCB14F1Gja44CPl75Dr0pZm69c3IkfZepR3c0yDgsXRql7bQzczfdozrsjkvOiNK
KnKj6cV898WW/qk0PG2T0m/ZklPNSUYFbzRymPxtOop82Tbq48QOMqgsAbMpcX+Z9DAiQrGyEgnC
MoN2cM3F3ON3FaRutRHTUZLxcqFZY3aM28bGFsKQ7xngqBbiJIT0NtINhHNs05i2/T6376ZmRGZe
AjrAuNHQTLQmNbPwp/2HctI5tsJtv8zqCtYEhNQxh1Lh8LfzPjbqj0I3RoZImHGjFzWuknSd+ybw
jBdVJJjk2YpE6kiOan/BKEmDeb0Bb3OROrgPSpazTqxNpCIl1rGLwpplbaWST24yfwVCGN6u49PC
w3KRUgi4GEqyhq/d3mOIeHrfHCw7G45xNDfeXwMCr6L3Kl0sXwER4qqnWvpEFJKDEwGEvl9HxVvI
A+5qcXYsSL6iLuGo2qraQOsrqQKnLAXNGbtkJiKlkWZMbVCEaOyUpiu9OE5VowpRQJqfB4018t9m
NkIA4gh6Ogs0IgeGnLhHw1eNW5FHvFkESLLCgIXHGSYZND1psg+mmYgPNqim2zddgL5iQTtYL/gc
eb8sGH4krYcuNxuXhlq+u5S7ZOIlpBjEAgSdJDLnMUDBykRaRQ0xNrXmEYRRQqhdGHAdr5lJp8Ck
wj1Pd8Ws2tu0ZfwHf5rZ+BHhQZVlHlBXj4bVaVuoUJPKTtXk8nEQHmkaXT+Qpi7aVK/e0tjRlvEp
bK/jCkBRGO06tW8Ig3bPJiQi1PuBZgAFbzmp7+v6442FQeZj703FB+CX32It1AJCeduDnZPK4zbM
7Mgg0tcIL/jGNWqC7mCcZDS3iYM1J8iWaSJZkeYEu1FHydNnhzI7D6gfuM+JZJarbOg5F1qfgkIF
RD1soroixnKYistEyvTatFohyGe1i0tO9tOhFLKcg1zKEg8+VXN/ytkvOIpZiNiTEda0Bu5wBHOd
fqzV5H/E30kh0qfsfy56i5A6gw7a5aolQLeNI63Ow1H7GKWo7IOmkPxa+4KbtOpbVhWRZ45MOI2a
/OuBPU6htnSr8COLOnZ4qvfXKyrZelBeE0xG0+dV9eMa+qPe8PHChXyWDPs+IoJw5JNO62ISxszb
i51UGc1rnykp86W/S9UaLrCmPoSeYuCvB8NIj0p5RMBCoGPTMadVzuSGV9TTiBUkh+WU+HRDRumL
czTZ/oPQuvbFWGD24Ca2LjmD8VxLx2D9pH/HaC0iZqs1DGfgysE6b/ppxuSIAtTcrbA1I1f7zVWi
QCwp+vxQUr4aJ0s+ZZj5NxW5g89NzSvU5QyeJMRQp1X23lHUoc2y4BsmyjKODwbq8z+twQF/iKOC
N67TcAza9JFP2tsOAxFIr7EyF1i8rEvXXYid5MA20TTkfINRum8uKoKV9hCT4F14bWc/A1wU94iD
KdnZPrMSdR5uiYv0gVpTaHCSKBwWFmeYnfuYijWYANe8lNgiz80Sqelg3TLbevHqRMa0oUpW6Pso
K1xv58ydsefK8X3c9NOnifDkU0zj7hPG9mzb8oYwO3PaWfYsiMo+5hTYVWdLajdKbjhhfvJLb2c2
5nQgl1D71kvTfiH1Y/kTq+MAYmhq2W6PObYFZzaoXLT6SbApu8gprqD01J0GXxhNpE1dl2m9q6up
PtrmlJwTFy59lDrJ50J20UeHPT4KhyIH2dba+gXJ1fPZN2X4Kdbc7FtVz/wku9STlp1y6Uc3S6lx
Ys31aATb2qFpUrl8zpvq8j8dnt90eFx2Ed+VlbbP3fN/vdHdzs/Fn//z30FVln9+65Jvffc9qe3t
r/3V4HHFH0rjLhwWl7WXY/6zweOaf7iGTc/jH1l1VJq/YzfCYlvB1XwIfvOvLo/+BwVJ2kV0i1yB
te3f6vJAnf+hYsRFmIF8g5YSSmEKb8a70pttzCgH4Y0cqjISWyNO8l28lDAQuu5xdrKvHqWvjayW
jjUN63iWOoDApjk7egga6FR4997gMVXkXXY99flpIAkXs6NzhtSAHUTXSiKjBj+YsQLz6pfLHnug
vq0jyXbJq/29ZNccEAHnYwI0bmU4AEGJCQVKLQ97dO1OAG64phbpQ5ASgsu5mFDcNGsfh9y/56yH
sUxWRuDY6VdHk/o2B7S8yRT0rBrc5lIOzaNgixYs9mBu0sXWdkXoPmijfpea4iveWE7dtnzMq+S1
ijpzM1V0kyEZ3BLfDne55Ps4cup2elM/OiJVvjeXWqDG1+NcbuDjhtlAHvBl03iXUdl1u7Dl1jAV
76KOotSSZq9GpmGLgm+3qbyGyljND80HboGVRZ/4CtwG3bsskrbdhg1/atD5DGhItF0cGi3HEHJO
2RrIPWyVfOuQFhqQx35LvChGLP4mAFcPlQ1ku8WAQRDN3AKZm+S8dmK5jar81ifbfpe3XDKPFvvK
tmAnl6Np7PqaD2RKJ9vqS/Qpa/1pg+fX2/pV+TqXdXWoMYwGdjiTg03qK7ugPPoW5iS8d41/73Ny
2xFBjtkRthwbzpQH3HkeIjeSVxvEwfesfNmpphoHbSJf9hLJz2H0uHsmDjI8S+6lJ7T7dZAkNYvc
bNXtll2kvsVpTfvRS4JG9+9HT2Cozvil0O3bIeFDRSnLoak1/l6khN1WOH6Ort8ZGM7VKOr4s9DG
z0krsm1dtQDXhjgNnNCZuE0MrD4vZEBQ1Jnx/ApGmhgog4+ej8lX03J59gv/hNgByI8A2M0ZrQ3Q
7vB3Cu4SMgryBF25XJMK4AdN2zyuz7sgU3sz5AyrbuT7RjFDxlWMq6rGWUktJj/qInrlJWdUo5uD
QsLo9FyGSqXehaju5k85UIcNEO+vpuCD8OZ5VPqy5Nxzu1zLvUeF3e1Gkq02rjuGR9gey3Xs8nb4
bvvoZvxAB1UzLxyDyeNtXG8GIjZIgBp/VGbF16ICQccyC56GEgeZdwzaPGvD41xCxyjaVAaGhO83
gvkKTEiJewh5+IKzSt8WjcUt1Qc+QxS3VHK16SKijXwidjkJarSdO8qZLKKjeUrGtFREKkYZ4S/B
NJbZtWfwouLj1LfI6/NdNkf5Dk7yq54Pye0Qk6+uXi8zXZaDLnpjR3/Y2/YVwIiKvftGL3jcFLSy
YxTr5cVEeu1uEOo1hIEVrM9WK/j6WlieHDTkTCEMgVICFzSpp6G24PlRokJYjKT8ooUFTaAVjCiH
pGK4AwzndQCoEc4rfptYS3lhzkxj0CE7mEU+OFr1mLsePUzHZjOAmNMpXEr4LBOyb+2Yr7poXKuE
snWgrcDsBc8vmfnNKLLXSKWO0Z5gXtF4mwskroFRCsrITV+e3ESfzjaOfG9Mv2pRQjEDa/MJKlWG
FIw3ApCrdohs3tNqscVpdmN/7zoMsrIwy5PW+lydoihzb/FctkwOBA9ikLPQCAF80bWJHyZGLLit
6aidg4ku0aYqaLTN5Qi8ZOuW7I/xceoHvUJGpuWRCrckMjEceXTsRvyLsDduYzIeLpb/Ze+8luNG
0m39Lvv6oAMuYSL2PhGnPIvFoqfMTQZFSvAuYRNPfz5I6tkSe0aaue/o6J6RaICCSfP/a33LKvUe
3hIcIHfAL93wseXAKYw9jE9ekeqAzJH/IDn8NjbZIczary/tAOppbUQG6B04f2jNTEzv7q1NbOHe
kxBwRFct0w5kO91M9a71Eu5fhSkxbszyhHppIlY5+4KVgEuDTnP99VqTEZttMjg3N73FfXVLL9si
/203RsA+HcxNQyy2IW/IA0WxV9HhCmTzBZXzyi/6dPtV4RQljCeukSc7S6mXwDTEtjQsouwb/6mo
IJ5lRnxjjP0Z8SgFyJE4Hp2wG1gZJJMjsIRhSFjfWOFungwPZk0+f8woBQwresuut6Xs3hosrVX6
ySbMfkPLMRTrxLQfBPCzTUtjLr0CGNofk9HkFjqmJINcRkjdtnTzUhzeSXcDyNyT9AzY6fo71U4D
zJKsM7fsLxX1GtTE1tprGgN5cv9sUJh/Rbb94hImh0XSmbIvQeMYM0IyHPvImcIJHV6pql1YZFNY
r5QB+7BOFe98iqpuEzEVbWwrkFfhSEVoB7RgbM8ZakJAB6HbFgfAY53xXqMQX8d9NOQnGYcO5nAw
894awEuTnMXg2Xob2aU0wE2wfIh97+GHpdhvJSVf1zWktQUYH3zEx+FbjQMgGnt2K4UGK9GwAuf4
C/LDgCEoeOhV5fBY8da5CU/6r4/7cyvz+3FdC0oK4AgfYcnP8oAQqTsSuLo/WOPXwY530Emy13Kk
CTHV2ZdfH+3nNub3o/n49NFdhkt6189HQ8GNN52WziHXPCDLSiDMpEERgLbX1yP9vQn4zSbAcn2L
Nfu/lnldvD7H1Y/r/+8/8Q+Fl/UHxhv+sdwlV2fRjP2p8LL8Pyg5WQISs4fE4H+X/4vIC6fQ8gyh
CfMWUxg8my7+n/8i3hqHKl4eCjUCq6rp/CecZtxAPy//6YLT0+W0qJciB/pLzEtmyYYlhfTOInaN
i4hGW3NZ+lrb2NfRf8MXJxgxc8rjZIZefo95U4Sf0J99jpl37sELOGJtVYhXPWt6l9G8v0S6AQIt
twOAkjXZpQvIrQ1BlAFi6u6MfKGmx9E4No9m2UjgtMg0neIyC5N2Pwx5mp59Ow6b1djkwS6B5XBR
YPRY+yk9zEJb8CCK3KXtFIhdnKCh3bIRv83qsFMgSUZ5IoO6PrW93e21NzRHFMrj62zlH108Fq9u
2Jof8rHy9yYul49oi821CyXwwnPaZwpDFp83iDV9DVvFl7OOp4NZV+6OG2Wcy9SQ08b3wUEiKVBy
rYh5GEA2UAYpBmA6OdQIxL/ptRHH9juyTk5uD2rESiaWx0ls3um2rO66viH8pTPf5SIJHyeBJX8q
J2jUdviONqe3HUyM7s5Q3Lopedlur+yzKgp10SPfX5tpkgDGrcYLoGXJVWjkz2HXYHcn9GMrWMZf
Ntgu9nllDJ/azJdws8kjwc+Xfy7yhKzqNLA+oyBEKR20qjqEdvIZUJvahmMyvRdWMLJ9SCj5NHUA
rbDIg4+23eNz8AGNQFJ5VyTFu8bg0HTxCJKJx+GD7JgaHTjMcLMSfy3IKGJdSqQzmxwoxhYjYFjc
+3j00VOYcX2xPJGPzdB6u8CSCZiePs8OlPAaKuG+33H2g7+hyTo4e3MgdZF6/jT2MIOs6M7NrOxG
63a+lmNsruPZbU6xYxtk1pqT4CgOlXMfjbGb5op2rOEk96xo8pMoan2KtedckXgGLS+W4w1sE7Ur
4XS9dIGblytkZmBRM1CnIWJ+JsjRtfaFn44nNcvkMBHAeOpA/8HK8sboNUarsBQxxSG2qIuudF/7
lH9CBL5Jt8Ssl9pceQr67kqVNlk7DVzLVUQ2+xMkBkT/jaPtXeZkjSaO2E9w48TDbohtAbKugIxY
FXZ4OQD9S8GzuLDLYKqrXThOp6ThpHxa6cd21u1jxJ60WA3Mw1+qfq5oWeUhU1/mnZQwXr1ZgF6O
45S1iYzAQisDHt40RwX4Dafe+akZvksGDXtV+Ze1LJMbujDxLo+E+WlgabGzE8t7yRo5H+epGOK1
N2CVGRXdfGV14/uwcp0bMkt8ZCCBhNdRhdG6zEZ9WY2G262DQFZHmjhjvSmkEW91D3rUF6yhZuKE
1p43lZtucuwLZBLqLselSijt2D+JWFS3SVLGmn1YZrCPipJLo3b0ShRhUAAB4SN5Ffq1lU3fcF34
I7EzatBQPwcgfZ3U22QM5sdhIo93GBtrF6MH2gAo5JYAYL+Kg1LdeF6DtilQD8R8eXeh0x8UOvzr
sTeRgU/+UfS81mDa7OkikcV4CEavotVuG1trtFrqGnWg7zOauFdFO9gPtt2kH8HAwZD2MvKrR0Vr
TSPqvyjZj95PaWMT5kBuMgDSq8I3tmZZjbeR26iTxjq0ZvCk1QsLcl2JMkZ/kpAZhAd3ExGFcTE3
1qs1Cu8M6qe8sK3BvigQ6q4Sq0X2UtY2KFEZ7ZUtEYMkSCR8QpZX2na6+zmM9efCrCmGEKNxAHLs
3vq6KciasOJhQ05bjG1MZHvMMvUmkQzkMGK7yySmbkqXllzjBbLlBYN3RVoMTEv6xhdhFI8bmYXB
B6cy44NGbA6ULA+3yoWpuElb4X1gEpwPbhgany1SoNEQx0gnPLf/kpLAdnYpgdy1jWetayBdizHn
OZqLaAstMN/Y1TDsgwGp6bqWTfzBnqPupIr8DtheD4gfOq6jVH1p0+qhILpwbKZgvjGtJLwGIJk1
7NLkTLqbp/aFW9Gxc6Zg02bBsOn92P0c6XLAeDSB+Y4X/9aiVpDZGK+VJ4xTbLgN4D0xvqsndjSu
Vc93HkK5TedU3oc+iHk3HA+elAjyC7LDJlKSeqjKeYRpWSTux4xIw1WAKutsybIEAVZZzyNJxJup
mx9lz5Buj9o+sCSuCzZmUgD8teBRmTMFoTC/m03rgtWDuQIAZHnoCPGkovAXIdT6AflaFr0zJlFA
+Crw5nplfJPmrS5XRhONT2bkNcfQgWUWUQILGEFleGDcNNb0VU4tGUt389zf9FHSYc0x88ueC7YW
PHsPqbaLo6xoy7E/3VMSYCs9Y/4KA+Mu0yGP2qgqNiWOjNZuGQUHMvb6XRR0+bZ1+mJtBvKUZnW2
r9COXUgC1aAMm1Bl6sK94IWCFV3Qjow6ilb2lC9EQFmcIrLemYrk+Azfpt4bqEsv56H1Xyw/zz/h
iDfOolWAbApBDoD7aGqX3QeG29M4IgHAZTnvAwxI20b4wyNJR/1ReMVzipDhIoaLuGuypNoPvcYM
M+c+anYjao+JLbExYWq9a6OyupkbNo8QHMWwStNbK6rtD3h2xlPIrAxty5LDOytJjEM+D+JU1KTG
2YnYVU66OE/N68xznyboR4AKi3xLtqhc+eyDHsIgqvd9FzTXddBZ66mtaZY18nOQRQyBURxjOGTH
NcZtfmirfGlSuONljY34/RAuJr92qDYge5uN64n5i2jyh5h4eIpiqX+fSU6hs7JuzfnplZc6VwOj
6raOrY+ydQ3kY258ndbVKR8NfQUC6USOt/uIh7E8Nqnjbl1DDUuObbhLpkx+VL2e9u6UqI+TURJ3
ExLRA4houPDHlNaN136EhAgz3CwQj40Daoroa5v62eiF3ijt0FmEj3QMQ409Mcovpw7kCNAVRHnF
cAYOH63jwKzWsennj1jPynsWVdlliZiqXwlL+qtkzIL0uqo6ax/6UX3OI5d0IafeB5OprkbHBbCH
z2wfpy4+8diOTv7ScVZ22h8imSaCET/1bhpRTxcxEPcdlCEkXWkq1qM7fqSAl64rXwlIVKM1X2Mj
StcZ0u5jBUhoJ4Jxeu4DGaBhb+A8SbC1AtteBMTM0427EdU8vZTU2j56VMhMlrnPRYRHkhP5UvRF
s0uLMqywvRrqQrcmaqs0o2gzq4ySS5MVRGe4WUnAjg3TDFgwaoGiiYGpR69wveyNW84jU5qnupUI
EUlkWXrNunfdJWa+G228eqasmUFHaR0Xn/eaSbjexEFgHqRjmF+g7wiEbznyiw6cV+V1xPAlhSL/
vVeo1bJbgQXTWbVQCS+lBIDdlHZ6YXKrP2Kiiw72JOXWB5yJvkm32VG1GJ4imHubZkSmgIZM+u8R
US4F2N4Xq2Q2b32giTYgN8Bl1thZL1Pt59cEqzAgDHa+Jm3A3skSLKR1Dza5T+VGDsDhXpIeoYOL
I/urhG8CUu4e5VdxXzcFYfUwatJOKLS8TosKMPwqCEwVcjnkgYS8DGgqUrERYZL5sLEQFBowyTsS
RpAZ1l8FhyFnyBpBvOdnqo8GCQw7bQ/1Bd7ISa2sRbxoLjLGfgiaq6bmu4EOVx8c3jwn02rH2ty4
wtHcbPpI2/vEFzXSyHoqX5U0ratqUU5SAp15g9nMnbGPPMxUdleNEt4rGOlWUnKc60spwnErYNDf
qaVGmUJGPBpFXdyaIxQ4JJmaPmI89gc374JlNNAbVn02tC2WMPbYFtC2kuzgqdzd+rmwL82yJdJ+
ERsnwkSthFltIzxNAdk3OB5kvepxSgb3HXVwatltUuPtbC0DNauZZ2uTK3c3gshYJ3mnP+Bwu4bG
ymU183C6n8Yw2gwp3Lw1rhTzStcRRPuORgU8uqlZtSLweopSdXAdMAvTupia/iIlJLXC+lEWx6lI
04cIPu+HjqUne6Z2OOMEj+4LMbc7mkfNFZDfdG+EHbsvgXX5bMhhVADypmHr9ZA5YeE191IWiMRg
2RKiCa0enppayLMhJN/Gap5UrKz3VOSb92UVPcnCN08u5WuUiCWVUseua4Q5oQkrdDAv6fjW90M8
teVG4pvzr/opdm/LuHn2Qf2igp0BW6MfM8GAjCbTfjJHLi73XHrXWa7zdylIxke0u5L4npCSoO4t
e89WqHvMVD++DgBd1rXtRpdtEdWQf6Nyl6qUl3AicW+lvE7oFVsP1jpwBeyNjMX4aWbVx4rfoAyr
qmlRMAZZvMHRl9ypKGQl1swAmAdUTNs2MKwtYV/hxYiC9SKe5/QkYhJ3CsTh5xzrLWZzmNY4Tz/l
QTU/UiSUxEVY2ORXDgEQWxOT9ruMoQKyHDg/jJX+fG3oat7kfS333cKZK5d1kjPzXCnkRCurMaOj
tGnOk89trJMkrA5YQYkbY1tWsf9cFrKWUCfhsLhOSlMsI1i0DXUzYmBsk7Ro3lcdrYprK0tbh2qt
x2asoc1mrnBExwF+aa8F9kJJZH41dGmON1ZopND8SNJNQMXrdx2xx9MD8rCU+dXo2PB2NyAfSLHe
9r1PqZmauprGSy6JCoIdkPPYWzuASfts9X/IhGtjVDbTeY6mvQSZh9yqmJ5+KP/8k8rjW+YKfAMa
qSIQPqsyqjtvPV11M43Itq3xTBlObIwQpodlD9yR4sIIgo2MPtqFs+iw4OyInYGYGpD3NvDlVd3P
WzCBWz7qPpzTDbXS3yC53hQMv50bhjkLAhh69LdwowLfb2ki9TvXtTr7NWtFeUiG37gr/tlBrCXg
nEDC0PTfXgCRdhOb3mE8J7a5Wv71jHxX+tXu75Jk2SWd/k1JEpsiVed/XZEkYKNSz68/FSW//cyf
NUmTbEgQe0uKtAf1KPihJvk1a9JjAbl4n5AnUHr8U5RAIdOi7Bh633yhNrf9e1WSYDn8m6TNeWB7
MJ+Y4X9SlXSXqvUPACCThUngg6fzEdALIFCcw48WO7OIa+i7s3EZdLJJWVyghNT9ezWEbqmOqVn4
QP7ZbwbMBT6W1EScnDAvxm1U0AbyWS5VqHeioxvKIHOuSsOmMksLDUSBmQLzAsSDsZs8iknuIU8L
KmqCJSzd2Zm/lYArm5ljPZqCisEMIbUvmCBO1lAIFImrMfANtAsGCSgD/dvi6PguYvTMIQASwoFE
wvDBLpXs1iy5VK3v02YmTn4buNHo3wbx1MfhdZLQO+1Cl80mvTGjWIu+RFCY92pmfeNrQwIrF1UT
1H/7tf+tyEXuscMT+69fm/Pn4fn1+cdK/vcf+fOtschaxaXmgG73vjqj/7eSb/MI//ma8G7R+PFR
iKBHxmGLrOfP10TwJWwNJsmpKAkEdr3/+98/MdraN3/+ERzJu/fmPcG7uxzGxk0QevZfxlkM09NQ
qtq58mXrP2n00RfasQwFbZ7+qI6LptlMdXXkhW4suA4Nni44wdsRDcK+x657EtLs7fcinjNCJ3JK
3s00OC59/4ZYj165+skZ3OE9Qli16SI9o3DW9kQXPBiiVd1hI2OZUQ57eMXWXY989EM5yOF6JtR7
wsxcspPLZuWTDCjVuEsKlzKvSrEYqIyAMgpT3d4LOUWg2Slk5wj4cAq3F4muq7Xv7eIpGKMD3MGZ
OJwsNT+lJAjqVa6z7LXxjeYaNMdALtFYTNdSVi1la+w39Cpr2FUrYBGZf1Fp5c672aKktW+1zVed
VtT2kXAiFlmxaPRFZJQi3RSAxYxjwAki/pWzQb55g0Hm1g7q6jZ00+gOKc9w3eTAalI/7zZjXFAj
l2017NNR+QfKNSTTpm41R1RDOiTmAbSiDTM8yuorJ7MfUVF07AE247fAVWmJpN8X0o4cfx+IMot2
viLbwdxMaaFKc42Ccjo731JdO02eKzLaZSlTf13XpB5AtzLbJkEOs+5dW5P/6NwNmHZWioGfkU6A
LZ/OWTMwFG6X+n+IlitSxa6mZInPkb6VB0zGiFN5LS1t7PBOWe1IBYhuPhezBz5zak1jiDdRY3p+
dTDb0ZKXdEdyuUHFNCwPjj8f5onA9J0xEZC3gkw+5sOx63oW72dLF2nngOhtWxI2i1WGUrK13kcy
tu35w5TQs1ev3dh0RYGKdJ5zefv3MuHfWSYsVtBfjXf/L3/+9Fz8NOB9+5Hv413g/oHzmbalR1HB
8iBB/GO8C4I/aIvazPSBzSBkLQ3K78Ofs4xxPu52LOMuzfcfMmYd8w8bri6rDg/eBT7V/0y6+PPg
5y7+MEQ4FtpFx8ae/maRkFrsr1rHNQ6hYUA+R5A+H/rQbX+jI3izlv16mAVHSIfWMQNG7Z/XIrPV
In+aB+PQztjOsgrWt9ObwXUxDgwQP1z/f7Jz4IL+uO5ZjhWyECBMm22ah2P752NxL1K0GY48aKsK
r1END1es05wjybUQ3zxiYX5zQHYjfzmkz9yBB5rlngUokpXgj0styPGisXzFJkArVCQS1f4J1QT7
ucrAcEqDBX8q86Fj70zEHA4JHPmizEE7Vu4bEfVrMQxsjQmOgwmxqNHDasLTgPiE6DOqhyj/2nBP
YEK4H2fsPQUK6XUpp/IIwLC4zYF9gpVQ3aNFrucxHNA4GrIgSFt3yRnSuCg3TlTGe92YWAmiVm8b
SEq3tuHOn0NMFk9x5qonv46uzF4n1PFzUmbr3DzMtpNdQeL0gnWcOv2t3fbFl9mZq+vZGdNHGz8r
qQMy3yFXKhdY3rDuq3JE7iThoM2NTc8B+JJq9Li14qle5Z3TXvpWV51VHYwYGjPn2cwjysDe2BCQ
ZoyHhnzuaOVOoSSZ17CrlxZLFGXzYrrFsxf37OFRCa1U4O7M1ob3noGNyjZTrPwW5ZEeo7H9EApb
6PYUl3W680tQaOtR8pyvsTVTvjCdovzUKwyjWH+Cd2mY2XdhZIbk1Zht+JoSq0NdMVwkqks+IL2g
NMEngMOEgk7gxJ+yOF9KPaWbX6O2CxAKulF18vuxJ82yHJ8CPedrqslqY9s5z17KimHlJqm4Thzr
DmSRSRYTlpAYSee2tUz1ofCrYVdNZkc1x6MjOBH28UrHOt7HZfyil2jiiPLSZRQGPUD3WcTFtuXi
xDjsrhroMu9c+re3TpnMJ3OWKGbgd2QXXjmYxiZLUmJjDUKhXdb55N+Z7mEYy3br6CSD1Rj1r5jH
uk+ZBflzO0ezV26NLgmPXIJ2E0vvpelyFHejOtPAwpTn56/4xqD+A7uVBmkFGHofQ6xHPKR1vjeI
qlgx90/rFqUiECjXXJPy5bFY6S5TQ7kIhFkJrT0zSJ9hFFPUM/yPDo0ckpo9wrR8r7mTY26fvLi9
EROV5RW7HZdHm7dnAuDPQsBFtWANnyd6fzuhjO4qs8v5UzdVes2dFZ/qKcuuk7C0N9ncdXcN8bnr
sgvumiZMtr2Y3xu9cs72HNtbTPHtmRiDeQt/bLwvy7AnazgcCHmjokV4nA/zzz4kWTACk+tgzekX
ogdJpJFD31eo1EjkxZoX1PYSlpEOmywqMrElOE1nZP40mCWwoenpIg/hVpIpyEIA2pRhRPNT1o44
3ZGI9O2IScSoqI3qoU0fXJUGEbBNK52CYXzwdUeMl0XII/zJpcPE7obqvGBJgamKNcyeDCjPfz9R
+w6wamS2uIBGgYgpyQ0dkGrZJo0L0b/z8HSMc8QiR/CdTp0M0RlmKwFIFQum8SbyjChwVrXXtPFl
CAOMBlYrR/HBruMeeaSJ5IxYMTWF9lPajwawrwmZzas/xdyomAxk45hR4+zVfVbIsmj2MFGzD4ao
s/twwHiqzJJhuCp8cRjMLn/yCetWyDVsmi5j7zlHMQ0o/sZ5WLoYRhzuBV7C42jTorLAth3sAoLM
aiLpW+M/AlJoxyQ20WJY/holjrzXKANePMRxdMwQvO/cbDEC5xPH7d0Sa8hCuqlbszwmVGe3HQm8
JbErRJavjADzUuMu7EF/8K0dyvlqw3a3RBoCmK2kCzGtDHYG3AEZfpwU/6/pjPJ+BjBKBmJp9ISo
DGNxOzlu/dllgXniRJJol9kuZlX6fvOm96I83io9VhcBNeJrdCzecw5inN5YPlg7NiMF8IOM7JEM
XXIJvxGiHRejK77YgcqfUL0CWsRKMG+CuajuoyLGwdOyi4LoVmVIJWMiOf5eBf57q8ClvPKvd72s
AtvszSJw+Yk/N712+AfmOTa8GEXMb1K0b/I1kor+gGdNrccWCGagYvxjDYjpBdQJ3w6gRIDrWQqA
37fAgi8JKF8BHjWwNDY5Dm+2vL/aAi+0sx9WTMvpYOokowfsvukyfS0rqh/CEwJ/0EXRm+5nSvV1
+oW5RDomwSW20XSbrktt/QQDJ+l2rXZyYJOtFuJlknldnqyK6oq9qw0XD1/WBAZzZRlKU8YUiLJ4
elQmChwGZLf2kMcihogGYz04Q4Ow1cl7Tew19tvWvmaXXkP/i0ywkY/AsjCV50zOgI5duMs2gpSe
cvHeaYmlY3ZkKg3VmkhUA6VMOaQtKcqakF48/j/cyH+ynLR+rqO58LPRvVoAN0hCYAp9e3VoX1n4
7GbxuW7HASNdEfkxDQDmMJZGYSRCDjlZSVl8aTyV6Ad34X+ptc1IyecprTGaHn99Sktd5KcbhvIq
tEDvUB5HnRu+zWXwYSsXVauiVwuRT3ZFBnyUHWe3B2K7jxEasH2kugclAsxCHVA9SBHNLmFjdZU9
V1OrG9ZJPQ2OI5N5a8bbWUbUBuZ84lZsOwDcrAgVwvFp60FZ8M7znBHpsaUwyEp3RZpRT8z0rz+U
+/Nnosi/PIPUIE1hUYcJ7Z8fQhlncErBuX426ax796JMjOquyGU13/z6QLxRP148DuRQD3Vxfy0A
sL+ofTVjbDjDu31l225TUKxxgrson0ze8MnxU/eazqMANKk9kRvdurYif7hjpi3TL78+k5+3De5y
JoLiLO0c6PIYxJZL8sN7ZzmRNsMp9V4HguERj5K53SHxRmznO0fWYzNp0r8+4l8uMqVqKmZfq8sA
ib/WjH84Irp7wwey6bzkGJYqvWl0bQzo1YJZ6vE3x/p5H7Z8OgYuBNVsL+2ArdibG2onZZ7h4rBf
JysiQ/yzzbI+Jgyy7nnuIojaXGKaVz2KiP/0Q/IMgaZC3hvA7vfebDZBZ7QK4277gtqWSHeCPPNg
uJOE6nJ1f32oNzu/5UMCnrTZugmbJwqx8c+3MK0qKxsHu3htcUMU/oHIz/IxtzvGqHUHBSaqr6dw
lmZxqhJVeuZWDHE2P6WtX2Mio5ZEKPHKJOw5vE1Tz6dqGA+lnZ8y0EeBPvSj6xa/gzX+5caIwBIh
fSXuDp7KtwOaFWaBPaGjfIG+Rd0TcwKUni8DhSvQQlXhkaMl0cZ28ncX669PH1hyj70iHRBwjW+H
LWlY5lSjpPyEfdAC+I2WIEEL4Qd1rMy15eCgyg+8Jpn/DCgOVMqmUUqFOMVgmw0PSTGPRFORMDB3
nyLSd8Odg4FbXwqIAL+3IARvX09O0BcUoRmV8I5S1fn53tLMqFWBzeFTHCSAdVbElnXzTUv6JQ/V
rFnHD/uwrVvvbDgy4W1qS9dlMig9opNZqaPl0S88gEX6hYYsV4bpD2LFiA/OrdIv3wZgV9aMLmLq
I+99G4Uh/Y6h8DOe1AE2OHenVJ3HNFw6FoGrK8giyxBtEHXHAW095cGtjOtu+jDrZQmxInSVvPmN
naYOgzxUNa9Jd7bbEBq3amLUyZRA3LT47OEqIlvUIcR1vuH1D8X7ElrB/KQIg+McFxtN2a8sjFfv
SXCpU9IAvSmfn+bO8YeHQSHCvWtT/mZcxWXKCLKKYUVwz+wYtmmzKkgyA2GeOrXBi85+FGYEfsY0
JVkW4phXilU7pjbf6VkkOoCP8vy28PZimOLutiNpkskMs1LKENwq6sZ6m0YhhzaSkUDeFfWH5WhG
pGvvDF4gaT40dKGGgyQ1ILnKXQAK+0VXWl7GjaH7Yz9hAMRiFshl5EsgMOpLBJExk6Upu2XObAKY
7+qA/KHDkVqRjE545/cPQDs25qOWPgr+dGPSWeOCCrPk8WunaBnEctQSRrFt4PnzP3jSKdmu25p0
zj9/R1ODBto6iRRJvOaRqwijdOJZcA16JyGJ+DDVRF8ctVPxmaJvV9WFhc+VE0Hd8w3j2BEYWuaq
N/K1FYfLER20qSmYc1ApgEu0D/p7w0C/PC5V2DFrOVlV8tCk0kuLu5KgPN/fpYulYqFopDbv1FCG
IU9NZKPb0ChqEWZ8gWWJfGzXRR3pWkcDEZt+aYpp4BpW+KM4vmBgtOR9kCNETzczftd8vJBUHFA3
RDOEi2CTWpPD1zTpgMuHSENAa1eNI4cy2laGWu67bw+MAls1Ax0qthUJOpyJgkTFn9iFNs5wRO3i
8lsqjXqn24DHCPiTEXVAUoDOVR2npPn0/OXYp8u5uGFMXRX3ps8rqIn/4UlxZnwlB3qNDqeXQjlf
1m10GfGDtnRxxfukd/nDOnS0z2mlbrhc42YouII9wnku50yKIL8pZwnoHmh8gh3fRaa3PKLL0np4
qIOS/zYWQh1yhRH4eGeWjqAktu6Y8J5rpedl8Ijhej2neIKXV9ql2FdtFNBO7oRoWTdiiawtZ3hA
ek5Tcwu6um71YZjMNi2uBoIq+IUYjiEDrakr9ctTTdqs6jZ1Fs6WOExBLiaYheZDGGOPGDYWnpZl
ZIrzGGuxZ1IwycII5WSHadQ1NzzbAJGiwaznG6H1xOMftFStSVcvKFuULBQI5Tp7QgyZWsVs2RsT
C3DqJNeVBXYHiwI9pWW0Qv9uWjg9kFkaF0lLeBc5D6rpEGpPedsa42XGzpZzJJ2Je9O4ATgTzJUW
mTpUNFMdVffE5Ei3PFdtFU4BNaLEHfMtAzHDzRbSeKqBaNR9FRIXyrp9GlbA6LoYuV7aiwg8SMYw
673Mo1hIPgy2ms8c0hmb2T+reIpjctOruLf8czdRV+XhSdJlSPG7UTf1LtNyeS7Nfmp5hqSTNFl0
STDnzNcae+gV2EnhMFS2DeZQ+CcZ96NcTaBv+uZM2gXC9V1aNj13qQQxyVxQ6WLkd0FeXUZBsh1C
nlwzqWU37MyuHvlOtjANX+sUHaTLIDOHpdzZpcuKMCYvguGpdieP69fFBqPDwFXkXSAytuWBGsAE
wCLj7jdaXAaQrNxDkLczJx5PRs+hXQudGVVhik/M9br2meULCXukpaOeL5MsnaaGx3EiV6CCFxQo
zfigA6Tb15OpFZgVhijhHuoGnG28hTMJqRIz87LEWkJG9UsRIPm9+r4PYdRfLs5YNU4V7jOqveDU
sHGPjnHRY0lWNNbQx20aOZZy65q9RJ3WTHx41Gk5o/3Cj+aMsY0YXCW4ij4vdop6jocnSPrlCn5/
rItkXL4GEdDhwZ1JsOTMvQokI44hI2DSsgyeSmfr+AojEwjMPDJ5P7EE8+a6JI74JA/H8APPNiTp
dNOGGRpoon4s7X2k/5qre7OY0B7TRcbAoxR6s6NX1gOwnWro65e6YI65VFFhuIsOz3egXtRJ85Gy
KwLTzC+r/BUnzazuiiXD+XnESzVez/iOKHJBfaAo5IixRuKO9BaiYoMTDrTLOIpgOKuGAOhqBU+l
wBqeM61uZdAN1rrhHikG+SloZnys5aDciQjfbFiW9LMaEZC5hHDYtCuVobsPoW317r2HPtGN1vDJ
solE89zWks4xhERL8pzKqLvoYmayfO3P+TjPmzDJZ1PtpD1TFaPiJrEQgakYTdOqdwOSYtoZLNDm
B5hBccXE53UEy1N+Q9budra11hYjHGLqqGvDJbUIfbDpYw1DmZFHGJacDq6AOc6XMixNc2+NVoy6
tZ4swlk6QniI55aOMG5q+kbuY982tJZxnvm6brZhZU7TA11ip7sy2q407lzDbeenDmhOvhLK89Tj
7IM/I7G983y1qJ5FNJMHMADd24TTnGd7mXRQgGYMMAU5EVm1GDh8NbdN8Mkq0qDEoVQDqd2Qf6wb
+iXC6ft1jyHbX9l0wTtz38myEXjrM1Pk3l5CIffO/5+981qOW8m27b/cd3TAJczjQfkii0Z0ol4Q
FCnBJbzH19+RpHq3SPXhPv3eETuiQy2RVQWgMleuNeeY8Ci1LNvhSKCsjX9gkcGdbqxKL+sx/xoC
h6+zcazO0hQMlA+TXv2qvvUZiaTxBTBcWbbBCFfkVS5o5ZW4I3G3qux1FY5NCHBQ1yNqlHlwBdVY
qI98YZppVrUmemn6vTtwO4PaVnwWEr7ctafKR5SRA1+H2HbUCpcLXVWYQLBDI9ymsxwjqT5YNXpn
Sx1plKQirge2HmYOKbsMKNbIXHZkQPE7SaopVfUHdUedHNyUgD9aMfYACWDX44pxvuL3Iu10Z1Sv
hndIuPQaqr4WLJOibansPdwRlbmzTUEVPOrUbtrKn8eKtSz1ErVphBpuBvbwvCV5BkiBs1gIGkxJ
SYQlzGJNQSuu80GpS6AQroTIG7Ug5tJkj4ZxblOaAB7uuEBoLNXOSU7UxDttotjltXt3ccvlZsDT
zt+VYIz5ZXpahnyXWlE2vP/WT9U6mdl43gltSQ282+sirFqjefIbX9Wrfjiw2phd3zjfMWcWJTCu
1C3OozKF6L5FuKBqqaJyVckS+526RkQfOJ3xk5wA8NHrURpDj1ae1CrdYFwS4sLBHgC4LT+xhs+q
RHpt9zhtrnapXzsYQZhcR6ASqmPhYG3j3RtWqHEhCQVJ/XI3JzmHDgnkncLVY1/hHfSthkR8/88r
sdR8hYK+shYqUmjs/MaSYUFurzPYBCj4KYjUo5jgLOPMkk+h+ApVmt7T221kwzSMe45/fXfr1eHE
J7ZIeeEe9S19dGZHUTaM8dUypnroPw4ZUVfZPq6cKB8PNuXocLu4wOpRei6Vaj41TT8k8aHScQAa
bJRMKvEDmbM6yHtOzcOS068zphXW/oasKBuiGIWzGapqHsQINAacp1E7eFdk3ptlcu6Ers77mRdb
fQ8sq9H5qAMUieFWtrb6itTofWh4QZjiH4SDrQo1Q3I0TmrGdEXAkAqx8a42XeKC1tHb7hoPQ8Sm
2ZeMh1DKWhVVoGM1qt7s4I/gRMWSS2WtcwXSn8DPCv7A/6/+NVVJs1yN0nPZLo2Y92Wu4thVpSFN
/EgV81al3u3b1yPrmH7dyn4suamQCqwuP7cma4i+Dah8GB0DfifbhVEGz4JcJTM1Qbq1G1s9u7Iw
/eKUj0Y0dOtItp5BJDuaEYuidixn7m2vDWBBNsXS8BH0amA2jAxdldY+vNPhS+T6SfM0NH1i5QFJ
glXH4oJoyjq3R6PLiiAUJs8Z7C91CEwrwYlNNyZ1Q1rbp7zk4Ml97maxzGcWeN35DPnDPBGhY1p1
9jTEBgbXVfhW+bSRPlBrtPB++LQJdBkKg18nYg/AEoXBFEU6p68iqi3+FHFmaTazpmnTszX0NQ42
3E/6CkBvzHFkiJuo1fYEkVr9rbNIq9dW2mhw/ZkxqUM3NHBVhYEPVId8gDOqkI+IehpuwzaMuGtd
TkMXCTqkB2LZmkEwW3J9XCz3XHW14i5GzZn3ULsVTAd1fuBxAo0U84uacFFLZcWa7OzxRkwM9Ap3
4tHfIx5hpjhnHnXU21evGKQqraSWQ2GDLkw8br3uhqFVD0Yxqv4RWWCzeiRd3RuLS92epqLmgizq
xC18reNCjoarvuKclqPq5DCuVcz0MY12YVxM/TXMvKU9eP1kyL3HML1t2Ng0m/qAKLCBpROte8mv
8e2uYa1K60JVomZhsoqvxrdT45RFZIEdasLgWKQo+Htn1dK5MuXGjwZ1Cnw7WMhwUW+6XCaMLSu+
ZTPzqs5bOPHag5fyoHNIYqK/GuOi4JYmRq/eeg/XH1PUFPch1BiYKzb8zIrmCP9wmXmisPKpBavj
NmoxCJkWqyti6aRdmAzEVpE9WeWkTujz28rhT60qdHMjU0/l5w3Bf9MzQrJDCAkDHRf174eekTeV
kFR9OX6fwk6dMweiCmPk6/ZcSz9o+4bP+zcv+bGrRpsKBL+Aw09AoUfh9L5NNVdF4ekdw3vhgDr5
Kd8eDelpqrP7+af786WUVgmlpBoYKSXP+5cyAa8vA92J7wRuqfUJI5oFw3tisWbt+vy1XruB/9Iv
o0mideySU2G6yOf+nEq1ugEKHHnI98nK4bljqsxNnkTR2TFfw7jJDfbCBepM9tQDNkb60Q+y9uSq
6kzO3XQh1GQDUo/q8LRvK/Ov2UfRQO+iRHJFy56A1mDkT5+//T8uFTZf5ECEi8CsQF6l/v63TvvU
hKQjjK546vCh8j7YoNSxkM2VI9TnL/XHM2fRGPYZBTEJgkD3sd9NGZWYBQXUkx+T5TLvwxlPzb2x
uOorAtUG5/bffLiPIxQ0ToaSzApeU5h/yLmaurW8iP79U2XHao3qgHIvV33Cyv4lMgESz+vQp96n
mJj58w9punpzyWqXi8Pnn/3jZWZqKoRBk5YxKTrhj0/kWHTTgLfK+kZPgqMjaE26VB56H1bAz1/p
41U2BfJ2BrFEsLtMkD42rzMKQ88yUuNbX5RuduoqqY7mScpJbQ9rQFWNn7/ge6gIQxM8ArSdGfIK
Jny0j94/QV0KIMEb5+ZbUzAnQipghWqZY1Gcua9hU0sYt3ECThToXyZACG8+fwMfqIa8A4eHWGVk
uZhw+Ojm+3fAKTGWRuUW33AnzlGxYZa1ZBu6HrGf7t7KlgHHGHseIVtq/f7VFNfIp+d4kTsdKo/D
+HZxckRoXCNa/zPf4hI+LaeFRZKTiHcSvpPXrj2rQ3qBBT/rWK3dUajNciDhA8duHOp88QFhM0NP
152Le/DZQIGCN23IaNFtPIp5szskjJa9ZV1mmqqtWmQ0LBaaoufTRiZ9lnuGjoLaxm0ttcXj4Kl4
W+5bg76ltGfVJKNbFU2p171WfKahiuUwzZUuVydjkevvRWlDZ9IcJjjCZzEG1uz4+eX/44FzbWRR
DuYR37T+fLR7ThaxBjP7sYxri5o1qjp1BPKXTlUAv1rWn7+kWr9/X3LVUuu/zmg8tAB/SOEZlM1d
DTHr0Y+Qs1qbPvGd7CQ8F/Lihd7qvIOAANOeQ9REviE3grBo9W4+fxsfP7lloZNl5VQ6Tr5zr+Pv
39bOwqmLkXsZP2Yl7c8jZtsuv4MBZjbnZtv9jc3q4wqCKFW4Fp0ix/KYV4oPD7lj6OR0VG37bahB
MN+L1FWPBbHEqrL6/HOZH77S/HYPRSqJVy6TN8vSP1QH0TjpUhaDeVcADsDDRvuyi7YRbVROukk6
sjsEDLxz/selYcNzOSnKNYc1AR68oq1LC4Yjj5rfVyPOUfoIi60K9STihBK7LALPZF7Hqq01aaoN
4HVwSePDgL+UZxg1Fv9aGSv5cFom2IuiiMBplpWB+BlOVQZKtvqggaaZcZsRsmyfPr8IH64318Bn
XdH5ntoE8/0xMRUi6vzcgYTR56namcOSUQWaqxGv/v3nL2V9eJ7VPWXxchBcOGyL1kcL3VhW9FQN
O7z1bLzAvFaP1fEiG2pV6vcs9SxBb7N3iUiHq1DAEOLh/vWnZuhVh0AbgdZ9Fbar+pmcBStWOjMn
G2Y8aFnaa8t5y1fVYYJV5dm4I12DA9MmK0KOxwnJBxxLfg3+mBapIZJG5gTfncXTF/5uKHN1wxeR
8ira63TcfWtNEO+peryaiNWdTA2qljFwBxb+ct01WAI5Gb2N0PhG8uzCH1CH5zCky0Fct5GPtEA+
v6Te+9uHU4bUIcTiCJbwqCmL5vs9oeYToIKtwmc5WO7XtCEvG6yNKfZO5lU2Pf6420b25J/NXoK5
obLDYp+bmbwfyFcZggJ4LUPTCGojkkSYsHFX34WcX1syg1uQOLE3oLP00+ucUdsz8NaWGPWGqIEV
sxznchBheRaDbj6xI8U4YvJ4yNZam1oPC3Pk4YhDJhVQW33dJsRHZPc44DoOBxJpIly+5spmVyIy
hmiDkzs3w7qr5nrDTFzeQ4ywAYqbTAnSqqOdV2YjI7wO7BWqCXE2T6+c+aXWDVCvjXtrsj8/VXFp
iCBsnJgWRtS2OzMtitvRtfr7xIIWFHi6BmJBo2/3mPVEw0utam4cu20pi3DJpVOfbhkTzEAumRdN
K9SIBPb2dj4ciX3ddCMeUOimafrQew75T17YZ+sObMjtkiI9pfzUCC1Gvr/SHf0aWIz+3Zy79hvJ
0PZd3It+FU8OaDC3TaBzzMnZ50/E+8WaB4KxMouZoFSwTQqFDw9ESfvHRcJevHC/CKMwiZLfOFKx
HJ1Gd+4+f7H3X+i3F3MRyqltnhruY0USLjalXeMXL47u5miEJv0WbafZBnmenQbb6jn/RWV+zYgQ
3eTnr/3Hk//6MdHqMLJhEf8om+gF/DVU8vlLXRQcXC1ZEZKYWwbCt89f6PU3/Wsbfv2UONsQHmAH
ZUP+eIicYMWZA1oZAEUAgKl52C6CkgNPgshdul8KMw+/JG2oIWSXwq/W1lAlcjckwiEiskP2hVjP
uWywDx8LrXbv2G/hL9BX7O7znOLF7Iqc5JHOsK8BUxdwNghVK2jPXg/mbD74KefUwCgNvVpFWXRp
5eQFwE7NHbo3GbM4Y/RprDX+/JICe2aU0DdbIxL6kz51MPS5f39TC30Q4XFJVBlAGcR1sdijP5YE
hua2k42o/gV8Fxc/Tqx4Z5Wp3E/L9FQYvny0NH9a92bE0KMGOL9H44vr4fM7I9TD/O7OEAmrTnWI
ARGOYf5+v/oZWZgzPojdlwjuTUY7rYFHiYfdX7dMSbr1YOfT3s078ksSrcqZ9pT5HqaFfxoqZwDo
50ba5WJE9h6OH42zBvlwntBPXzWZdkrmwj2frXlXWLl1Sw9UXpYaNy1wGIzNq6WbGLukZRuu3Mp3
v1A2DmCa7OTn7KQJBjcSBzI6xfskKqvLXHSY68qw7b/PMu6x4ZrZtVZgXgicyRi3ltmhrbaI5b4d
pQ/ROa4hQ4BzMPxg6CJGAERGpQxC2BNvbKF550k82w8GXe0wYOgAA+Pzi/telsQt5tpCa6cGdTjN
uh9N9T0tYe67G5IIY4sLgKnpfZVYM0ptzPZgUJRi/PNX/JDM+fqS1AYccXBhIcH7aJE2dFNCD6nS
H/DC7CNtM8xIYT9rZzQq0y2DiI6Vnji7l8rS5X0STd05wAb9Wht8a/v5e3H+fLQoNVk+Tc9UebIf
xYDNmIvWi2DlRxMDBs7tZfithLg6rOt8Ju5NN2FwAXvC6twJeoXrNHYg5iGHXdMn8X2irTQiYpsS
B0DSyUG1fmmhF1obnzInafe1ZU0XTh9HhwgipR2Q2GCOQTsbkBWiChg0+DK4z2jNQfkAfq62adZp
J3xP4JpoZWjnThvPV/M0sp1BYa4AFrF7r0p4Xec5Y14qSivHyCBrWSApGVNmuAw97wX4mA21SHvT
mVNxiHOpjIwuchmeRMZFK4eu35XlJ6DQXBR14KlBzm07R8poRbBEdRorQIJBmVQOuloYyMYBccrY
7HRSKh66pky+4rnpftqJmdDqIQfx7xpff64/4MAhhlK7Q4klF/LDLmeZTEKzacx+YN7X3QA/V/od
lcfM1JBbxpnKfVnaPsRuo32fhxT8I9xMUGSfPyT/7oH1lASZrc/zMRWq/fG3kxFKqTZvF1f+CHGA
9evXG+IsfSzPE+l0Wx3D/W3dFP12Bsy4qfAPP8ZeM1Q8JySD/M2b+TdfWM9WvWWWDrSWHxW7S96P
Q4mf+Efk6s4N3Ln2CyRHbe3S2D1jX+wvell3x8ou8oOcLOPUFXAGIEbjW0hIk0SQXIzDeaL11k+U
87UIPMKgbv7mXf5RMgD2RT7PVxzNNIfKD5eMZM4592u7/0HXu47uqCwEOCjTnoOeUK8L0xkyZkrt
4nhrrxHlz5iglSxYQrA3O8st23sBqv9cd8fszmzsngkJuwCRMY3kckepu7Jrxr1vN/q/nODbuSLz
4+klT8gUbTmkPHe/swJ4stWh+X83WjwQoJkU0b/5mX9aLXT4ArSqXEd3aMDir/h//yIFw95QnlqM
/urBpZL9J20Auy2LPbIxzBYOen8ekl9WC1sHyuED46ADjSUXe+d/YrV4X0OKV3CMKukEjVok6Aql
8Pv3N+xHwJBhPV70OYY7uY7l99+uxtVbKfI7zuB9h+HPF/hQoDQTBo1q4gW81EEpmwe9/wSZJvEJ
lXj5/KVeOyP/KoZ4LRzLwmLrtPDc/pk3PButIQVitFMqJAF2VZBriN1BhFA+ZbX4hlwr8mhHIFYh
+JQqXVuArggC/I66pddR/kL0qedGl1FvxyA9d2ETqbSeov+ReLqX5OewE1rNPtOdajlIxu9hc+ul
OhNDUqzD27nutinMwGPbpcZVWpcpjtk0rItupQZUgWc1ogtM3JQjKorB8jt8t7Dhspv6DTlMdBqR
wohPvJxOLpbaloQF89gYVXKHsrY/k3Cd3RUjDzlu8zfCstvBOBCTs1wQ3SLGb1qJ+y7TIuifXoem
BVe3bV3aSDKXM2bssXZD9yCxiw0T2tAnnLV7I6bAiQCf8npH/rtq/M2qYfg2X6T/fdH4nyZhG35v
z3r9kb/WDFDhNqsGvQ2OGK+W8b/o4vj3Me+zbjBc84nC/GvRsFw8+vwUKjVatKw2vIdfi4aFP8sE
+8WvU1J72Fb/gT2Lo+27U4eASK86lCrBiAXNZhr2ftXIa7dtp8wZicMC4VzT1BtRjiAWE06pn5XV
4JmQS2sXXc0uM3OZ6w8d51eDHlSVt7dmbncLbD4WOHMj2bmqMcXYCHnau0lQsWH8XfVpwbh1VY2T
XWxtayQ2EBPsvE+1cWSoSpfHzIdD09PuHdpg6foCFkch5xQI95DQyPEJpAaEkk5HytBBP6R8n06z
HYa3CNErjqHOV00hPkag1NFKJzPSF2l1nirVTE4PxAiEyMzb2AHEv4KUOyJNy8nTI+yNCNWRFuWI
BXPBUu9IspqXjJBY1hQqPbomwykh7ajZmLE609C2I6/OJxJT7qDfyR0KKIJPhF8mByePavfCRziA
NnvWsStrWsnvVAyV7hWnoinVRKwYKxW9pG36Cl5xXyEshZ0CZMkVm8UUYfGIXBSV1iu6hX5Ht47b
lvI3qhTcBXHrwlwD4ksqatgvigITLiXCjCaqIWkyKJ5oSDaCD2q/8mOQiMBfFYbctabTbGwjA9wX
VTBnWqM5H3GaVGuq1HHDQwoQMclGcXBQgd77KYx0TnN+u2McxaJIjKZOpjWPOrx48jOua3I7TAyq
+c7qZMhJQUwMVtIOOGibphr0gXxwUdTYTUmEtE3/zBnyfV3CPsav13tbcxxHQEtpucojc0DAb3aE
jDcR0O6VGtP+dMNEfyJDBYur4Nu4VdZ3gMz2/JTDnTK3fpOLXV9O1Y1RAMhBSSe/YgZQJHO6nKsK
MfdeDpCl1mbjXsKQIevNpIRt0D7Xq4o5FA+NMRnDhpNpvZ2HaNqgkfEvJ1FXeM4bBHm1HQEyDic3
KK08Q+doiSoQcY9VPdXKAyRL89CRZL1m5hJ+49vQ0I9ExfUdt4vB1tF2QwZJtzZvQ5n0h7HJ3a0p
acQAygzbG88ennU0xethZsAE53rOA74ByYETikXKZoQ0fhU5nnGeOzQSs1h4jwr5sMNjQIi6oAI3
1mJgY2pxL1vrNqxvBdLbi5o+8HfZ5eG6r6P5vqeNvA8XbNMrTdN9csO0BXlwpbWXczkVF8RMp4AT
ypTtDul8CGYmU8KhsLxzorpDT+oXhIgk0UMHFgCsdhfKL5ldmSv0wNVu6HIkZx7PoRvamKvtTL9G
3tevZkSU/rYsbE6FnkAKeFZVXopYuasumzz0t62jyx+Fkc1k7rYl0eCEpwwEpARF2D2nqLTXxHhC
vfESxPGSE2lpm09oPR6EbAQc84gGjT+YbkPoEafqSBGACLnpnauxhbXNy2bC6efmv7X0/w3VZbAt
fbYtnsqie3q/LZpvP/PXvkgtzWmTAaSLmhfO3W+1tMOWyfQGaQZtC9pyf+2L9ie5G/Y/aDUKtkUT
iSB2i/+MXfPBuCyYeuiQ9/jPwkeppnfvN8ZqKYnADef4Ejcd0lqkUjA7mTeLlWDJm/duSejGFvFI
zHclsapT9Bo1kETxC2lOsFXdKDdJDdPjGrbxUhO4ULYu1oHGJOG9SDw7sFXeARqTRj4kCyEJZbvo
Lyk53j6T+Iw+H3ZWFwaBNhCzkBB0eed2nQuCvwZVccSW0YynpgKnEXfZRFfAlHOQEQl4qqhqVgaa
JuRz2rnezxX8eJUWYaTFYq5rBv+DSpQwzVgebLwf82pWqRMwgXoRzBYUZ98D/0SUVCHila1yLOQA
SL6XvbvXmr45MFmiKodbMF0PtcZgood/Sz7GqIIyECZ1Ocs5S0owz0v6MImWwK4e+DHM6vOY0FeM
S4vRsGqNJJzguyllOhGG9VpWG6rCNkvZtFDwQ3JHA+48V1lfeuOKPoxQzJP2qqXWcM4QoYlnrsh8
RmaYquIXVdGzJ6rq3m2QrG/SxsDgMDrgxRr8gHKDRXE8laktE1vuGUwzKi62zgJQ3FiNdhx31h4m
S1zW7LVZNfTu2QI+h5QINiQEOdNmjLOebPnAjxrcgwcDm4Y/nNEqozTpgsmg5ZAdIk/Dd76uTGE/
DtiBv7Qtoday9rXpxS+Ur8on7/vnHKJntC5oxIvcuHHz0Ng6XUJ3IKgUvRlWvwI55/5wPtIaxRrQ
V1yoJgtj4B99ekhsv7A2mKuuDaNkY1T8aBzP42WrwNJ6krAJyykr17MiUGumYRy9NCvZ7HSga0mS
7TCsXFL+TV86p7eTdUgEzDrxG6A79Fiio+d1rr2icEsdlMleuNcLnVw5ac0wQCbk+4SttU+lWcln
s6sNa+u/crgbheTuXuncUYegISha3zi2VjcGthXJIzap1KCV3n+DDj50KzTy4krjCoJ1hg35LWps
nchdwOH0xbUd1Lti7fJyJ+kAGDcWY7ouFHic4SsMclvhyPPao0bLTD07M42oVnredlh7mVMchlEX
F4nap6HDSPsc5exyLMJFJ/1RV8SO+In3mG49RUvvJcySuGUW1tsO/Rm3/Ror4nqs2OtlvgyAlOCx
Z4rMjtWnukvbhdx6V1yrJxtOG1wUV7eKjVMbJ8C9M0OFiowNqxJbL6nMhitQ6T9LY9YvS0WPj6pk
OWtqezwvhwy2vGQWNydOtEtT6oaQeQzgp4qM4TFrd3Qq/ZvIhuOD7MA89zL3fgFqX1jQ7V0tdM6z
Beo9FhFtn6bt+CDqcmTsSIvxfEos8xFG5kS04ryUUTBK3frimOSVGUVr/dRcD95Ix9XYZgrI33fy
2fFsshPxYXlrrZ9rP8gGx76prHGKVyZhi8/MTqJbkdqRHpRZI753KjWgoKvK70CsKj1prpAta0GN
iO4w6k55RAdANEiapqigsUdYKp1gElQy+FQGL+jp3W47EZFN5/Zdcmb4cX/bKSyN5PrctlNN5Eha
fvHM+RxzCUWmSk3QXIAEnMzJUvDIDPUDn0zCl0kFLvjSS/aQ84oXcvv8tdRVREOV67qzwfenB0jA
MRemX7qchNDZUn4Mnu4bQyvpsxoq/cFXORAjgRAgoI31zKQGFozKjEhVekTZ69Y3kj/HgDwDbT2N
BpTECQHOo/BIorBUJkX5mk7hNuNDFrfMZ6y0PJkM+tpgINoC7emwGfCrkDtIgnwm6mVTyrjdTbDI
vgIfypntkJcxqOSMWWVoqOD0K1PlamBg0G/QwC/ZCgNLVm+xdkQImwnpwNnZrO2pL7+k9DU64h6J
9UAHzsHA6KKfBMzo+2Io3EdGNou2Xni0NgtLzioGZshhUAWHFCpCxCNKhrgAYkVMgKtoRzRra0eG
eRfVfnXmjSI+ln5TXQGLZu5d6wNXVmWZQC3rbujS1+mqVnknoOwl8VIGSSihOm4aKh1labD0rGyz
/pGrJBVjKv0A8WZ5mhierNCQNOeLCmCRAKyBHvmnejAFcQuviS2Wo2WnWCfLxVCpLlLlu6Qq6cVV
mS/6aBD/ojmx/8X2CbgevG46lFOYMKQI7RERbaJfNiR3PuR+WT8QGdlcFb0M7yuOGWf9BNE9VvE0
BoesTayX6Y7B/rwBflYHulO08drm01KxdqbeHQoCJ6ogcvs7Zn36HCQ2AHMNvAMBtkTp1HqsX9VA
lqwNITzlkcw5oncQduAzT+c8Q/NtmLjfbIvr2I1f7QnGPa5+ZzdPOQKGVMX7YK12nmkB6hpWEnKA
og71gZPq/sO8iHav2wsbvVfoyukBHGELSsohrrKqbkN3aKJAE42TBVFIKb0mQOG8rwksaiuVXfTf
ltH/CehDC/az2vh/mgzT6VP7e6OZApif+VUbe/4/qGSpP33fRqZJ/+ev2ti3/8H8zndYkgE5e0yN
/qqNQTwLfoQZp09h/daD/mfPyKIHTd4audRI0uj1/EdNI+rf900jyiH+Q6GDjhoZl/g4T1REfM58
PSkx0oMJLzSMhEU37JYwno7Eb4j9opU4U8pxnF8EZe+5yOyafothjF/IBNKZj1Tak3SlfspAJGCJ
Ca1bh1MnMZkUtOuotd2LWA7tlzkdklucWXKX4dc55IgHv5VV6AHwcdMjNuJNN7f1d7SY6R5eT0Mt
nuJQQg5fLc96lYHBJ9QATSvxrzfISbOjX8jiLHQtALsW0Y9TV5xKYeLNlmG+1tI8PhpDOx6KJM+p
YTXHWpta5B7zuq+IHZLTZVkB562k55/PbUR6r+tM5jVeHf8CT7V+MuaEEAZr1gZsQla9ZeQnd1io
oq+Gn/gXhpZdGZPTn0LTuF30GZmdg+2xqG1fgz5YWT+ZS8fBmM8QCg2AHasGjeKVj9MRWJuL0dQW
VMoNbYSdkHr1MtLA2lqNBWMgaehK9WV2V9upUweTtNNdRTTZ3m87YLj2mJP+NRvIjsz+ofSS8LLr
4/G6K5PlGevW/LVoeus6yqCDWHPaXDhWOl1D3UhWaO6SbR2K/kyfnPp7bvXTGp+9u60GOexcg/LS
iKgqiEuR+6Egu6zO7P5F860gaQS2fzYJs4gOtrJe9QnW1Ewvi3UrwlOeVQq7T6GQuRkQ2xLaIAiI
XV0P4mfkEybcptQAnWOPO+Yr4YEAivwKCfpC60dLiSadkatsLBRLZxV+7PtoTvxHt3byDdV4dQwr
Z7yp4ITf+qGdnBaUTKex1bF2942VPISd3Z6nvS5vbMpO8qc8PK0jptG9mKQL5Uha1vUyu8kpiqAU
Y0yUMoBBiFQmIUmFFmHtMY6yhnMHh8mV3/CsIFwhTDtdbPncT1N1ETqO3M9Tb505aLt3eeUkBFO5
ydea8B+ca5W4zrES76d4ni4wFVln5ijKfdOX0WVnl+1tulg+MeatPORaf6iKcCTXpxDehVlX5iPR
T86pJiL5kKAgpOiTZHTlpJ0h4IjFpazGMzMmjWEo62avEWjMoL57Ql3PDjVPGUEVVeg+1db4Q9RE
IERzNQQ5fuxDiVd+i/SNyG+3MO8tO3smL7riFBHZ5qPrFbflYOFVb6uZ2KxCvy5jh3DzKQ61o9Cw
SNApJSgtHpB5rUbNqZ/asEmvXKKVsQ8zSntOQi/eFYNKRF8Seecleg7BC5KFjvL6LI24iaNl0Vvt
pbPGdpvfuFbbfWeCPTRBlxm3OBwPtHecYznWO9wqeN4cFW6YyDS7Rvosv4hQ7p157I5OuBQHO8vL
dVtBaO5ZLB+JwUsOrshJmkmses0MeQqI2Ey/VC3MsmWqS4J/UKossaJVk/T0FfvydOciaLquzLxc
cUPRGjRxxrHaMaorrZm2o3Tqs7rBd7Ty/a3o0nwXtqN+wmojd7W8HgDQf9WU4DpzLOM61SNrXwB5
aFdyZGzM6ap5trqZdwI+YdQnd1ca47QZpNETN89c4GtHJlwVkEAmk2B05xJP3RxdLm2Z7TRSy2g4
kgy6aobJ8cGcjqTgELPXFwtKh6XsyaT2/eEuWmawvDJD5CVpHLPMITQK/Krh2FXV1WkuQn1jGNrX
lMg/j0wbWoWJ9EEjOhAafJBDdEWSB7iV+kHqrb6h6VoHJmfL79KJsVyXsX8tcs85tK2Y8mDB13Wd
dFpGQmexwtvWPjmpO+1S5iBXeuvk8LByS78YvFJfETVGJqPpSWeDg9C/99k1LshKjh9gs5KvuQzf
UKs7e3bEheZFO1yQEc6xA2nIeZuSOEewnX+e93Zz1TG3O5E8Wt9rYSIvaJxXG5WeRGpBGa0XMyaW
s62tBxSZ5t7p+JRN6JXbeErNH4sb9acRHdyTTRXK5tIv9ldUJskd7vNBBhRXPkZUPyLyJs7wuEdk
DhhhfGUYSIpGJkUEHNXTjd5z6YtYLOt57qpNO5neGecq5n2T5PQNGmzkQaNb7WuYQbizPR7oyOp3
RTJ1B9gL1Z3sw10COmeDTX65yjgPb6oBqkYwd/qSYq4s7EBE09apy+HCGCLzSO5N9m2szWw9Ak6C
VsF2m/AVP2tRIOyxY+H8z+rGf8wcJ1nnxah/lSGkYVYmWFqduZ5NR1wtfao9V7arH6vO07bwSVq6
BYU8CFsLt7Bp22s5j94dXqBwa+i1fkPOjc7LuaG2mmfN2Vp00y+auf5ekIT5TBeH5R8V4ALZY7Kj
3WSNxnpBRBUwxj0ThW6iZiuahOwiTK/4/xUpSE9Y0RL9WrXW2fvTNLrtBYVIkPa1nFcFE9jrOqrl
voz5ShPk7GYoLdoGtYwbevVPzibZYZAx4WbTqJ0nZr5hGpxfDUOR7TvRP4pGAAYuWzImPFC737PO
eYSl86SH/U9AAY9eOX0pjIXG+TIip7Xq/NCQw7uB13Br1lF1rAhGveUgYd6ThV48A3WeHjBlPnpD
4Wg86glErOxY4WfU+2NVt/VAjKoz1YtzotQqIidYTDz+mwTojL1RyvrzifiPdT9OvXdVd/UMxckJ
f/Yk1HsMNEZuHKBQE/AG+OtVWOq7nnjTZUc4R3lK4AGVjxULKLWXorRMYbatIbLkR0/LmrUSd68p
8rIzg3jFY98k7qOYRf0NlVyUXoWIQc/cWBjNbR8vcbiTSyaZnk3tuNCZiphUv5CT0Wp3AjO2gL88
hByDtSQrcacm1rrQdEK9/bLYDk77wJFnxPgaybXOYAzIrf0waea4JyreXc1511/wL6etL13KSRkf
k8Y+730TErOulSLIInYZzYXxTS1yVyy08GKkVEd2EO0m1pLoHGiwsYLbNV8w6KkvGu7mcaHT1MXJ
+GRn/nxsfEfDJqz1O6OYZobxqtyyFrMP/j9757XcuHZ221c5LwAXcrglmEVSEhVa0g1KLakRFtJC
Xnj6M6Btn7+9/R+He1/YVS6rFUhihfnNOSbadHOTpgesN8Rs6fKqog7CCbw0oJNE81FFQQDZ98Wc
tGu6MePDbEOy6KMoOjaFmR47PT5RwZozoDfqE0Tjbq1iT771lgsKYHLULpVDugXZE2y0WGfylObV
ZozsGjtaAvSmi+o2hNPl73vmjhjKzWLn6JH+y+6h1oQ1rLspZQxqGZ/Umbj+j1bv8Tt99DYtdc5T
JO3FKksCKS3y/044/q0JB5P3f3qJW3/l7+N78/X7Je6Pf/PXS5yH74dmHIKsxE1d6PTMS/46+Of/
IvTmOn8tKVmG+39j8wd/YXjOUw3Z0EEhXIrN/3aHg+hP2pMrnuvAPDT/s15x8q5/f4fjkuiQs/Kx
HMOp5Ir5J9ehyIYEf2Qg98pVyQsj5rJeE11HP50g/oaT1xTdtpbqLq+gs4RL8yoepgCOko57c0hL
YNTWbLxE9AKSESipTMS+On5Nnautfb45Wzh3kkWkKskLr5jvv9laQ18ZQ8htGTNRVpYebwA9Y+vh
RUz3UeE4D1k3lqeJQ8wlzxyeYL/X570H+cxeUnLN0TV0ZNkqQtTxcgTmhMo11trmZoLdAsjG4nQ+
Odlu5Jcz8SC79cGb0+gAEay7lkFMEV+bvmWe1F7SvNAeY0l3pi2ncseCE2/qmHhLDaP9dp5QPIup
vR/8+NPRBH8k+J0VAJl721RiGwSUvynH0lZZXHY7YCm/ai4UlNAFHewO8jcbB1l3a8oOttPMT08G
894FgLZKve5Mhy60JtO8Tw3/EdL32QBRs0owRNNoZJwm8taczcqBM9C4/BeUR1WcbL9+If0Licjo
JjjY8Vvg4gxly18t9xShxJt0ljtpVdFirM2vUE/1dU1WZE2Gpt/2OkWYZNhDPoKPkxVtIo9BuYjc
5VcAl+fwrQPJCAdkiX5rCU3bMrkGAN0G+XOlevvZmKxyZ5U5IKE4srZk/SbuQKhhiV78auf6Tncp
Eo5s7dgRTH+vII891ngikMAj0wqtOt+Mvlnf5SOcLn9GsHU6eaugJ7zYwn9027TaVRM9BEarWFYj
4W1m3Jf7QLo+Uw7/KUdUltwexicq86iQglbrhV68VA4EUf+h6ZhUQ0/q1n1n5talSGXClAlyoM9i
i6qaJ+WDpRnThpxak1BebF3phWcE7Uc0GVi00UU8OasMih8eOm2AmTjJYNdIixNEXBsGCQhVEZly
fMYbg1tdTGPqb8i6dVCVKNx+8mAN3NiFq7/Z/OHrlqKEkGGHmTKiFxXKrd9EDcqD0m+AgjndoeII
jEcl69Qvem5mbec3VRX9UoE3nnOzwVYfQybY5GyseG1wLtdFZjz8V637d9Q6yMAG+tb/3+F1Theu
eZP+vtL/9R/9j15HZI3MIcfhb6vWX9f5gHUeozsBwd/9oDoKnmFgava+V/Hfl3jm3jrMNo8vwBKK
kfQ/8XY51p8Nm6CcTezk6ITYyLAp/8me3Bgu6RkZJ8fZ0TlMY3lfciIYjUy1gtQ5vOpx4V00x6mu
aa3KyzxyJpJ+oRshJQXZxmBYwnosZk655iRuE7/LBPQLlv7Aa3bMM6xjB8RzhX+xlmvHnzjDgzci
S009t7dViZPcDORKTzTWGlhngM+CYxV3ZCP9XUElxi5ixLmzRY4MDuAsWjNzc7/j3weBV+3ctypa
z3PLiAezUdesCtaOG2+qxjc6jBTFHJxWQyvp6XfSTNT9soquFXh9kt7aOB16/acQc/Xuidw/06Qb
LfgVv9vwBfFmHNwJM9Hk3o6QkOINumuuwwOr9AO9yfZeNKb2MVaN/EX6JbgFN+QfqqhoSFHQFYCP
q2YajcdkR31Ac7Vbezxmgk19pQRifmhxfcx0rrKZk5EFh2AoAfvHMIQg9dy09ax9lG68hKHqyrxo
M1XxKpUvQzDJa8aFbSfIKz7BX+0e8JRxf861ufkJFjJ+aYB/BeiuGM1dN856KlSDGUGj5B4uPKw7
etocEicQXmiaEKQkwYo+NO3xBwRdkxe5zH/mgI72wQx53bDT9GNmXnBKISloc+wcRdPVRy4v800d
5TT3Ol679SYgLuuGewz8QoV9gPczFi9omlyZeJV6vluhtVuztfIbZXhR2AD85Q+d8Bm1RtRjMXQY
STp6sptklD9iB0p+iC5NBLSX2jLRoqqKZL/DgI2WdW62CQ0xLf2UkzjIxu7Pvc2kGRIS1xYiqEO0
TWaabAD6IZ2MbZms89laKmqDafzFetvTR89ulWKlamdGtkl5l7pki2ypvFPcUKUKKKhfmY1fnOtO
y06mZhmKIPNIG3dlK+a2TlXTVYvUSA1GH9s/JQmVeiVqx93hsuWrCLfs53qOvfXg2fG68ksgOIUT
3KO40Pjia/R7U1yTqGHtNkyg82D4KD1LHPSGCogxIw1NTLhXO7tMppsZSaPdZpBVn4Iqi160wo21
YyQZbG2wDBifctTbnq127K8DzLxoMyhhvHZo1yXXH9nfG30p3xqls43Xo/EuGqthB1OdurY07/h7
2xI4lhsKm/epqfBWFtZkr6IOuMWqjwzr2QKKdMOgyv7ZI/NA+rL50C7Iunxfx6XPyUn3EO3ZvA4g
k4LHmS2Ne37mRcXKRrLP10Cxqq2flMU7cbbgqUntn5o+LqfLxjobvau+nBo1gM+EUZXgBqPyhZKY
Fo9Ns9gGkeebVxwHpMiVl9UHBmXd4oHp6eJ1nOCUmBMw0q65N1pyLIjePM+N7shQ+Y1Nt3I9E8Hw
uE0Pfbue7Dpd20nQb+axk0dRGd7R0TkwzFaS+bwOKOQIYqxoQC69UAtqfQcENb2ag+bsqlQXE/2w
XWRvbK+hNFIkzEdtFtPB1GsVQk9KabhE1EU1teRF2BFjt6CyumvDfI0X1iuyHzTkSGonjc4aWcyi
/hDFU+kvwlz9Nniqbva25hOi0oMYL5+u2lu7bbSPyvGwcrRGNtwpqTQWlzkJuGNnNCoHJPO3mp/I
N3dU45cERPOq7NI4U4YdFQR7W18xQgXhSDeOJW8TFURizbkLh2IyRofE1EYzJIT5EIu2xiIRjDdk
Ojmn5EKu3dI72thWkfjL/D4gvLwmYh0dMsGyWRm23E168RiXTr9DYYmwP9ko4W2TNh7Jf1WGHHtc
pp3T/Al5dyo2g+HKdWX1xUavOAWvcrp5IH8a+dDf2DTYYKu3m7FOf8xanJd75dml0F98JVxqcJLG
Mrrupe9Vm93CNNdWkDLdW4NyZ0oD8+bqFrl+pQUtvmNZnHa0Ms+HIR6fHbssr5J52LU3kLzwwmTR
89i45QsKM9UFpVeOTA9i8cylmnKdduSxwp9R3sFnLe4CT5fbNi6grafCvgRx0YbVMNMM5DQxyza7
HZq8Si+9GfRb6Xsyo7iwKC5ZoPPrukLb4l/FJdQSy+ZRp+t3ZTSte5IGv/7MxPjsOFhQKG/uogcb
TD/OZjE+xr3mc5weouTLmjV1W2pxj69Sk9VJ6SpCKqnrB+Co3iHmD//A6DGDH2yc3dTJfjtRjfom
7GyqQph78z4G7LfNbIXvxej6DXSqfiM6h/WoT435hrG/d0jSBPftmN1J2k1XjjSt2wgkmM0iK6Lr
OHN7cjPz3ExVXIXlbKPZ+H11F89eultez0egj8YpwM+8Z7nwQHk12q0Q2NawmI3OfR7MySeDlpTS
RQ1TciNhtfNJ79RRzZ66R18ed4EKgsNg9O1zE1UIcwa8bZ4nLoeMtDgu13SC8xbFA43hQNDXXVYy
+O6tQN6Plk5GgqA+ajd5mw1gYn2fydy+7aFSnLk/TIeWjTFd1eZ4KQP/Q6/S4MNoLbPCPOtI+Mx5
8qaPkTi0lVYTkk00f5UOLDV8/BI2aRvHb7ikeLbpkIm7KOAIUnveuBad4b6C//NvTVXy5BF1LRF+
ifrvZhirM6BB06weShW8gFKKWbETP6lv0P96A2afDw90KMbgNcXp9kB9RSvvXG6o7Z5JrtRWM1w1
J+S4L/WTiS+MfSwwSl2i+uIpCtn4eeW5oauHRsbriXmLQm91GcwFrhcCO1sGUfF4z2W4ym4ArbXF
vu+05MWpLSd9J6JWliFuGITHZpwbVEjxhyZp0IWEQln9oVfykTVRL3H2L1omNoRXjr3TDyG08iMb
JvM56Hrv0Vh0UIkgKhdltFg0Um7udej1QxF6CKguQioLIGlK7FYIrEup2U/rW3S1F/21RYj1vgvF
PT/HA8Fd0S60E2+OiVmf+1cpOvnLmh08N10tkXhHafmLLJ/me9Dr3T2oW6HCntQPKnoTxPGj7/bN
ppjN+T7BqIb4+Iem/N/b0795e9L/5e2JCxT2kj9foJZ/97cLlP8XQydySt7rjzYixKq/3aEMvBCk
ZozfVbLf0jD6XwwaLBefvx1A/nb+I2fD3+c5MRo4RLbZqzxmH/o/4u56vfOTDgH5gBw0n4F5qp0F
IjpdwETKWOtx0nxM/SA/aqOJ/gWGAGrMnxU5Ti9QiRAA0a25tvH6/B7gS+nMdkTdikORVfOZISl1
rWZr9iHQHiImXaLvO0kMYmVi3aJCUCqxzHTN8lTZlXriuYIyU8Ut5lkquhrOIYaqGpoCTXpuU5ux
m9Lq17kWzWyyWDLKuolST/Wbsq3NDXvsfIa4zNw74Di5Uok9CdT0cvjyMthvoUwRs5rEClr49ZZ7
lRoHpobUys4fx+lu9vh9EZrUzhvs6EgMhNfNJeB/4td0YHdyxn+3gnLGYhmIddlr1kH1KjPgtNha
We/zP0rdjGju6fj9bntTGu/S5xBbsbsdA08zn/UhitNN0ccTYp9INOc10QNFhRyp6S65qQAjcgcd
SZiPd9L0aJ3zYtClF3DYib+thDJi2Me6u9VzUUh7lcaFTgSlHTp9rSW65RzYwPjKmP4D2u4aUZc7
jsHuKtaWPjykUkyI+DvpyTOwhVl+aAjXiJmbFm7ExX4FxPJnsQxjOdhVTESXCW37Pa3FkOq/4CPu
NMjtjHPHUnq7noa1jv8FbZmhr5PJ4eIRQ2xDsQyFcboa9zMDIeqIGRk3nMWWEXLRFNhMWlwofrCt
v+fMwzJybopxK22JCW8ZR5OtYDLd9WkVapz+7gdXTU/cXMSLvgyzqeFMQsvpq+V043xpy9DbX8bf
kgvougy0YJuURnroljF5Rg4E83tSrVOvKQ8UH3ZHitH35jJgT5ZR+4CPhlEbTpmwZBKvGYzkW2bz
U6AevbJhWq9RA/HTqYzoWojEW0/LWF8wn9roJM5uPD1vN7jQqC9cjADVYgmQmpHsAKIGH+63YwDV
LLsbFhtBzOnACKda6ZeAxAwycGZox/LbfaAWI0KzWBJGKedny8wfMw2XBDdlnAsmHobUdBeUMA+V
PVr2Nsoj+xCLYli5i/2hwQex9ES8z4s1IqgrXBKsCd17M9NzMeNcNxLMFAJXxfBtr1iMFtYww6x1
4wjXxmLEqBZLRlR5xutk9v7F4KQZrcyxO1AelB/ILnF9X4wd7WLxsBazh4DLcTMuBhAMs/O+WEwh
9WIP6Yc6e4GLl73yjhI4W2wkfcV1rC/L+iIWk0n97Tch4uoxObPmOzTF4VQsxpTi26MSLXYVCqCY
DmmaxbJiTenZV411H2CHIdbAI7HP4UpqSN9pekSXsG57v29Pw2KRmb7dMgRw9HMthvRMTYh87EU/
PqSLwcYS8Pu0CdMNd+bsuRnc7oYikEDbTD0eLf3bqWMsph3iiNGhhtG662Y9XutZ4G+bxebjLIYf
m+HbD4bumIACjZ0eW1CHPyhfjEJRn0CzD5wJn3J8MHETKS5KYYS/qF6MRjAaEPsX85G+2JBKp8aQ
ZLTDjoQCSatEn9bzYlyqvy1MckzhcKk0dEt7vM8qR16SxfREr651T1uVeukXSxRBpeGeFyS6naq6
/8FJ1Qip0i3WPCfgTxZj1fhtsfp2WxWL8apeLFi87Twt2ii3gSfqT0tzux3hAlxbU6Rbm8nlxi0X
U5f37e8aFqtXZkLC8FvH/IUhYRlNLqYwjvtA+fCJUTc6nJOouKuHLriYi5mMjGi+m50AKO+310xf
bGfYEfRz0IngolWFeQ/6uGejaFVwIuKX7wLca/m3j83gQT32KBrr2Q7wuUUjtthUGPGxrshdxr4L
vby3yjO9DYh9mOX8xTanIc4cTWkbDy7+IDPUOy3Cc+xChvt23Y3fDrx+MeO1iy1PuN5m0vFosZcE
G7qLzbdssfHli6FPojs9GpDkr7HXeRdzcbxoYJVhgSshn1pGtJfJ8ebzsJgF68U2yPY5XvO0wkvI
0+OdysVgqL69hmKxHZalMx4JTA8YbozhMnSNdTRzs8R1L+Xz6DjtHePYiDqHYd5ZRDzwE/T1qxv0
1U8fhMQvKmspRXU7euqDIP4cqV4FbDUHKCT1FpBkD6mrddaeoXehVi0FrIHWagfy2uTm9DYf3uvC
N/JwINIBaGXhD+eJLZ8jQq0bwnwUcjrFkqtzM/GrtA0umMEgfwBncd0NU9zipxXH/q6UU3Tujci/
GXzIJfk0o+cFPi50YVIFa7K/rdBM80sH7PA284v2TL0uxi6qkI6yoq826jR3ndnCuYy5N6y0oex/
+Fg5V2YdDG3IIJx5SMu47x65xj/NoNu/dIt8DzoXfmU0DBkTaOm0xyRx3FeZViw9QquwTbcahU0s
2jUayxxFG3CD1a0nSuuS6hDZ+nIgTwG/hBlK5PioIxXGmb4dUys0A02GhcFtc6o8/13QCbnVU+vd
7tvqrCEoPPgxZcaGPlmnsQtslkFlon7MehhHJUYcpz3K3DJ2pIRRtcp0HWTSPPcI07jAKtTdpKzu
qti0njy/G+j61fKtlJWz09ysrFeBa218NIV1LtKWvgirPqhZb+89J7Y/GCXCQzK6mgJV2hgfDELE
21K2FGsnjfFIADmxMYTW9p2IJCWU5jAF93lcersxYZMddetE/xPeeaj2+lnqQElsdzoGnelvjFST
X0mfmh0a8Bjsweh5e0/LKBHJW+wrkWrv6jmv76i2lfssMc39ZGEbn51UC8eRi8suMhrvB2cBk7kd
sVzCk5b3y8cP+FpUvrONRP3iyNzboA/dW2bTAtCs9I465xFtyWTJi1dZlyXHkcIOWDJmm4YAK+j4
8DQ5f6R1UyDJpdF4NPF2onuONxDDYz6adrstMuHcYVIQWyNls0bbsGEY+Y2H4iFnfG4Ti/DFinu5
JoHwXOpNcTuMgw3ZdNbtHfsdPhCbPE3eaWqrpYa3J9/l33qGN7EreOkrBzS3DbWMaaJU0b6vsyiM
ExGYK4INdE1T50EpSaXld5AXscJTRwKLz9Mrjq8DneNCE+PVbRpMV/DID66uyttOyJHnxHIbPhyB
98nBN0H6FyYoK5YVOFEcpidOqlwmTX18GCgLf9JFlT/ZJmdAnE2zHYLUkLe16IKbGZsUtVFOdNC9
GjUy1jMLHyvS97Dyh+iQ9kMzE2q2siN0hkCiHxgpsK4YrbWQZtx+WUXm0f+yEp0yfDBv0j9Fg8MU
o/Obo5Mn8p7btXW27UZdAtkYa6rH4rDDQHZMynHexBz8X2bXv8ls9zF205Egc3opU8fgr7SPhfCM
t9SzzVWjcKPIyGWiDFntxZgJWSiNxnEqEqy17LV2QxPDe5Oon6mn3UNXJNSeDC4CupGsWkmFeNWV
4063QP8JB1YoV4SbNDcKvFfxE2+Lte2Vb4dUHPVrK+dwo+Xp7WCn1rkl7ma0NoUgQ9cvNK98LYSP
FF/kvDBIHau8UKAGLauGE2WXxxgG7bYkCZ7EpTr66YBaaeM2bSh5xD5TFcAHSyBwnsnYmzKYMBJ0
ec/c9hHpC+Q+usLnNLNelWbiJkxnSv0Cn74Mx7udXKYLOMrFueTj96613ga2evRYgEPc11qkjo7Z
6ufF0YfEOdrh7Ddsc22SHrAm+VuC23NYt5FD60hPprjq4guoYXZ2Zjy3js4fl/n5Jp1JPruybijI
qL129du88X8Br/zjtZSpIiSUBSwDj/3PjIYkshVubz89QDTgWqcx9Do2s88q7TAue7D1khspZ6mS
LRtzxD//4dytf8PSLXdidyEw4TcByOIawZ8AEXNaNq6a6/RAKqf5mKFyEi3Lk1skY3H95z9qidT+
Bn1ZfhSwXP6z3H7/ERGcyjRzp6TgR9WmLDc8IwD3Slq7cOH8v/nt//J6LvPdf/hBNjkJBAdIM+6f
qeaiUspuhBcf+jpSWyhWNgbjCYBFmXZ3JKhEcBoCSKC86cV77cXcqKk0T241MrFcrqOE3+77V/ov
XuVf4VVMJt6/vXvr9+79//xh0Lq8F+Ccdl9VE6d/z1f549/8TTvS/7KYmJi+Q45dHhGenr9qR77z
FwIBy0Ddc+HYgxT6H6PV30lIgHxtF+isTzkcYZf/AKiCVvHnz9Zi9eKb6S44FdNxl+fpN4xaYFYl
Eys/34Oxfx1FMq26lrQtaLeXUnMfGkyMZLPki18YLyANCJt6attOw7FTnr+ZNWkeLMIfhxbRfIVQ
4Bw49OU7RnogOjSJsXkIGkLDLNZV4gGS9Vv9xNSkfsPwpV81IJs7sLTfqzJLF9e5LVU9hC5i74pt
y78b55TjGbs4IOyR78bAyuKmvGk1E8fvaDdHvWtCORS3sODBdXR2t8ry6dC03nzvsBSuK2/0QkON
/aOZBiKM1cRAiUn4ytaMe7ZfZ9d28Q/XRpMH7pHvvCJPzp2eGjeZNc7YyEitGW7bbBzu8nd4Fzhi
5889rszeAh6iJPDBwhveaZuHAmEN47rBKvkzxb11I0a2KisgX18zN9o5+Oo3jd1wBisVQ2A7nwgm
W5+UbpFP7M1oTfptGcP17+ag8GZ3wzELBJniFOhLNpeo9B19kRBh0Te88lrIdtt9s/e020hldANq
ctrXVjCuJq8yrkFt5i/d4NQ/sFlti2BR1rviKvBgwMnzm36V+ViPQ+aAZPOteNyY/qCHspTipZ+r
9F5YiX2wWijalkX7yKqOh+ZBWlr0YNLVcmMLJiIrrXCAslPOeqKANb00VT6+gLBsP1lCg+ep4Ka7
Ikc1rl2O0adkCIpNOwr7IHs6W70RHHWZcy1f5ebg7DvLr1+9NIMPk3lD/lyK0rnhtBHsYFQaF7uE
SrdikFYJCifr5uRJ01+DxzR48QITe0eyCIutWZdY56II31+ll0dmSxjGJH0IHHRyMqtAXYv0ondV
BZ/Zoqdx9LI3jzkq4NgIhYCMVfScmXn14FuMKKcirR7IDRkXy52qG5v52Imre/ZW0/iBnof5JN6m
hP85fJIZ6nRrulPOwLStQ29YcXWdNoxJlikLAHtS5cArHRoi14307XfsX/mzSuEVN71nHTTL6rMw
Bhq3Z+7P1yTDRCMaDT1ARhagD4iKx6FyyuPU8S09Eyf1GpuGujPR9p6dPlJi77QDf7xUsboSXON3
LCp9utKjVN1Q6u2K0FK8D4TD+Ia48xIJECllG+N+zwmvqF8Tnr9dCrecCAVm33VEtYW78pIuf66N
Mr0oabefTPOGnQEq4Yuazeku6uGtfv9mWZTV/nagWpfiHlCn9/GMLSbF6UwrVJT49/bEZ9DWuuJX
XiT2sXTK/rHNyLhWrnJxZy5/eGcV6qp6p3vypoIvzBdwjTOwiNCQUKmNTh3qLhvt7O37k4YDk582
x8FAXa8yAclPY7AhuFDdjvUC7k1wn4TOLPNnOxhN6A9aCla6sL17xjn2ocJeczUmki5Ng7PQjHuP
kseBN5UJTXnUipl3zYxGsOhj0X12XsJxVq/cW3ZtdSMjw7xGeuZfR7lUlfKJxNMfONFbYOL6JBqA
aaGMJr7R4PMTPQV9O4/holWzJI3oZtUDmYBgV+Hv23y/W8VYVA/0WrQ+ZIeIsbPRDX5YZbxyDJ2d
kyGXk6vrM7Zdu/HiiVj6hDzK67nr8l+pD3iHKHBoyioN22y+YDu5DFLdcaZ+HCQMqcGp3sB7rGIM
SmHgn82uv9XH+C6hDpaiwGRPz90vZwxuaKmAt6phqTW969RaiIjJrnPn55gh8RrLln9Cs2Shi5yN
aJl61wqEqllW1459DN+KVWFmJw18tevsCZ+AcXEH1nBh+PHa9WorRHa0w7RQFyjB63GifJLQsVV6
0Z3RadOtMZnZ1q9ihQLou8nOrUS2Illlb0BFFBTEERcbBpyenS9kstYa47OMp3CQ5pcs6eaRTCBv
snmp9DILuKmm89EY3b70nXtoaHkoht66JRsRvWqx+UJb5gd9G+SAyrbYYhTpCJkRetcKC+BsC/MY
J445cFp3q4fesm2y2dn8WQxOaM4JZ13s99u6mx7KrK+PKGvMZrqENr6ZNzh1je0k+2iVjUqckOSf
XDwwK0aoBzGp4qD7prVHcRdr3e/rzVQKai4CchgxCgSUrlepQ9mYKCVgXKF7R+h+6S5Tro5lM3rV
jUKGYGtXvaGIZ9bXOvW9r9TEs2yPUn/zXA25UYjHzmizdzIv9B9msMyIlPkhVv12FbUBijkBRJwj
88x6YA35PibWB5uMehbgF2vcqw+yaD8T1UXgrXx1mZJmrDcWE+8OfruJDk11Gk6WYRn5GO4lZ82/
52NFWs6NjDuwz/ZmNOmQCYtey/YCCXUNBgUDgmHWX2iLYoNt4KCKSjBOr997rN1r6dOcmRnDi06B
WKhX7PaBKRfBpP8AUfcqE2unKxk9jUaNpcQSA+iCUQBgcrRzY5M+UCV9vTyGWGbL+IXmuTYsW4ux
hu6fRr+PNxwS/E/yzMPVc1LjSeB55QyBBx4ZylXHke4RYlJm5NMwOmRPmUc6Dztd8dXiTv7qmiY/
wvjCGRS30boatGHLnj5uRcu/jQtro+ZOv3hRVt0Ti57W3Cc5WVnwMZA6/Es91ONbCXbgbTQN6+IS
qAwdTlgrrGzzOucpYiXvUmCMSYmLKBKFHyzw4PjETENALDEjAwgAFNeLGWCw8GNZ6DwS8XPnTtqt
azR+KCxzkryJuP1Q4bXNQHfDyXMam09MGXFlkA65Dnse2QaBMVwqHx+STewQTdQpNlEro+dApt11
pEg428z04KBJBKV26WLfOXBSEDtDr+QmnWCsYZ2u7E3STL/KwjRvDdo1nsYmHfdEkOQPl0JkYOAU
K8dzgAXNG1G6sEGRTpkpreQUVgyDdtQrFrDaMOW+iqDWcnXNwixS0bbCkM6vlcudsvOfXpujEzbR
eCtcTT83ETfx3KqanTRJBPSjiELODOepogdQ03ZclUgF+vNr1jRVvc4omqN0QDb41YWxSnESbRHH
urBqhL2j9vg8Qf7eNeg6K7PHTu6Ab7ibBWc8MVDrXLmDf6tGmT9ISCZ76rW1VwsFHDB/+zUyMF1J
V3XboHZjoC1RDSUaabhp0nTdNzOPuIWtkE6JKztodUsdXk8bba9WLbC1Z6uedtM4xevWmh+Ua3mX
KTUNPN0+kIfS2JHnJZFpNBs6guIvKOkQ7tjyBtryNkOa9Sjb03RE5MGSmLXRYZTRKY3l1Y4cFOLI
z9AW3ekmynzaONcZdZjGxrXmayBYXY0br9fcdNhkC4Cu3mE6zOJ7am8kXvUem8uKP9gG+RdoWsyW
EEsdrSnQ6VgOvTFX02Hi/DufHI4qAodHIZwN/qhhPfk1ViaEgSljAjz01DgUjAWY+MYDLYDMOdDl
IMdElblnN/wxFfY9KLhhW+D5DWNUjgf8jvPGUHN7iTNAI9ng2OfOmV/kbKXQQdxrGmD5y+aOSENQ
IqaSY7ylk9D52U6VYpRRzj8BJXXnsfC0bWoMXw0y7mZ0zOHsYwpak46xGQlw+4Gh194FY26eRs+V
15ijyobmCmuNWvUGMXvpzOyz97GLVZhqjQ1FiNRVoaVMZDO6F4VsyxBK5BQy46KhPlomZBiNdrof
PNJSOK0gD9zMFgftPM8+PZMshc3s5eIaC0zG/khys11HXRocVTyD0sqM5dAfQy35qdtj90n7VXYa
x7LlHN+C1ndT59BkwYM+9IG+kpxltLUYOnFACgdVOc+2OtlpQzo4L+YfObDEc5sUH1xA6RmsTIYv
Kygyzg3hWoapZfIhi4JdX5PFpwdNljWLJsItRQTDtqET9JXji4uJygLOFJF05Qx0tdLMwY1MO/vK
IOFwJIZEclnNPGmMwZ5dPDU3cATK05wPPjEN1eW3gmGzg7hlJT9RtPV4FQG42i5KPK1TQbMog6lf
cQ7IA//Tj7Fmh0PsGNe0j/0fXePhG7CK8uecVNhyh8iyNZZ8LyjDXh/Lx5JD/8YxZp/Mb1dtWxbG
jW/Mh1QRCqyh67NBz+KSxv34is3AWLsSC+zKKROmTBAHK/ItFR+hmENJVvl0r5Rp0D0SgmowTJGU
KWeLxAX74KxC+j7xnOK0Q11sZDv8SvDc7T2rS/cNei8UiPJLTBh98I57XB/bk2hQa+u48XEK6sNd
nHT1lczuvBZEbeA/4fZ14op0yf9l77y24zaytn0r3w1ACyjk0250bqamRIo6waIoGTlVIV/9/6At
2ZL+GXt87hOP18ikOgCFvd9IH3sAjhbCJCcfWPzCwPXjaksohHfIHS36Nz7wG3bzN6gPZRtLvcof
mN3/h/rcfh3+7+brmLxVP7kufv+xb8AP5tTFLuHYpk/yM61ef6ak0CC0BHU7aIpousNpxx99d9gt
ybrmkoJCHqHrMkb+6bBbknXh5VlOkXYuYNI/QYLsX9BMnWB+FnaPfBQb54D9a6x/k1r5PND4fpYC
y+4r6RI2FnDLxdyrw/CWRBwNFApN+wQBXKEdKozotlyjUSr31ZDoO7iA6YuEVMFzrBOGOtLpO5/G
0nG/NjJ3g4QOETk3+7KNHBLXSKoYJusR7Hpm6KKRRQgSw3LEF/mKQiPw1k02z2ns3+mJ1roPfdX1
dEnVTivr6dEsZQh4PSCEecnNgabV1WxpiI9ISdVLitJQK69Hz2UN6QkQm0kQmu1sjM8ICJew31i4
c0X2L74WkoCN32OBodwKNA4g2sbGQzSU68/J71HC9NsvwcJKL0r9lNDywFirN2+xpuTWberp3hZ5
iUqbYH1+1Jm0+VNdwhP9Xhj2L+z6NzegYV7vif9+A+4xtyY/Kfa+/cj3m88mu1p39cVXZNLStGRX
f0NdsTa9E5azyPkglPlP8NF+u/mEeMetj8YOSs+yHKKN/rj5DO+dj4mKjhITlzR/8o/iO5H9/Yjw
U6IDW/GNuqC71vJ+QWFJhcjnlCb5R7JJaoa+uVCoeAxe53rOC/9cW5F8iJNcvhEUIOC4M+3CdD9B
VWq0ZeWJZ69zRXYcZYj5EGgOoTkkrDO99/WL0nV+D88DyACtr5L7VI41NXO1bR4qggK3nSXEpjZA
tIRGcRVD0hAklEXuKoyjlzk1571PjAIxaFr3tZzx9axia7DuENHEd2OZIyeLVTu8+lE9vbpo6hKW
Gj62dRz14E4SInMLBNUcifesPxNmnL5SCDvdo703AsEG9jLJmaOEsAEXVGpuvxL8ZQAg5AidCAJ/
iGLnAQgAQTQyb/FhgV3/jjdaDvQfSJbrVwCz4vKt6qSM0zH9MxBeUB6YaqFyHmdp+gfb7OxNLUaJ
kaYaKbUw8cWSES0K/x5dhEDKIXhrteNV9hoVC/BNTMkLFWHVwZ+7/mYO7fiWzKnqC6eF9lw2trrE
SwuNnaTpDYgWxCXqzfwJTMvbodSst50yqzvPkx9axNt7ux7OxBCI9yIWOzf2v6QNgqAfnlL/gVny
f7bc8aYt3V0uYALadWSrv5ao1J7jRRikaTWqivDFWL79COnNR0NY471GU+2B+jCJwnPAhIZFRlBs
0M5bxTh3M3aj/rnOjAX9tIfxbvF8HofKtB/DiX9rTCG+iroyThHRCXdx5xhnE2r43vbCJ9BQsfMT
sErqu/u1k+X6PimHkihWqe0IC3ECtKAth2zBNW22en/SZ/NL6XTnQQpj33ahvcdAQ4eKFZpBMk7Z
ZrQHsdGB+bZ28pLXPlXaVjW84RUwwbHM4a1mYDq4Uy73ssX/EcZshKSlbttkGC/clNktkQ3cTCpL
kLd9QaOfSvqmpKOCLGUG9piJiefyxi5IEtXABqdg0gTkrgV0Z+CW5XihdZwkK8pe05siNpvz5OXi
ecKs/tXLmeNX5QBYhncWI/s4uwal3Ert/bFOTtSx6jchgrp7rzT6G5tVgcYGJC7FponndD/JOPXX
RDmIi5a0451qDT5QsaDOszfvB3u5N7Vsfij6QT1bMXImn8ayM+y8v15UZn9TFvrLmUXdIclSuNdN
phyf7/Lq2P+BORIRuUBR72qXmECXh9anzVDDQPI0jYMXSLfz17R+cO1gXHsbhDevVYvKcW0NU/wl
ravxtnZEeGxavXl2G4tQnzjXdw2G8dFH/Nt0TvGBEDMfWE7aOdM0Pu6c7/5chYhZ9DaaN4r8mA3w
kLiQs4q42J14q1OnTTdWHCZrjqsJGQcrJwdqlQGS1a2xsVtNbMg0IdIpHfvxVmbV/HC9bOu0ocY+
caYbiW75bNR4mlF9YOzRCvW8hN8+l/geb0HxUfMWGOViDNhl8rnUsx2phFqx7kYfDa/Zdc7OYuhw
N5kXe3ee3oBV//Wte615+4F95uNHZO5ROUS43kIFLrf2Dx//0BiKTVuGFyFrIgxawzVWk2y0x3T2
eQcYIIC5GqW9T6cErZ491n59M0psezuP0kiwMe5BUNm8CY9e1tevWe/IaeWzk2DYRjD+Am7Mm1lI
l0OTdNr2n78BskB5WZTTmFQ8L4kPP7yBcs6UNGJovtwhe2BMjfG2qaNo2zhhjo+s5JwJG5TatnA4
Yggj0jakidQk3Oj2Cb1u+Bv3nsnBPFWv5ugaBJqNpKuJugu3Te6F73O3oZAwLiMgob9+7dfn8S8f
PoQ8eYIQF0j5f33tUDiJnK3BvlQdnqjVoFT4G1dz6O0lkgcKx5P5Jh0V8kUsKLu28HgHAnPLwauT
/lgVXrIeIAUOuT1IQvMb7X3rFP7OHyy897LpyrvZU9SxC97/UODOgZUd1G+kDgBq+jgUVTh0B32e
vR5MYR7vO2vISqTsLsKV1J5X48I4tF0XPovYSPfk1XlHOp+JyCbpY5srM9rWeTy+4Iaad3JY5EBo
xTczHjNv3QoxfqXAk/OKwgwiBVDTGJvZrMmOqrLPBgSWis2SIIusrg+5BeSMR1QemAnG++utR71L
9AV9bkxvQ8b/2QFgH+dRigv4BVxVkZr9Gtw2/qLXat6mVFa8cOX1X4lMW06Q5aPBonnsEowNlr7Y
Zi3qFgCyJem3osje67WYUVU2TvIRz+KbWRUk+UTxeKAbWa0xMfVrzQKniUfwRBtG5Jb4EJ4lf30h
MCT+NDZwCmLAYGYgrdK+joO/jA2c1UWnsr5BVm60GM10brDV9WzOhxFMMmzoDSRgLlmRSxRtGcXq
VwcXGzwsZ9ImKtQhppeS6IY0PzYJGPlqKvQkW/damiDaispt2wAdr7iT9M9omvMPHP/tZwHa9rVD
PaUFvmMXbqBib8kxZhy76cvW3tApN3EdWCUJI7mZh/k2N/CKr3A9d3sP6CJAJuMeRqv4AOFlmLxK
ErjXGkYwsiu0B6DIaQhUp3df8HlwRGYYliU1RfvRmNXO4q4li5zSlJW+fK/1kLTPVLPsiR6B1RxF
Mm98c3o26pqYigqXA68nxhGXckMQa8LFmgplrREQuW/0ERaB7PvsWBmpvp/9fNLA/OZmN4PbVjdi
DAl1JgUvfuI5kDwh6STVkOBfk5CMBMuqguODZswaJ9rHzC1Uk5icBisV1/EXDUPOReuHZcDBE3jU
PdJTNFU4gQSZiVb48dsNBGih83bJkl7lleKDUoPk38O24zaYYjGHa89RlrVozsr3UdSqQ6hbPHVm
IzU/x2aYTOvIcOrspLXtMv7400PUJpW2mQFDPxc51ux12xResNDN+loriU2JsH/hKawy+DdqTU6a
NSE2tQ3T/GhUc+JxPXXzQ1qSFLIy3HS8SGbLPfUlPuYzNc+/CbqGD143a5u8KzISkGFWSKGS87Cx
eko4POUk8RrZpLsi64OrMGmYMldjJIPWtzOQpDrUg8Sc899wB17ArvJkbTO2km2dEXuXD1lx67pF
fC8Kd1jzMABGVP40P1xvpH8327/ZbAWPQKKM/vtme4cW9ydQ6fcf+FNNZBucPzqiIcyW+M7+2Gu9
pa1pSbwlt4P2+Cve9G2vtYx3vstj0+fMQC3Hj/2x15reOxM0iVXYxFVy1SD9A3mRseytPzwnLdfn
ZGQ8cQ3anwRyp5+f8eGggeKXtn2gtKEOA5HOGQdlHR5tDOGsejZzFbvEtl6KcvAVMYrkbf3i4+D4
YJfoQCwnVc9E06vnaASo+eGT/A/rz89bNy3l2PBYrW1eoDAd56q7+2EC8TuCbQxCDw9pb1WvNg6y
e5IEynN5NYNxGE87DPbL44+24795clBV+ctng2J0KVAG2aBLz7kKwX6cf9Dm5bXTJQ32+vBj0YQm
9FSX+DeZLyuH9AHbPSMHJLXSnBz3NFp+8sFIZfJpnMv5i9uppg/qeTKPUR6pDbKOfNfmsstI+Kuc
BzolmbUxtNiHEKkCw6xZby295riSC+08FpSEWL0q7mKBVGuNtQN7r9dg/B8AIoOum6EcvY5nE+uX
M1KR5IiXyCszBPVpvJqVV51cZeEXrvLuEpeq3FY4+pHuo99BmdP4YPJ+SK6WmVj6syaltiH6/32H
NyBfW3PDwes6dXkrrTHaaLEG0yErs99PWhGuM202VzA2cF+zO/QNgaBOTPcRHrBCjAT/4iGwVxoN
DWd7SEOyKqb22RtCQIpEJ5V0pRsxibl8Ac7Cwk3bIc4dEmCIBtYsMagVHWbNxYd2ftBVkhhByhn9
klNgF1SUd8uAsECqtjo6gbe9ORJOgAbcuYyhFxFz2jQOTx8rbt8bXRVvytZlGFusblFQirK9jKyD
8dowB3oQYPp1iIss9JZuoAwRse3Uhraxotk8laPUB57xyVL4Q+rDKmWq5GtNNWtvo43ASoHkHeWI
/dFNJw+juFPeZyWZrSpqSDTpbLgHCyqUPFp9NLZ6msqtbAf7fsqFtptJJPzSxAICWk+2hBz0TEKG
fyCLsLjMYupN3MVdepxTLw3ItXJfY7Ih9nOh8+zO63Y/IcKZt61g2aKOVuD7aXprbNd9U6odJgaD
LH8Py4BnhE/kxzBXDPEiYXft+Ks16P0dxdmjvcLTVHwlCDyDOJmJEWvspCyQTEUNya/9bJsrx5VO
GnDvPcaRlpq3XZZ0do0hoyAM2ZBFMtarxi0rciPNsInW6RiWxsqr2+xLmbLrEW0l053Qq+ELPv7C
WPUZMSYQbAC3+g11KzJ5pbSQtGG/7C1xp6CIj3M3myTQmGn/0RmRvZ8nW1Svs2Zi1gj9bpTcFY3W
vpVhl+aB9FtGOaetrGTTdrLUNrQ5Tjf9ZJQTwLDLatn12pw8TgiTpv2E7KRba1RXhauqlEUUME1E
9Sd0RwDc+NAX0wq13HIdDRkjD7Mrj4K2PMt4SOoAQVj1SuGveTAQx3Opj3p1mDKVXQyXQzMaY94/
5Ht5h6AFM1JXsbtqwudvYwMJj1Mc2o8k4hjDBuQpBLvrLfXcJk5q0YLT8+rHyJ3pNRvnfVINgISh
Xb0MvcAu69t93QfxwI28UURLaKtOH7vPeopc+yYlHxsXYzhgsa2Bd14lyk87qLV83l6Pcp93TgcP
BTubNl32ngwR40JVz0+sHeit1hlZd/SCjKEIczJtLMuYXu2uk3p99Ihi5X/ox/LJrcGTExH5Wxnz
0H9EypMnCkOgXb6SrVRw6chZneiFdm4bZfCKe4hvbTt0bZIi7ZQ1YILI76YS8dyKfFIqLREdjQ9d
Eok7q6q4sQBz8jvQBdo9CDSt7MCb+p4+OrclfaNv4+JcaJhGOBIJr2EXqq1DiSO6v7UauUisTDvs
glJJ9xOGpWFCUSIJOsqjuTQQuiLpWXUxKNUqbtzhpaKe4zZ2EN0FHlKvVYiQBngTHXc2qOozBPQH
eF/n0Pt+au+MFq1mR3FbHmjESvQ7gAQMwAZdoMTrVX64tuyUAFsU9Dex2YeENWlTeY7zQb4XWTcu
Qr3OfiN5AMNkbxrxthqoFhIVzaO5YY9nK0+rUxj38blzZ6lW2C/zwwj+Ym+8URonk1Kkgy8E8k4u
IO19xnMG9pGxNoDAzauV0RSuWDu2UjSgVAIWf2rdEkh6MCdOv95JZcA5Hq3tyLbI+eDAV4Wpnv8d
HP+XJAPoPqTffzE4HsovyS+VZt9+5vvsaL2jxxu5sgWJgVWD2e27EN17h97Ax11m0pvGo5A/+nN0
dKEoCQ5h3oQ1WSa674mfLvFx7MP8GM86QkH/ER9pWT9j02DRBu4KfhvjqXA8QQnET/hQJ3C1zPGo
HUJzHvFt5fkrVzzqpC7RBWFb6Mp6mgongMWO7W6dRYCDTiyLm9kJrXFtGGW2CfWkZ1gyqKNBePnJ
11OyECM/i+DbO60IRsJzkZLM5afCBh1GJS/ukCY5aMh7ad4gMwa4zNICNQSRkg5yWO+RMqv8IglW
uNP716KS3N8qzp5alG0vVZb0GjW5ObBKptfjK1mNFA8mSmMZ18wIhfdI/9XIUEViAmxmk32Otcxk
C+UZwS0kZIjuYsJrPjY4cMPc724WxToGJhRvVmBL4VmbvPJccw1RQR4BD29z1/jAC0uSfXw2UU17
G+KhEoTZJZ58pqmseqthll4qoNpbUup0gmhydSLVdHjzir58AXfCNtV70XRKhqx5mOo0eoV5EPRT
EDoDEIuUt6jXTgesOCbecDvbY3VvmxPdN4NHmCmwxeDu8jHJbj2zGB9IoGGuJ5RpUtWB3RKOt8lw
QZZE9jgWbneRuPfoV7HMpWbxNqrcIGOy8O4d26iJ807bRyzciq4CpTaAxiZFkLWBwUajxcpuSTBL
p7k74aYi6WlWRnPs5zxGHhLZLMeJ3bhnyrEEJiNtyp/Mou4eOyuTBHAbA+FzWW98TNws/NhqVJDW
g91sSlIEzsPMQQZ+76wq9IlrVpL5PEdG95wvVse17RfyPISyOcWe1xPT7c/pKpqWlHiVWzGWsjLf
1I1fpkE5+A15ZIbb3+QaJypuTixdzVWvo0Yki1FSIC8V6aA+0YGAA25gsiStrTEjMmj90tizaiWX
uM7MZ0GrMu53m78NPkc+YjlKt10TWydDpL2O5r2K90wukVpNCNlE2zd7Kln7S4RXbO1QK/uilZE8
kjzkf4XHd+XW0YuIB4o5eMkGQ4V/IaWK5Fy8EBUZ+pHp3MdWwrzfexgyVj6NmW9WXZk+zzSUmZE+
F4EPjbVuCvAQvscMyaWK790xVTfKmOKjCwjnbwyaDgiZLilgdaaowH+WVu89s9HvCBOs0Po1/LlR
RRYtSVZXbeKqqG/T0q142A8Fd/nHsTTSJfn/96EgI4ueEcH/fVKoSiNqqbDz+yl1LqryRz0/l7o+
lpAnuBZIJhgwwoX9rIeXaejN6UjKY7pvBufeoFcuICl+xtqA2xSPlf84Ajv2GzV2+UsY+hPppSER
cW5n+WRc1II4qULZj11nI4yaEqNdL6mxKDET/daiuuTc2giTrQavp6oUkmIibzd+2GcbjNtcitwv
l1CNKOoTlMofRsao4ux0rZ7euwmaYj+w6rnTH61ZgTHnbEilTV5ro+2HTj5ZxKY9aJlHHskocY2a
sj/2WLFvSNiSu6JdjMJjTuRSV0wPVHkL2Dvaq7DbRgdvUvnDIEl+zId0XFtZitHG9PMN7dxFAIKw
KkKV8FCPbwvyH7uiXUiW5NynR6A9fpOpNbvODZuNn4gXJ4xJgE0JeUvFikYmncHEUPyaRXWBJv0p
tkzrECpZrQ0+li36FnWX6NaL39VRgOfG31RDr92ksxHuo+W0njr9ucTMvGIb5h5ASaL6UzvzGYat
fkpxIk9rw8/0ra7iD6OJwJr55clzJ/dQePUbMtV8w5B50eGAEMjlT5Ep75whTe/bpvyIxnFcienk
YrHYFnr12CfkXxSj2+KDnoqVPmR9IMq8p2djrL29G6O3m5wSb3+vGuwmsXPTJIY6SlOdKGig9tf3
+p0weyswFPb/lSVcSvTIWD4Sa8GKwEw9v5A4r278cbC2DtpBwWV0cvi2yReVDJhaV14IOq12jLTa
whdxNU3VfEsKXhpy/cBReoldPzTT5F/MWZLfHCVt/pBp43Dn+PKLW8X6EcutcZoLv9loavCKdW2P
tFejctGKlcfl9551NgrQRFRBM9piMyeqCCInmm6x6ZOb0xvyw5xF7Cq2pZAMJw+2xPWOchrXct+r
20JmBaU+dJn0eRg+2CKkCrSDAbOJGkHX1p/8UCdYTJjxaz6Gr7HSmwdRu8O9GP3xlEhFZR8RLI/d
gDe2NQlaofEEbIJLJ9X0Z1uRfWVr/CNmrVuDZiMuz9y3YaRPyQO8XZNCQ0rYNPvbjlDI3xwVLuGv
G9XN0MEtOh3SupV1yxmjnenecWnziYvmgmcoD9gas5PpVibOaFHv/FHFb1aec2/5lVJrN+suXIQ5
KXV6fp/aIaE5KJY2iTOrwDD0exdld9CKFCJzNs37nBzcgF7B+s4ejE92L8kNpCLpsfCRrLJBi2cW
RFISBpEZXBlxhmWi1521YbklnS2CDE6EYDsDwOuk9Y5/tNUwYUFIxoPT8ogcs9k5aLnhGMG/c/L/
MiebUDZMjv8dYH2sujb+v+A1q9rXH4HWbz/4bVj2HeLscfHYxAfRIQYr8ce0TBTYO0LCPSLwv2Uq
/zkt2++I1BfIe5Z05OuI/W1YtsQ7VD4kgDEso0BCkfRPxHtXzPhHoBXRimHjMyWo2QDTtI1f2GBf
hy8Nw0Y7sU33D4iNCnI/JYWnFGFwxBMtqjMvX8zcYZOsgO2MfvLJAfE4U7JqeE90ZXEyaeNeG03r
7Sn96G1Et2m5LqFk1jyHYmIYo0tUm3srIx49tBYYzyqfhi67HwQ2DMI2vbWWCTLnHZ4wobJ84lo5
QhW92gx/sHGPbUn4bl2LJdA0Km6toVfv6ULBw++2VjB1koJyjSAZz/yQVulvZk1Quxt2D5M/tZe0
cuxdMxCTuTLTrrgkQB/Hqvaa0+TGJEVT0pntKHhCFJuX43kaHJ4NEXGeKUji0ZL0dreqM9c0/sxO
gLBIv5WOJsbVYJGx0tN8hYlobIgvh8Wb9rMudfQkVsiR2thnXdJikkN06URDI+o3aAIzTvhIGGlg
/VeR17LJxxnJqQ3NMq1eF0yLtChCEcpVQ03mKhmadZSZcs2XVZzm1sq2rq3R1ZampLiT1byiIaPe
jiIay/1YmgblzQp0lCqTx8YukdpP8RPJbuLDUNgO1J3bv5RGJdg/Gp+qErMKb2s5CZ39IE7QQjRa
bOinnra6+bGUZoZsMSEVRnvL8tFwZ9RUnTZvO0chdMGHozC7YtUAw6UksiW+Np0ujVl6ZIn6ukYO
fsPiIsF3hl0hlNwL1x53nOWYPxIOuLuxAPzU3FZvmY20Im5X3qzMnv6UxD67mSRb2mA/2KBSQVGF
MZiAp5Sh/FajzarWAq0Yx2jeVbWcpaTwOE+0GKysgiJknjJ7RZ9D3ZN1Vx5dzHAO65YIbTgxJpSM
CbVK6FdbMVXKdHgAbC0IpmFRIrHKnft+2AJHL0VF1ox75OKrCUDzw6B3Sn/U+gkl1IY6X9R2+P4K
7PVbTP/eiLYtAxnSx5shKdkAtlQ7lN2abiLjufLq8QGWdy5WU1o2YisSIwXf0qIxSAwbjEbrFCUq
ydRrT3FmJ1kAnAKuDtk/koCDxmNV+s0XG4ZwDqpGhJcyj5EgcZKwCKRZHT+FdgkDp6WTMNb0b+t3
cz84/TbX3CFcswBUrBhEmR1Jpov3VZlrhDu4ZrTGyUTGZhi7bJawnoT65iR52I1jfmJrYFCMiuiu
iafmziGSeNP2NctdbBCiwQvQqZ1TUMiA4njPiPdKprK+xwJdPpG2hivFbQw8L8RnqXxl+IY8iDTF
VA37iMLB1QYgo9ZFc9uOdmBoaOgB5EuXr3zGqJfaZstk3VPYHeuqvXS9W94DPEU7F4QrNnr7zk/7
6H2Y1+OJIHJc3bTYzC//PhD/lweiwaPqLxnHE3kG3Vs2/fgw/PZD35GjhT/0v2vVF3ToO3Dkv4NA
sIi2JOTSW3S2fzwKTf+dYSFX15Gzo1hC8v4ncMSzFcTI9EGU/vmz0PhFyG55KELR6to+D13gmqtw
6gdWj7jKWHozVRs9Te1kBkKCPgxGNG/Ngd4TBN3+sdc/p0veft0s0ftYOHwcV327ly5RXGZjNDtW
H+w6P8wV/4FutAXv8cenNC+Nj4RiA11QiGrov0JaRHFNdiZomHNx5Fd3PvvMnTfjgGEQDu1sBZ30
yEmqWZuEoKM2YtnWauKvCh4w4RevLI0HhYa/kZt6cgv3mWqR6HaKm4E86lgZL0Uccypu8r6mKh17
jhfkNjqwO3ZWT2mB5bSat8cDNweWnpVtHBj5YBEZXlmczh8IfY/2iF1ReyLrz5uLF6octNdV7Eqg
Lj491Z2xoFPpZpT++wZ6EH+nP3jm/Ww4HRnwVI4OsgGhRrKUg9QNKeWb6FkwmZnYdXpLUpCMIhNv
qEcou7HtQxHnxxZrcUZSMTFAPBBM6wHTD26XaNgi83/Cjq/tIIjlsYlSY9d1pnpLyLi68wt7DCCI
6QSrCIJzFNGNyXhv+HjfXNW1J5SC/XHUeo0cyBmIKgfiuG0sczqXUbzV0DiDI3ZGddEs/wUiCHoh
UVUVUB4Wf0TOVbsrvbMHor4q7WHuSOtGJTOpzZD04xn+5FHvIgiEqaPBbfY54NRAuubWyzTrs1QF
vRN1TIoeA+UM4KYnzkX3svpCG5G5LkKvuLf7mdFlbRIZdUNJjWLsiciEGhHV3s1zs2EwEdvGzxnQ
wDQQwZlEVEIN7/K8KLe1S7Th2pBOt1Z4Thb1lkEOV1hvXPKpViYWBUx/hLhZczsw2EXOA596cyJS
TG5TFNnHCG0nvXuOd2RQgL4MSz3/iEpSva9c5q8GLtheZ51WPzYqmW/NUoxns9fdL5EbO1uLWLAN
0CASbzrw1vnUy41IqtZBW9tb27nh2UjeYR2/Zlz2KPXkuOaxIGGPo+Giu/1wi7iuP9mD6ja5lfgg
J3SltdpcksRBs/Zctiby0kICfs5iFckk5pLGWxtuhx5RFJHhlvPR5pestTHXoFRIzrd9igRERAtm
kU7T18XQfdOQMBB440h0fW2BFbdMXC9KTKjOQ3b9g7iyFdWVuZivLAZBtQCBcG2wG+LKdKDZhfXQ
FwIkv3Ih7KHae3uE+4NuWsiShTbxa7uyeWjq+aG/8iqFkcfnKHPKExmxfHp0pM0w7+kmVX28zSdh
pysiWKw3ahwGh2yKQb6nsq88+/kSylXDlJO7DtVjLqSPuPI//pULivKFF+qvHJFY6CK31BN752aV
c8ha+cGPh/mz28/jJhyUdfAX0gl1K/xTvVBRnITDCx5L+Cl04HBVxZW3yq4cVjQsfFa1UFtl6BKa
ZV8Zr+rKfgGmWgdUYHBiJFfBjxlXrmy68mbwf/2hurJppCbCrKULyWZf+bZ+od7ASYcHR+JDxVq/
cHNTqfI75Nc1mLAXw7ZdeTypFk6PUdC5dTgOTkXsk03bhXnxFLJGYPUz22ozYoi+QSbanDV8xCpw
F2AxWSBGtxJaHhgdteHQws3ZuaKRcgEmoZzlDRVL8T3EOyGYC4AJ/U0j39QVQVFDlHE8c/gSI5u9
pRF6q1VyxUI1Uzr3Kply7SNhKaCl4wKciiuG6l7x1KiWjkRpAcwqZ7M5ToUxoJuIAdcXONZYgFni
OYNZczS5ihbYVr8iuLDL1in2SWlB8CAfbbMC6w0NJ35g8xPPVV8kF5dedWOvpIruLcuqsTZObZav
BdK9TxVLC5UWWI1t0ncwhYYL3Bw3foNr1Rj7mxagH+7DGGwWHDQaDLaEsmPiWMBru1f8dbSf9b9x
voMFazHhvK6jPjmaz1/BAjCfIXXNbTqZ6UFmYtywijUbzobxkC5Aer9A6vDuoOv9ArRnQEhsUsyk
K8pGtbV/RePTBZg3rhi9O4kFr1dA92BkoPh923SnFsHz9WtDtBqfCl1q8QqyYi16w92o2HlLTdCm
wSOsL2tG8wkQtj6kteve+2YMJw6XIJqFVUDeZt6NWn2mT5Ujx87P0eSFEA04NFwclo6tYeA3Curf
9LLe1LWV3k52Rb9PpRH3T36GuEM7DEY+LHyHvTAfQnQiKOIJ0JM9i3gNXfuULnyJFOZ4smyWXNRC
MXyKTXFKv3AsGWlOgSyqcbfMJZ/zhYvhKrXNNY0tUDTWla6Br4/PqurRLPA4lSfTW9gfmypSYjHU
7FqbbtImKwAV9s3tJOHRgxGk+MlJ27bcNAuPZF0ppelKL0X4BEJiKhbaqb1SUF7sDvS8E9a7q68k
VbfwVcnCXMH98XXFr5qV9ncaosbLpDuP2Rjau/RKfZkkFs2kJMTE5V3JMWAIcRdmJRhvG1efpoVF
axc+DYKJ74sQFGg2jQqiT6bdFPxOWDix8HEkPwD2ugtL5zXKOCvobO6ihcWLroQecxfkXu61EH2u
K7JXzI8vSjNIGJkMOi7J3amPKZQES/jgadbKhByLaeEksHujVU1xGWK9va3SdHqwHCMB0e91M3CU
AccmUcVgsyHB1R94WOOGvIntKoYF5BajZNUx7ACEEFxwIBqQDI/CAr5fwlXotQSRTMfms+c3NVIl
EkiPYIPDMmDagsT+tPKJgGOpX8lBzgcvddwKjLFzzi16GmtFCl1HqYU2E0DkpmlPrcaMxGXgHEnX
srQcHFx+Kp9FSu75Q29ahbXreOjj56hmwlq5BsKNX+XOsU/lQv9Ti9fsMyqvx2Acwjjk0Woxf1W5
6T2Oo2GxULqa4vqanJMnMw7a2Ddr0B8nT2+IUsxGcjxd6j9Kb3ySuMkucEHup4YkgF11bXrKcC69
WQbt2B4a9XLXKDli7iSD3GRNm3lkNIgMdsnSLIURJS6OyNv9O1Jz6t/8UreSda5H+qH2UoqqEO9Q
aGp2ZJSM7K1me3K8SVTO70P2v0LSvxGSogL1AP3+O855qIaf8M1vP/Ad36SYwHbZ3b7BlN8WOmBP
x+KyRxHGfSZ+dCZb5rslNI7oA9rLFyHAn0oAS39Hft0ihwcnta5+5n8gIrXMX9YmJPambdEzaqJ0
Fa5pLkrKHza6qWjbvnQT76g3xXjSUhqAhkxkFyJnsy9F2f8/9s5kOW4ky9qv0tZ7lGEe2qw3MQ+M
4ExR2sBISsTkmCcHnv7/PDJlv8TMkjr3tcksKykJBsLh8HvvOeeDJxN2NlRF4UQRb7UwO1tW3nzm
kNcyUPJa7caIPHqQcTUNN7bVhU/ZzBjjWCdSvsXohSLY8VYdLmntWNqyljP5HAAu16EU3tPkdEhx
msoCRDXlIjyAYhJfh2Fyroa6959i0kR4Xwi4XKRxGOa0Kkqek44JXRzYyX5wBrFOcYP1zBYCBy9L
brlfaTaLb3iE95EQMwweOSDPqu27LNR6En2HKnzvrDm/jrThlImegRf5wSk4Eqt+ASQ5fJIRhyuY
WPE7cWEVyRuRQ+5ZI72byqW1tpKT1TLRiCRAmcYYFwF+nncv17TbskhRW3pDHp0HzYTHaVegAKLW
N8Czl5Z9hUMzwxvNYCRYgGKLX2ZYWsT7h+2afKH4szFZBCtZfu5vW8+xPPq8rrifjDi+ZjK6d0pi
4nfJKKItmS4+maX2sNVLWRGDmufufR5HM0FoRSw8yO8xHdjSMPt5EWdMc1eFXQZfJ0OXlUJkeSDu
FHaJeVe3NMOsPvRhpg7Phjujg2L/ELUMjkrJz0CSkR35EJV/ttElMOAcvP5u8PJ6F6Gr32Wa3qK2
CP1uGYAeLpGhulQ2xEYfDM/XlqUpuTmBIOpJqwpxDRTO0xd+NKfXnJtL4kYcb3gWPdWr29udfySP
wiNUbJ4kqtCIxgJVWNitIsJR1qItmusiBuoGDBlZreXCHLRHGVNDJG136NKcTrMby+jG76p3bPBT
v9O7uU5WGtlm72MEZpB33CxoHFPAvdHAdbUdHiNBPLdM9xji6jVer9TaV4VLkrcRIJ4Ym2FVVoWz
CTirekgrCKs1yoCXn0yM8XomKjx9qnWCzobbWfPJyV4b5C92WxTAyd1IJ/0mN+kxi698u5hM4Aai
F8yUkQS3+xWWK/AVZ9318vAcqbZzrhrQht0Nn0cH9Zqv2tORzzVICaIRP9/bqoU9XrrZWBaHYod0
U4VY0e4uVON7oJt0mFQzvM2znMebBrkCgeAGHheeap6TjFqiRKShXndGuElVk502MzY+1XhvIisn
INs4UgMZp1K152Vp3xEzskMJ7FzNqoU/qWa+VG19cEHc9/7S7R9U47/wG1agXdQ6bMlycletGhJY
alzAhKE7mPAr1gnv/70lg/GqVwOGUY0aakSLZPrmc310wSMdTDWUQA7KfCJRowoivGmHB+3tHPNg
ZtTTBJo84qFeuMLPvvpNaa9S14VGmKTtg9ab4oxnyGM6wJAkkY5x31wmJ74aogRqnAL8gMGKGrGk
atgyqLHLwPzFYg4TqIEMJQnd+9LapcxqXDW0ydX4JiSfaZleZjrobDCpzW5OBjYjHy1l+KNbVrzS
1UDIU6Mh8zIkMlPzzq0YHLE9ZWvEEc7eU2MlFx+UXER2258gNurrWqbMWnJn/mQJ28aM5aSrOGO+
KqsYDUjfeQ9oyfpjNbpCskm17CmMY9krEyfU3vSZaognP5qvdYpktMJRekPvSnzLIgbxJbbsXU9f
/mo0tECuozaSm9Cc+2VX6PlyxAK6jJKsPufk9G+BQPvHrDFfUP2TzhmRSiPDfF5QunfrvFWJdhY3
5XZEKLQOZzouSzcS3G2TgVID4S4I3pJk4iXiWwNpTYnsJIRNrbhKCP65Tlt//DroGBGHIgNc3zFp
0X38Tant9Zum9fNn5g3+TdxhhF9GfP3PKVHnptNrZ8Inimtj6JPVJCL9wQxM8d5OdvfZQ+N670Hw
ua3rOOIIWesbUUGPHObO36e6DcpEoOBaEwUr2HTjpL9PbKs8+HFrvVgtS9qy6vFKmnVx8o2qJVHG
MVA4O9nyQlhr83G6p85xfczbRnJm7oICAVHKFfV5uNNjJ10OaZvRBfTZMkV0DdUr3SV41nDo955P
tpXvURtb0YoIOyRhnPnngy6qeJMjjTsnpggf42IeY0yxTvuFMTfjmFkbkiuTLs2ORLKaWt+Qr3nX
Z0z+qvnBGixzWYWpR1MOtCdn/bp9rLG7X81xOF7RWiBLSrh6ynqr4zvH7Y17HMfmZi7TitjXGjkI
UVrxp6quWqLkXGIL2pKagY2p3vFGly9xVosH0kvxBOA9l+txtDIMTLTiUlblwWm6W/wFMPqixlLA
Pr121RB/QqoBzG+6kP1KuOLJJyzEKnuxK92eN1GmYIDzhQtYKERgbwALnKyBQWOlEIK+ggmGGVhB
gr3YgmMIThQMCjwYxVO/HWERjhJvIPC8iJxbCl++SrGCjyJuLaWYc+AZ9pGGClwhDv8z9vi/jT0M
E3PUvz8fHyl+X9qfhx6X/+T7Cdn+F8N/tiqd6TkTDoNT6p+nZDr5/9Id2+S4a+PoudiBv+tlGbV8
18e6/yJjh5E6cluX0x1W0n9wKkZs+/MwgVMxQUKYuxAlWL7pulzpx1NxHXY+4fbSPeZm5RtLtAYG
AbsGfM162bfaZXSOa5HhQparyXBZTAyUUe9rKKTmjlV5L8pa1/JD27pWI9caBl073PkhK5p29UD+
j1eDLz9nMYIIb5M3Q26P507PEjyuk+lxOiCv0e0i5uoid68Gu27fMuh9JJrB0zVMzWMuAdxP2EFA
ajTEP1y7073mz3gf5wsRsA4ueED2w3TemkZDOnQhDeEs05bWz8JrFFtQMGqob5iRZPdNHQafW8C5
qJN46Ro8ZENaHUncjxHOQi3ULNcuucTkzmvJGCLZ0huCcWgp3CHhif51VhcQQpCkrjSFRUwGmzcO
2p0NgBTCPC78xPTCUiwvXMWOftA2m3OxTyH7fXFbp342W8ViNBSWsYTPKOR09vUmTTCeEIbNP8LT
0LvWdeIk+i7AgIoZAtyjRH/J31EQyD5VPEj9goa8UCI5hAf5gqMzW+KFIzkaICVJHMhveqNvnzCo
hnuzmcbtPHvTbUD7+sCLkd4WGy4mjZANexeLNPnKenBu0wvPkja2dh3nhb+VjottW4EvKZaKh3gG
hknyEvgRBcgcZITx1EbDcLJxHn3SLjxNtwatWdpRvwoqjss5CVX7QWE4RaeInElv92vDLHr8W1BS
Ry2UDNlIi4EyJMsl3uf5izblFTgboW1rBf60MdK+0QgE4kl/935WgNBeoULLCzXUVgBR2c/uYBCQ
Otgd/tbF93+jb7SH+KQ5Jhk5y0TPL4GKQ2AXzSGtGCkUBzSMoyhXXhfWabBBbYWAzPBHfTGMOKtn
kqxCQ3/7z476f9pRA9OnEv/3O+pV2ROF8dGD8Md/9X2S7GNSdU3cPNYfjQJ+4PfWA6oq2/N1fAQu
8Wu4Af7/LJkkNZMxbwCUUOUvqFibPzdZkx8YMOCmWWFii0Vc9U82WevDLNkwaCnSdqA1wmzao079
eY9NpmYErYW+AfAt4fVpqhl3elwDYwEhvynr1O9wUGPMbzUvfCClpyGutggPWpOEh5aJAz0Jkinw
FRZbUkIH1cUW6DKZED74hI2tvLhyEIvqXbA0kD9eGwUxLqmKOZFxJJ5sUofWIJoS4DJsKaVuxxKP
oTcQG06ZZEQ6JNouh5tL59O974te/ibm5cNbhjugkq+IBjLxBZuWmuj/+JbBddgwGifmgeGWvKED
EGyZkqCR6Tr1ufi9f1gifzck//mtdrke7zXLxrAM30D/4PowNQp/ICzVftQI95CReFU1jYrd+fMk
9Cb/J/rGriUAbRT/VfT5TZkUXfu///3BX6Ku5FkmhT3ZDYgZPmJKZg6FM/MEQfOIaTMCFpI1Jkfb
Evee3A+msLdTnIZ3//jjAfLAYO2ymAhdQjvx0+3UTYTdzLv2vUsHFn4YOtqWppez6qVD/Mo/v5qD
psJX2Waup0SLP14tCnxES3kq9oY+OjBlmnzeSJdm0HUvgodfX8tQ540fvN7qfuIq5yKeBcWCTuLP
F5MYxOIco+m+jqWggI5RD6zqOi9XfmPQ3Jlied0jILgaycvYzQKr6ZpA+d/RZ9Qd/PnXUNFEHq4m
NCge3ceffw1htN6U98yoamDKtPYBuxGNHoYPgVuhU//1h/7rGnLQXDIc8NGC2ZwAf75Yw2je6rCu
7itjnm9Lv2lXncYTXGHaiPdTm1AMewV50r+57t99SM81kFa5LoGR+od9KYtS+Fhule6BVw6MAfk2
MWSOI0GkEPR+/Rk/XMsmOZ9eiVLu8PUidv1wLTvRRrRaAYQhFARoyCeEXZXeTMeI1OrHX19L/awf
vrzLtRxijdDaerpNEOXP9zPNO6aiTIv28zSPeCiZTxxEYg1/qqH/7bP/oaP8x3U4hQcq8o3lav58
HXyVbeOWMiHCAy4G8xMmmMjZCmrbwXLu4yTJ0ZOiJATejWSFgPM8iv8Ic/y3v8OHtaN+BzpybHSG
S2dd/7h2GAdnEHQ7foeh5WBsYBgmpFKLTqE15Ycy8p0V5/LpN/v55RZ+uMVYrfngFqGDBAh8+DqH
yGWeFHoJar3Q+tSkbn5wLXs6V5xHt41Vkf7eaaUk1GjCIgxpsZ+G/QgZ9ysN65oAQnrLB1gE+DZU
7RAmIf+YU+321yvh735Phy+GszGnA0yIHx6tzLHCcfY0bUd4lPs6Tb3dLIdaMNgNhTu6HIwZ+qK7
1DwYcnhbT/pgwl+yCFze91lpH4MOeidWNeusWG3exh3iMgVCE3jD9te/619XrQ9uyqK2cziR/KUS
0wMChVsxJvs80Em3ziJfZkxL22796+v89UnEEsxXxtzT558f342JRohWqLUJox4yy4JExSIVWekc
RWs797++1sftnOXp656HYk0lG/mB0gz++O6Y/NZpgdaxnRN+DmEzHFa0fPolBqmMDpwKCZPjdDR6
6X3W8iLaMkTtfnNjDd1RT+LPyxXxPMmduED5ov2PkjnRVJrJkxHuvH5spr0nTDbTLpCgEKO+mm8p
9/RXR8W9JUmvknqqOI3431njL4hPdo7kiIeHoO+nGxpfBJ61dVrBCxKQhpdmls8nEbeMdMjGupuF
Fb4POImeIHnNJyY65HAHdeOq/lxGI9h3jkOjs+HSUzPvLjQzN67gXON+uorBBkJhqRLtAXHufDtF
odUvwBYP13mjdy8iBO8yk25xojhnLB/IInzPfc2pDkVe06UsmPnscDICMEyZq5Ij5zXqjED4iL5A
Xmy/xEFovHHksR5HRj41fNYh15Yt6UjvYujscZV3WKPWrZ/GJwx8OZn9bC1GMySvfczmXbaR846W
zTfxsXFsZACs+2iFkyDqoUa69na0dQ5DhSfbr76Hhb9Ia++zX4+EUdNIZr3x9EfZJisDLo/rDBif
2bJ36m3vfZ6xWa1kFkQnT/23LaN1vKuOZa/rZGxp5lMGPgSlNZ14z4inup7G68vtDV3yJc0i1m8r
Cxj0oZw9Ee9JMnLhoep5fCIQIO/XNRmbaNsuu1VvTMemm9mhfENqX4oyY0UCuCFZSQhj3vVJxb2b
HJ9Q/EbX4wdbJvannoBzDX23XtxYmempzi0/Z4QGdXI7nGl4vZLXRg9GAOBNM0XbgCwqhM6Eyt5j
ibQe/WJozIVmcm9zwhdfkVGbG4NO/gvCFqgAPDSE14VJDntqRFqz7DKoOPpQy+tkonpdebaRfBFu
x9aE7ejJmHRbrC21DvOxJP6mp7O/nGK/S1azhEK8MnIiOOASsJa8HOZ5NE7gzkNKL3Tk7UDeo6Mh
VSWupV31sUpYTPkA7QIVJ5FVLQtsjWWueokVNLmUPquXjHkQ6yFzy10fUzHguNIeIA9yw/TInk6R
BvoQJOo6QKeP1dCW1xAP6k2Xoi+MxrlcI4IHMaiVDRFXsAd1RSFErqnoLZAJXbMF+G0V86GvdXeH
mj18iDpvXSqmYa3ohpPiHIaKeJjP3jZTDMQaK8VWV1xEVPdwpkAl6oqZSAvaWumKo2hS8y0NxVYM
FGXRvgAXuavmUwCEMVE0xtQAAx4z8mJoWR6YKzNa0LBqgisIFnXOxxKK7RgryuM0kMhuKn5OBwKy
QeV6wmR73cjOXwwDYI5hghjJCwfMQ508uiE0zamFKylwSut95iyrDrl8FoDXgPuk5oDExwSKTZkE
8V0bT6/Qt16qHnplCjVmNblMhkxULntN959rZWOjFVSJ5SR93mp9ZX7JwWLORCktBkCZsSJmZrb7
MAzhkVia6LmjfbaO7Qm+psjZgG11RsrN6ewmlnXCLVnfGoloD5qidM6ze5V59QS50/4T5MkmErXf
mP5Vu8ko055IGpUcMSkGqFHapbEIAS1f9Y7gFyqFbdE4mcz50ZltayNHEfYYBczgyByvvuagZMer
0VVSXXDoj0QTRo+IpMb7qXQ4P5Rt5UcLiAPTKfNma02Wi7fBO+R/TfOkgQfhyn1cB4S1hJyiT02k
3/nOON554zStrbnv1+r94zDMUwDVpKrzm7ZDhuTxpIk9ImmOAmZWhssGAGuU+chjswIoq0vuNltR
QbCOHfJG8KLA21UppQ/tqmyVK7grHHHUNZAlqmVTmfl1q3dPnpjrlYG0l3SPGUZshMk+XXUXdiwq
amZlCihbKLQsoSjtxvX66FOXRuPR6uWqUyjadOzxvpj+GHyxiH8MQQaYcGsH9sl9ETTxgUENTmNz
BHE7DzkLM+XsQIkgtFsxNd46n5rnQuFx9ZyBKswp/72DRc28uTDMBzN3vE/yQtfVFWh36kfmzmXP
eayQ9a6aZwjUWu3eNgrSa5VltdS62ttRQQeEzBrQfCujb75Vpu+vK7LcSV+1Tl4O/je4kIBt8pRQ
rhUcYcAE954IbsWFHUzqjkXxr4jCRtwYDxpwi6XRieDAl4pr2kGywEuYwXmhDfabvECKcdYTKFKA
6sLaQuYJS+BCNZ7CyNmOCnXsMivBVpTYjxkpATdR11rYkI10H6ZgkrmDycrKB0KHQmM7OA4LOyhO
xJqBrckD8yaqBTnJtWddBQrD3FQz2cNObaxyfyy3QtGaBUFVLz1omiUbTb0cLlhn/4J4zhTtOR4K
k0yBETEqtJ7oqQDlfO51CNG6YkXThC/dRXVBSE+Zwkkn6SC2Iiu8z07m0sRR3GkGbn65CkNb7CcF
pu4ox6+Qf/Q0wjW41QRnIuJHQc87XeX/KC2Uc6ZiVxwVWqrhYJQHoYDY3dBVpzHNBRoOp7v2Wyl3
Vt3G5NKC084VV3v0IWxjbfCPpaJupz29XTsa8lfFzHDXWRXUn2ykIBtXMbuDC767UiRv7Mb0klLR
PHlt9SXnR6uoMASLgTObyBbhKb1gd0txy2swwqNKkVp8A/pNTYTbysZtdzRCKPR6if7f6ZN1lptv
oxZUNIIrUGc4MkBrRdF0QjBcvnpGMZD5maKvDHgHIvmat5OimSP17W4MfWhf0yZjzyZyECNYGDRZ
RLSU7dWZ89jpfeG1b4iTfHuh24WM32MNp32XtCLmwe4KyqROe6/duDhJpzLPyej0j1oUDq92k/if
oz5oioWKdBArqUOf5bWHeMcjwbnIi53m2tMBhXcQrXN3IKGZwaie5TXai4EgirRWWukxM5acorBY
mJO36kRNV8OsQ/QtQlr8Vp3c2UWqn+wxESgQRt4ZiGch3ggCgF1Ol2VMbGNay50BsP5AjlXVrzrb
LNnOpjm698nMIqSNgOK9E0heIwbdoUVG5oeC/83aA54tHXRvyffGS2Fr6VV3qOakf6uojZQeU6wK
LecuNH7yJTTVUqajBB+YhHJQymYjd65uhU8EW1kvmllp5EX24xW5VdGDU8zp0oDstJW2DB4B+pEr
1DvNl7CyE46TOvbBNnnkYAzSJHSJmMjqO9cC7YM6f5rZXkMRsqjyJ90pCFzztTtvIHIz9QpshLCI
6eW7i6ZgUIuKIV9IDicrz4NIZBQNA3Zq7EVhAbcKZPKaCTMulhp1MukSXcmrMtox0zDxJo7fOuIC
ttTy9rJGpriBF+cts9w9mG3uLA2ARovcUZyrgKgh39RgGbGc9VQax8nJt/1sIF/iB8dl72/Nqc4W
eT6JLYkn8r52zXhp9n50Av30jvGNcLI5LxbuMJiHhMbuuqWbdUjI4NoFOu0BUw5Ieaqm31bEXr9m
HWoGanzeOhyEDuRX2OTEJPUmHzvEMp1MrzJDbjPYfAugh3JJUe2uOtLSR0zBpOhLd+c05GXp+QC3
qiYFm+g4XhBleCONVke7C9Td79pvXaOV60or563hJiqQJfjSEJW3aabKPXYVvYMZqSVZIrco2F4S
197A/Z04pwRnIitAENWfx3y+7snhZY79SBb6iS2XhhHT9yNcjve0jp6MILjzzGJL3mG1LFLxEugJ
46aMJqXXBa+Go7fLuVHjIM1wHkuRgHIrzVcZGBys4AsQm2dCnmm6FSblTdpXeB68ESGG+5YPQUWC
Fl1tvP5UBNHY959ma36TQ7J30x6bC2my4xKnb/RJZ5ozMzL3M2y7qG2niQC+MrG2xrwe6uRZDrLd
Yeu+cupH3R96rEh1sI7b5B7rY7zzxiAjRXnonzWz8ddyxNo1UMNcETKm7UjuUo/5pB8cK/GeyXQt
kLDWrk+ELmnMSe3SHh1TVU6A05HbEuXJWscVoaJeQVhBU9WaTZzLOxWx+RUp1KQdtErQ0IF41fr6
1hzM0Tqit29bAJxYHG6E2aifZ9YZvD2aziONC9xp+wgNSYDgP6uaBV1NO+0WeiqMjdEyjltknId2
ntV7cNXQ0SSrVitTgr4CmqZuO1JyZgFx0WBjP/tRFr63ocsDyFUZMTjoxBqOIhRSIBZKyqKIZd+v
QFySJh2pmQaKtvAzwCRtHWo1NUYJMBMcOTHcvOOe/DqcTprtUCXDXF93YG71c6o5MMA6lf+a9x7b
0tim1rIwVHViJHL4ls5k/afuZFzpRkakZ9QQyZ0RvRvlGk3uyPaMO6N1OmQdDZUImm/9tSxH1zl1
8aBK3qADyRU7VfsJZiNHB6G5+rYySJfmbM+P1lyy6+KSAh1BOKY+z/Corwhs+uKK3FwlDce/hR1X
N05DcBNys31RIbCeeeXvzazlRdpa4cGKHZoCjJFPfu/RI1CTmsv1hsrW1hPZcPvQJXCeOgHlIunE
z5e/Evg5CSNu5t5fsv89YI47kxDslzbvqMFkY9Il8K3xegQaudIoNpn1zIV7H2TcTCbLzkKPu3pz
aRRXQjJGkaW/6jP6xiJPKn2RJHButYBfMY+JBnah/W7dnMS/Mun4AAn+ZMxVcr5tabzcOCDun3PS
+QDoZsAawlE2+8Yp5E0mOe/OWkyyYNbDaqimqVtKnc9l5/TCK4eyrx7iirDhKa23HNWo7fteeM1q
yMIxWyQzXRGal2wGvUF1oiMawBruAKgM9Txn/ZPKfRWUUfVC8w+AWZbSUfTnY9A0LYJAEZBkzruD
GJkimstNl42jfSWI+z87WFCOZTozIZsdmlfhnB0u604j7XszpHwD1kyCCyEd823ctajCBqmyi/sY
UayGXF3BS+z5VvTqnoieKRt25Fu+K3kuPVKkXZqUS9uo5pNZGMWWoI9u3fZEiXsTZEAUlXCoQXxt
XJhHp85WcFwwovxAkbr3kRlo6yAegAoTBL3qvMpfSUJBn4nlnjd4Hpq9V6g/LTvulgENmGQay5tO
Az8IuGNDHGI9avpzbDh2usq6LNgmLes+1jhek+JMjval8WSgvX2fDZumUgpJwpr5oanUyhdaiYVF
HI05PHYmA/vAGMPDEIflCwZ2eTPhrgMdGPMI21bPbBIi5SGsjPIl81psaLXULILRBqEjOxKhcUdx
wCcsMKX2yFRJIFj6uCW2QZGYV9QtzSdYMfyFXBfZoS+5TUMLU2HMOqKt1ANrtln8NZ/z6qX2Ey4t
+3Y4iG4K9x0tV1ILfK19mQHPRjodOaIDMD42SXZk833tnXaAxJBQenTVW6H7AdpbiCftQEql3vHt
dF3Iwy55AsN+CuhYFMG2a4ZuHZXudLJogZ+qnIj5ZsQ9u5zd2TgKot6uC8slR1gQKbnoqHycVcF2
uNUth+YHY1F/5ahVMKKNuXIqh5YCsh7S8kGJk6ga9KwSb9ZfIz0FKeD6WokrpQq2Xtk4UDupTvEc
sj8GNneKuBztAWJe+O5B7CO6tFNrsNEnVh4B2gdsbQRv+kTU7DRPoUB8j7IPRu3wzXepk5cUGPKZ
fAL5RQ6+yhbnQN7QSq0iLPAFhhcT+MSV0Q7FmdzN/iHRR/9rNdjhe1JK/MpOLCYSwnkz2YRIbCbH
mxB8o40lLbIOP6euohC0pDuBgCtpcK9ElXxHTvzHWvEba4XpgWv7oXv+F/zbXVx+/fZf+1a8FF9/
FJD9+R/+qXXwjH8ZJpw213IDxZLSGW79qXXgjzi+2mAEPDQNKonxu3wMYZnJYNW/CMb+SGL8niDD
j7OZPtIYx4n/j1QO+ofRLVGSPuMLjBfM3QLa7B/GYTVHuiYPgpLV2xaLFK08byyzS9aRDyI8MZ3n
EQgrMXZVgj+7ehaRo+31kdzZshcZpXVMkFpr57fBkBc3COSfnFAnYhHmfbopbZ7FudesfWNAWbZB
ZWIi5Hn0W+/MsQmOsjRuUjk2L4GVn9xRnCxt3IYdgeFd4wTLnrSTBR4A2nJN8s5TmZxz7uOy9irA
6kVZE6XlgzpwTJTy+nwsA/3GNWglBM34UoJMpeHZoGCmvdl0yXsriH3LrQhaU+mfPUtux8SrkJsX
70FWnBh23oUSj6Sd9BvbzE79NN9gojrqEX+rSTVSFpOXqaJKKev5zSHrXwzGW+m5z/XUbkpIC6Rl
xdansLZ3SeO7i1EnA6SkvqY54p+NznrOBvHi6WDF9Wi8A11zUnegy9k57Ey8p1VBUz/q0o0lppIO
CK/jHsM1IqbhIbLGO7+Q7hJJYLRvRPA2hmx7RmzvqLyPWW+W+xlJ7VIbQRTpnEo4wh3MuDcRfEu6
vNPdWNnPsZUdCNR9aer0pZydsxdbjbtwbaIW+UC4397LbrqxiRnZTFaHBZ12v2Znhxn78kKSjMvr
hLhKs+RGmTFhBSF6WkjMerxOsqBb9oDGKEuSaR1p6l7G+Qsde2xsCsXXjbwy1bWoNKc1Z8+bsdVv
OnPc9vF8BAeOyWzQj5UHthVD6bsF3g9eZ3LKMnk0+XJ2fhm4pO3yCUt7eprDLgTx5IpVEljwTVsu
BB8UHXpgz1eNkx7KaX5q7BoajCMfmAphjinGZRFTqYQlEqYBTLww5ZtfzsfBjJJlGjfJOau950Tq
r+TeXAdjYsAbNDaT2e1mp292tRwe5trZJUnVsVCtXZTzHdHaJfaPPg6nqfnollO8BseK+xWMEhRw
VoKcCSyszdyir6Q/FZHxFlgjcHHYPEQ+CKwow0Pd9AwsxHuOkXKpu2W36nP5YIV0mbOko61FAvB6
djVydo0kgaTCfTcK98wo9Rn8aMrJxjlXju1tSB9FBM13E0s8PqPlPidMlXBBsBw1kDuVqVVf0lAL
6KvG06rRwuHWwuyyEjLCNlHb9PlJDt/V3jQc6tIZ9oAz/L0cNO06iyfBUKbKrwsmWgyQxMCxtW6X
OK+tN1IEvpAI4F4ZWLsjVk2JvWlFil2VroK8tlZeNo8vIS9cbRFVmA62qV0XAMHCp1yC817NNqX0
IieznVzTs11kXxqLN24mSfojRxkhebKquqlZ17aMjVXDZBbivWwi7IocQVyvPgstvilobK9HzX4q
NSNatgB71kPvvMhiat6KgiMRk+R4LcB2kSaYYrgP3E2e5P0KsJAizzvdIipY/nNqvpUGZoW2zhkr
DOCVpGlsyJbjeyOzD5czy7BGYAj9xPavEaj0W1T5ZOxl3rOnueferEeafc27NjZH280OP7x0bv4Y
iv4oaFLiiB9HpT6puwQp4sVD60sOywfxRJK6NtOjrNzZgwLW9XW3BFZ2JgoVGp3h/kNZiLoasinO
UzbgUP/jfJ5zUV+4E/BPDGrlqjCofIQyNFls6L/+XEo49OFzYQBEDGbCuVDZw/z5D/a/0fOklYZV
uTO77IXkcZQabMcpSuclljzs3PwvffPra34UiPDpLOQRxLP5iDT498/XjKwiiH0GNLupc+I1Z9gH
RmfQcSx7N2rMf9TnxRhzbFp2t19f+mJn/MvnJeaQ8btBkttHIVWFgnpGd1fs2ryxVim0KI782ITY
Lo6komU7PZBvYyuJ9R+H4ZAOLc8tru9Fo4DZLjaDYj72EdUEAeWIj5nz4m5ZM5Y4ji7bN6JKvPPM
veoyPRWkFeTOcCfziEZenK9caZ97yu6lLMtg6zhl9TlyHBdtMNvDrz/pRz2DuskqBgedj5r8f1TA
mCIJgLfZxS42241d6jd6MN/kM+Sq31wHqehfVpBtoPfxHPytSLV+/jYJBPElf8haDUBK0vm+mYwE
rq1gEy7cIF21fnbq8Mjc0sW5IcAsv0V9meAPjN7rgX1ZHVUAYpLQY0p4hkx2grF/oBFztpphG/ts
906V5MsIUuWWWkY+R445bUFWVaSSTsmx15v2rsjkk2x47fdmYh+6xM/XNC7Ko10k72HiuBTxgm9R
+uVWaul7WM5PPoN5PHu8vAneiydnF5M1SyuH5E6LdKyMKQr9y/nGm2prQVi7sQl87UvjZBM1MWes
X9/Iv9lhLDS5yNWRn5gIRH6+j8hxytrWrGKHOOtynJDsbDTf3YU2WrtfX+ujqEYtDgzGNt+Wh5f4
o/S2IQPbE8zqdk423NltcshB+P3mEn+zs6CiM21UggYOg49aqCSus07oOgDjYKg2bSLNpR3Ob2qn
T2ZrogwND4jOd4FmnscwiNdeIQ6aDD+1afpKZcc4Nx+aBT4MazekvMTjgN2pmvKTYUTvsztaay9M
sp2wMKsSe0YrVJ/bK6hZa1Dnj37H/+22frS3J+hRwuHcgiKZgQsZA6jX8fnhFDC3RNLSFzSTd6dg
CdZJdqLRfsicaKLGBCY64e7FLkjLVhHKB727KwszXtvWfPzNDfubJ5bv4g+BNUrAi1rnh62YSrWj
3cH8xMDeuhjinB5P13OC1zI+M6XrAjxEuhKTfyahsCIEEl7bTPp6l7KWCYxY07/rN2NIokHnGiWK
Bf2ZXqtFBgd5hP+PvfNajlzJsuyvzA+gDFqYtc1DSDCoyaC4+QIjmUxo5XDIr58FluhkMIbReZ+7
zKqsbhUzQSjH8XP2Xjvt7KugdXCfBNZVhCUE3DkrUYXeaUUAyqOq928TXfHYgetgUB16NScsFDrs
kfo4UogtqiCqtkbWk9zT34X4xhaoqe2FSSrgorE79DxQLlY5M5atbk2PXiW6E7q+Iy8J34z5X8CT
2L3pn1+SPqSRLXt8rkzqVpQ4w8Lp+XVMleZLFZ64I6hsv65tyPgA+Fsawskv7+RMszJ0sy18oTfF
WrMb9LZBsiPz3vc07s+ENm4xjWyQOp1lCsftcxxmlzYUMGIbAjjnhVeh2+ggO9uQDNEPMMUd3dcm
1S6Uzr3OvLxZRh7V/lCUxsqomjcI0XdDNp7ndK4X82MWGukLIy6q1F5fJpN6SYQhvaxSX1KurjuC
QDaSW/qxvZzMgcRWix9k4rezFcmfqPpuUwW4aTNcQWeDO9x8bIKCYihXvUzLXdH2+1iykXRnVPFU
s9Wzpn4vZEge4AwaNTpiL7QbGl27D2mU5pDSWqTjav4vSk79FnTzA1m13UYzRYMkKb1sBouGYb9n
eMMGgjg03qdKWWY11ZIaJJdDndLMqfhpoVjPUL15xbCWXOCAfRNSrvqWCwym8jKGZjoPsvhkZOZz
EnV3vWGS3FRafkcauQJFe8pnd37ICyxltmNTvM0Dviwx8jRC8aZHu5eXBHP8iBp8LKlmXXVNtwKZ
NS7njRGT33jb16Ikhda6yqT5rIv41PfYPvJ6U+tYlqdaaD4RNH5+dDPQPsjMrNxvnPGtaLo72FZX
1BdcPBBUq7n++thql9LTNtKj0vt454tIbsZZ4FUn/LEaqUsqi2Ttpd7KJUXBWWUyrGHnuMXaG9rR
R6PNCDtm3Ep/MV7XRRa+IZ7yLivhRasp5Lsop8i7KKialtAsr3SFNSaR4yO9NLDkqFRRecTtcggl
5liXyjpkY8j3MMLgtSTLqT9zknaPViUCTSbvhMuW1GtJRmzbO5PR9RaOygBkLzVo1U6wpfo9WUMu
ZnYFt3A5vtkN4gFRyTuH3QE4XPuKwbTNJrPdG3hN52peOv/+vv5vh+1Eh40S26SW+P9biS5f4uL9
99bav/7Ev1prNtZKwwbLbOgocOnwUkz8d2sN3iKCZ5ZHh8kwj/y/e2vOPygukNKS+c1QhjX0Py4i
2Cb4jrB6YtTwkNxiMPoDq+aXt4r6BY05Inrg4LBU5krnt4/mSBEM8HT26ATr0Vtb4yUG4t+uxpGt
39dDYKOyiJNDLg0JWjs4BCLtefzqTX4XGMRCuQuygKjzuaT/ueZ/4yjzb/HbiUBEGGiMcRSn+NEo
P8rhXVp/Zv9B9v/5RA72XU5cmohjOEQ73TrqLUny9fT6/Vl8/T7jDHMsmypmDic83NrZIOOKTnGF
35tuvegUZANxVd7meb0lAjA/IWH+cmdIycaJorGYQs+xD90TzmANEqiY8McyZPqHAHcR586wzsIq
W31/YscOhY+JFoBFoiHKmM+3R23sip2HxolFbrgf6KYswqTTLlV5ckt+6F0ge4i9P34wnNAeRzy4
TVpqqWNmcKhCFO1FmsnUtwWtqmCYBljXQ77Fvz/+6bPBQXVCgdiYU3mSDPT5/Kw4wFFMLIg/plxF
HZHTwhbIg8igO5XO+HX7z6F0toSzj8g27YNLmRpKNVWVIvx8JNl1kQV8BJTaTc5SHQwn8QH1TTVq
wwIyd3TZZsNwYqM1v6+fWwAcn/QlfBp05nX14H0eQ7OK1DRsfDdXhrVdcIJ23T98/7x83f0Q2g5K
3p0NUzQbDgrVQaPFKz1d+FLW2tYhui9ehI4RXGW6OvnTCBWla2FulAIA5/eHPvb8GOCkdJVswDmc
9POt9Cxz0ELdED79qhFxkwUBIlFGEE6KSmIJIg6LzF0ZrL8/rAZr+MuVBVFpcrI6HwUq5oMr2zDD
SMKuFuQUF2Lu2qs9afC9vkY0MvlWQLQTHm1Gk1nL/LtR283QGNwC5ETbcej6bVwJ8ahHk6EtmZEn
KyGdW93KO2uF0KO/8IQdI70R6sqQdGi0LgjuY1VvI9TbbbIfZ52qkzjJOZsRtOslSjy3IhTHbYC2
a53fJmIJriRSkXkAvUsVJ7rMqmokFqgtFzaBjKh1Wmbtauacq8CDMV8AyaGxPUaXaq3YDEfnqklF
dRwpFhkqM8x8kQ4yYwiTthetl08PJEhnK7KRKb2d+s0m2xcjT26sXYVU0caZ8q2pNxcmM6AH+qTm
bQ8TYKsgCF2XhkjQEEBSyVrN3DQpa6gzVNqli3xunRjmsGAR6u4MR/KXMG29cGhmrcvJ1UfExI12
GUCj90uUd8uwbKPbIOn6N0+SWNNNRouQKgCB43SAfpV4eu8LO3iOKmySK2LQpwecP5ZBgIz2LsRA
78NqTPlLmRvAyyHJ5CMJn26Ex1Gat12n8hfNFxiL5GU5WshfMT1QOo6WDeUzkBcQrQy2rCbpXnDW
Ge/w+6XoIaUDUDBRrpLQfJcNkMF+lO3PZBoezEl/94B4/TXokGfMVomfZQqMSR1RVdOA40UqevN9
lpt4i6ivJz+pWTESnDOMoYJJPrYqf18+8Hskg5Pucs9qHuP50c+G2jnP3TZi3N0Ha8MSsI4BDEKr
0ZOzsDC6lScqsQGSqm5Lej0oLm07JGR1DIjsG1VULpkb7iwU8T5KJQ6gT0zJ6kRu+9xN/cRKunuy
D9p7Rmv8sPAaHgwiZm6zEFyjmgXpzmXthWZbtmtiCM1r1+NyLmpDC1Y5QukV0RPOley9JDlL8ECQ
IY+rfzEQjQOMnjDdO8ZDIc6XWL1PijYdFpD5rWs905JtFIbqlp1X8BqADIMrpivBld57CLjTyHHa
GV3KZh0V7fUYCX01hsSNAmIzd2Ml6otamZVD+dSd2V5l3wSKoWwhbRo3jpaHF71pPQZ5jfgAFCo8
SatTsTag7jurhYQ/2g6gc8BWBK8Sew9Y5r6UC0NplS0DGveXmaTuL7SjctkQonMugOG9RkRurMO2
Ngnucl11rTTSQ2ztzdcjAFW00qbhZ4YRIlk2HSMJwj1VX2u00c/pnF9kYWjuEeZM62B04b8YiqVt
aUGKrQXn99nVgw6yrhXdqnmt+h0MHXtltgP9FCcmlzWn5f6mpXDC6rzNr1qSIV+EYRSXRRt617B3
jT0KGzaT8InJ8qw167zXw/GG7vu0CSvh3pBFWbyMkdXfinEcboYkkldDUzOOGdCqQO6yztMKiZNW
W90S6ox9X0GFXUmclz7yFbdbWqo+t5tAsxGJrgfyVkyqUyxI0kod2qa2tcJcV4Lw7tVfZmzLfBGR
O3FfA+Qg0sBufK1jEUqVvNnyaDBzI+pvU41Vs5VlTxJYU8XNioIStqlq1udZb4Ogjco62k/IKcJF
2AEu5aWJ7FXiwRPBrzPt+G3DvU44+m5Mx/ocYf7cOAviepnYhUooUZ6Qa8JmYQMC1MZuE3pnVuMh
QEKoA6BnRolHacz80jZ4JpDgoiHzVLlWRyHO/inZimp33EDUVOjetQGdczXzlh1J8JC5SwocHQnS
TUER8AqHSLKMdeltBj1pGyUq23VWgR9x7E3rsnMcn+yg7h0AybTRsXSefwiS+jLO3IWLg/GlSUvt
FeI0bp4MYcyvhm3q49iQ8IQjl5nKrF/SC9sCmofwaBzwG8GydWaJGbiAxkU03rkpWg+e4Y+8PWbI
WjjbHuZDYqxBtojEsVu2o44wxshm1WoqmydnkM0KYQk/agqD2AgQd5cfWjm9CfU7JNfoSsyofOzi
PN9Kry0YBkwB8RKayrd6hm/VaIRJhqWJU7YvtHPlmevYLrEPbUKUapCq8+c9ZfEU3ZWHohspWAQ8
S2heTP8JJLGmyNBbYEUZ/BLhvE6ir4ZMgFgtMuzdLt+B+UNo45S2bGcB+uTLouIXVgd78r0YHZ4G
fvv5wwYVm7Ps8YOVYFVuQT1jowyaqpbDQloKdsPkNgtNoBYDZqrsq9jGL02uriSbDRwNWbvirGWE
9fNDbpXOUrBc2NZ5AD4PBVADI6AmzZy3X3G3bETFmVEp6WPvwS0vihqRX20ra4sUuaUrke2FH+LM
+WNHTDVk+QShYm8jpTQ0dEmlh0AhQrB5Y4jRfNHyOlsXFQ84gFzG7DzRSxzSUMtMtXhP+IafYapq
9k1qT488SOGNHSkhbdXWuy8SPBKM05GZiarYuoIhr2Qvygg61oOLrC8oxT9kVXqgDDdSptPtpKjd
O8EwykPuVAHySMKcVy5djX/ep1QOwa9R5ZcdTKPfqGalXSE2VPYhYKsbwM7I9jMd7os1xH8VbePe
emU3bBRo+U9GO5pPnVDMJ/pl4xVfKnsT1ZGyGuOYjJfKRKAbBOXlFCriroRNs9YFaB5CMIerj6su
LWxvZeO61/qc91YUJR++Jjm3BAaluoRTU7RTvyx5EDcDIWTnDgaFdeEl8iwfpbGuSCREi6mavMSO
N+5aRGrXgauFZ/jp8DR8PMuTq2GhVUx6PjQnzicSuK4QvwRrPAIhcV1wuheIqtJrtU7yMxvZ9rMX
gFuXAb51ctn4GEL15fZP0EDSppwuNajThDmjYYHqg2DOmrRZ84efMB2HKxaF8UyvguLaEdO0ikuL
tC/sZDS1Mc5aC/BpyXqCR4aiNfUuMriOhFQ6yTU5bDCLDZSlZpsj0O0nEg6cHtGuqIbr2mn4dDtR
AcCxLtH9DVPuEDOjiSBeuFrkrfk2dWeewANEZlODu0RmhbYsCNPet9i8Ny0LDjUQbotzzdTldY0m
F02x3YEcQR059lq1qzFobmBpKIQbpYWyb1QV+Zqbd1TMJjPYrENiq4bMK/HSVQQjf4AP3I6ZFLBk
JH5akT2q6JjXeYXs0/Bi7fXDaWjmuMfMvldfydNjFD/EpYHOZDbkYslaE6Kj7yYcT7cidZyd3Zvj
2mXWDmVSR4eIGoC+bu7ZsI1lh012UTTGdKvaeA2gT2eoTAL+YW8qdYg4BdnkRSsVcIj86E1iwKMm
5LMOfGKhzW2sGtMZYGmbNmu8nc/o2okYCKEsjK60KdabZRvn9/qAlghjWLGeqkjZsreXYmFYo/5j
pGmOIqao74Hb4URPY+UcO8pNS1YHMhVE/n2ivLs1oCnNLJ6NFp9JlozBBaeRrjK1ZOW0wkZsXFf0
6xKN4zYIMGUU1CXnOGsF3utaddZUiBEuEAvCbDTe6Aj9lmlj5290Kt8Q1F4PsKk2+tDnc91Wn8H9
1hfOFO/7MpqWwlVCn9Vqy4XoltAeilWISW4DouJZKUDKgKkqsb40dbBy+5mma6CRUV2Jgc2qCJ51
Ks4XxrxJVaXbJis2/psquKyKKFympFGu7TgDm1AaXQuoKol+hG1n+SlMr2kxtkO3HtypvK+Azkzw
5tUap6oenUeJXd0URVo9K2GKBE0fc6jfFU6XzsF+rQlzWGVulZ613Tjt9NhLt6Rhtr5CrBKum7A2
b0xXTDdJaIv7CiLkGnudg7lmEIy0J9teD46A7yuiaJuR2brp6pRunJrFOzJFRtTrsn71xJSfa4BT
EU1nlidWfYncCv9FO6TpeVO8Ut5rfw1sxy81r5XqUuhWedvVCQoWlHD9TTCN5ZkckXAnStRspIvf
UM9zFQMqQH3444K7uIKr/mpGZt0vO6Cv16Ymk9vCkuWmhTf0ly2orxaDFulXI23rv4gicXYp6QNP
weioDO1BFD+q8xfS1tChqJEbkRVWtOdR7JqXUd7IJ1IzLB/2Y7/LrLA775UxfZNmEmBR1bi5BOIF
N51T5T/zBrxuZ2vmC06FEmQ+iSc7jYnnhZDswG1gPCiJu8Jkr9vA+hoVaT4YhZOvMc9piMTh1V+V
yviedo77rJdOgWNuchmDkwaPEzpZJh1xV9R4E2O6KMcO1SoDlLpRsJIlWeInVZctKttRub18bXcj
uwoYDca0YGa/CptqWoGI3ysZpo9C0tBilV/Qs3VXhYcpJNWqJ2EkDBxsRNMLgFI1URVUxlsEYvm+
TPPyQk6ZfiYE9ijq+RzzIeT9tHJbxTeaXsl9tku28j7KDDtmD+VUa233USpk97LvdLfsYnrmm3Hw
gNRYXvBRzG4oFZOXQTPKh6RO6+eqrQZnWykWDpA4YLC07co5SZL0V53NlCxuTUPri+WHADgVNrnV
reiTXae372HvMhWms3sxeG5xblDZvhWVakNPcwDXKOnVVHbkjjTksW8lft4llovyIu2qPoJNUMkr
GoHhVUIxtEjIdG/WrovgR4Q25m8Bw5X3/yesVJC3fNO8RQtTHyuSnHbkX7Y3KaSilQm5B2FCY/Dh
glSnFXlw21RG+Uob7IeZNP0PLMf3U4tZeuMgal4p6Jm3ST2xsleKseRVy+5RDRBDhPla3Flq1uTL
wMYjG7XqZuq6FvE1CkWF6MFtBBHwQk8JA16kogUER3amnyR6+Iq+u8GQpJYLy1CI0QkHZ89Wh+8J
9v8fQU7CahV6T+Zg9udqpelb/hYdIk0t783Y/OlkrrjuaGqBjAq6TZf2Linfxphcet7UbzuBPM+D
z7olRmgQ9Fe4KEbgPDldZO7jriQTp50j2hhCLfqCmmqMbG9jKdZWGpF+wx7kkQU5vR6qyd7VNSYc
2Ut7XWVF8FJ66bTMUJ3TJjSSq1leR3yAwi5GF1S3Q2MR/df1xV1B9g0VrkK/OZdn0h3z2yBW7Bun
VkOyjGz9Sos645cWQuwtk75aizYOdwEg6evCGqILppTWvVnhGwYTMMEK/yspYP9FabPNWW7XXWUQ
LiIH9TYIWhsCMsiOkgnqduyM7F6y4i7agbgLz+vUrcjafdiiJRkc1d4ZYYnkoRc/Iq9w/CSM+GJR
CO5YSBU/N7zuglLOQRyKI7IJ65T6tyx+tTLpYiZ81asBWeOvxpUtFrsQjMNrqSaJeq4xej93+yBZ
0S3pedgafd/qyjAuFVLkvas4E6G+LIu6HhaGKCtrUxe0kZduJPCujSLbF7lXLHJr9LZRPKNyaGHt
YQy8DwMOfhVYIGYvQ+zUqX9zLHYNVkaOJUUVm6Qau96k4U3JY0+bqeG+gutzx/tvgSq2H3NEs2g+
wJVTFWYr2h1vjR5jk1LHAA8h39ex7/12sF8ctiBDMl1YQr2lhrLpnNEmUlpXezO9rD83S8tY27VB
IyWF/B0Gmt95SvArsg3rBuimftsM3q96MJXHkFfvQdcdEa2spqwxn4ghQIOkzYHtVrlF39USpFQX
K9iahABD/DhBAfraBaX1a6p8oGlxw/efBVO/TXKMxrNLJ6b/6tQJitO8ewCYPPmhze7WQ2nxNzr3
oPig15gzIdU46DSHolY1HHccrpHWvtbrLTsAAmTAq58Yt2hz5/iwc06SnI4o0WLicigW9KbpX01t
e2r7t+ajST8G7U9IzsNCIWQeIgmOMtud1JcomHeUSEP/RveewFfbsU2kF2j3P1/d1DHkBG1DQL4I
zVuLjJ/LKqRP+n0z+9i4h1s497BVBp+H/DoT6ktr5sxgPsYhHaHUS9MbB1jsSXXi/h0bR5hYc2bx
nMGIcf5Vfntc0qEtyGbrmSz1dbbCnfrDdssf35/OqWMcTHdiC9Ynb6vwNV1eTrbYmm5+iil17OHg
+UOXw6NofVGSel7i9kKXwq/4gF2GrarvdLC4y6nr4+dIYdSCCVCdgdAkTxn4aUFknRrtfH31DLB/
9FF5/zz2LwcDCNOqMOiWHpEEGpB0SVraEuB0fZEpCd66yitWf3pdOR6aPY/FFNrh4btXU1u5I1gd
Py8GVil7vCXwzDmxnnx9Fg1m6BacTNvVkcwevOBeSMSnSLPaB+VNGF2FCgNqx4WT0ND8/nSOHImT
cC3HJIwHMeLBY+I1cTyNo1v6LG0o0JTm3BidfSWSx++Pc+Q2Ib0lSpJ7xcplzhOs3x55u8pTwxNO
6U+xuhbZi4L6N0mL2dJ4QoX4NRXSJYLyt0MdLBdsVO2ZjQKMp/Po3hVmuMh7B5PA4HVAj7piehgh
728tmqBiVZvSXakC15dN3YpQRpfrhBHQVm/YS6MYpguWm1gqLTepdtIYQDn00XQZZBSDCOwNvCS0
jCmuJJYHmcid02XDVV+2tLFGyHhL9tqEsNnxdOJEAVwfrs2MMmnu4zqxtFk3/vmaopdWDK9ouaZN
JJ/IhlavtM69G207fsmnFuh5ljFEyfD6QZPcOOnIxmmwz2zIO7HFeEarqxS560MeUB1JOwKkkd9V
vYu+nd0lAtF63YBhQCJJJkkgEgOnc1/iguyImFASBcWQWZqom6Z+JaWrLzlOsmIf71ykJlqGJCVY
aWC9Xnlhj/KIHF+Tr4/H1dKJtfLQHr46AYbAP37WdIiZKDj4ZvHdP3jWArR3jGFHrktCxEanecYZ
d33ww0SAoRgCo/e/P+DXya9hAAE0LRg5MHIPJ79QP7qur/LS91xJkl9c5us6FPLCNiq5DdxQXkT0
X/YkMp7SKx55fRlrqzYJsEg9vogv0L91StTaBXyucXzuMNT8qGn67pGIJ+9/fJJMeVmN2PDw78MZ
OsMRis4RYSQSXVqjIFMEPRsCLZSkEGd2k8busmHKNi56nc7d9wc/cp7UVWQWqR+w+ENpu4NKkb1n
gYYff9G27ot9ONMU3WQUf1wGmPMipYHIQ2eCEv/zS8VGsAlBs2U+UJ+nEVvTSndJaBaZYfzxY0q5
gWAKYRQyjC9ExopkVFwFbcZwse1Xk033xUiu+96yN+w+f/7pBTRVgxPTNRPGqXX42QrjrCrMrOa0
rNzwsRcVJYMEGrtNZqSnmLFfF3sORmlDaWAx1Tr8fNUMiCO7zTkzxdxHhvIEAOpnMhj7sLdP1CDz
u/y5PuVQ6HNwPOis+YcKajJ/yNJWmMYC/lobNEy80soWTtZNpGHCy8n0U9Xo8SNC2EbGNr90h58X
s3JckH+pX2vdLvWql3LU9oZI60UL/Zj8W/3iz28dhfccToAGmpHP5yfSgmcM385JfaVtd2PW+aaZ
EqCknjjM14LRVC3MqqYxI1wR8X8+TOeq6G35q30yrGbkImGE1cAX8fuT+bpUchRNpdhAZW1/wWDC
oBlIKdJSXxhsa9nu4dpufzmFfZvUkqmaOy2NsTyh6p6TKb48JfPCgRYXMe4XoiiZNTA2IlRVngUp
ss889uJFlQJywOBILC6TrGYk3GABkiqNlsT9VvS+VWcrhzo8yxgmbYhy2k+jVd9hdYffWVUUB3NZ
UM+YD7Qx9oOng1GFuWWd+O2P3hjQujxx2mxrPrgxzCWjjPZm5tOiKtbJ6CV4Jmh2fH9jvq6w3Bh0
lWjrsL19KTlzs+YzEpaZX0iH1MOy89VU27uOPFW1HLsVuLFQVWIgZA/7+TGznMzA/VewEGHBYZod
oE+31WHz/dkcW4FIBEGPiHkP1deXa6bqQ9gqKQoCmDGdw2cKxBbUiiZ7hYjx51U0e0ZkonwyZgr5
4Q4VuqSNsZZXdEyDn/O1E7F9m4vg6fuzOvbyEHdiO0hy2RgcegSHhkC3qeTlyWLLvUlHjT57YP2k
41puRGi5b30GwxoVS3PiU3VszfuIWEFBd2TTQ/9EjQyzS/FE69eyUGCUhJsqeayS6Z4X8cTRjj3w
bHvw9GOhB9t2sMKCG0VHBhzQr8Iq3ea25dz2Otyz7y/mh3/z8NMxWzt1Pkd42Q43/F6rD61F3813
2159jCO13JAUhyglMbqMBr3TPySaWy7bUnbX9VikV1bmGLjTEHZNYKKYLpGdpNVQHCGgMJRt2+TU
7lY7euUddti8maQFHBY+ImhUq89zvjaDSa9Q1i+a9MgCMdzmLHbcJ5LrqqVDNNhFVhjxY9p3zVng
lT8ixrqTPfPN+tw8o4vkLexRqRZexHl8fyGPvGsMtihBHcdAZXn4Qcwcfod4oNzui+lnNWlyo1Yo
qoKMIfb48v2xjlwO7UNoaM2KVaruz6uHDt9VJVWF0j7Qfqo0HFa5pb40Y1b4jodHAs2wPFFhHHnp
NI22PRUNX6wvJXYnshEPdMnpJdZzFIfwbhnd08wU08KAf/ZQi75eMZLt/D8/V/xJ3tyRokA8XClN
wmjgHTSlz17tCoqWQJ6b3SJLJngzDR9H1wpP1L7H7iQlG20AXWP3e+iU5V0Bs2bWcCtUDCbkazOa
LAx524MV9XObjfT3Z3jkm8MJUkMZfNgoFuff57emAIYdM4pLLu3QhUi4TdGv1LqsVwayuL9zKA++
JH5u4OKHH9HKMWOZF2zRNK8sbghSh4fmSPs8bjXtxPJ17Bk1eKFmH8IseT54Rjt0McVEZwC/cbuH
m/tuWfWeuByBOam+dcFG/vHmiAUM0wXGXx0d+eELqA003PVmwkaqTwh9nP5OtGJV0Qc4caAjCzPa
YtUygJuQzuDN9/O3+1VhvmOayhYQYMlTOAxbd6r3Jx4Jg7/jYFX+dIyDZ8JTiEo1Z/8dql4NaEhc
7YBAW3d6ixM7yPqGq6jiVutFtWrsJHwoe0F2tcXApiWWmeZfiySqiBn3mETIKYamgUSFNxgbUsDb
MKNb3SNttRhhIAWVWmzzBoUGu9txiRYuOIssF7W2OoAD02ZeeMIM727ychQXhQaxtswbsVU7crPY
QA3hNWHMVIfljF9MY3ENFyLakrs1nmUg2a46I8ovO0V0vpt6+7hMmyVXON3k9IrEIkIt5KNQIqeq
n6p10EYWisG0vyhNI4YjnrSb7y/vsWfT1DDC85wYcw7Q5zsIXLiWo82ziVbwpR7kixtV16ahbIy8
BFvXl3/jtaPmptijfY8y/uB4VjQWNWiYwpc1JBPWsV5Pz3pZnChev/oL5kwhFP70MmnTeQeHAekb
GWLwyEJV09uqigXCIfetTh+YRF0ylV62lv4jFMWJLdNhkjKgn48sI8fmirK5PizIvArQfNVb9EQg
ojxHBKIuXGEqt6jd1WzN4Jw9Tm3lED/Trl5lBUohsLEs5LXenVlIfa2kV84MtVU2mjSLZYA6jAeu
2mL8YIzlJa+W1rFRH9ADAX0OV57UbHovzrQKteBeTyFlupNFGqpMTJyQEwCshN8HuGr1jvAbDtBH
QP0A5ApHF/97PlnLqJHJ2oEO+lgb1qlbcWxNx+wIeQk/AjdkvlW/rRGx2lh5kWLXBdE/4ntZjL26
TTXZnXiyjq1Fvx3nsDDqqo7EYcDyvmvNaej0G5Z5FK2/f12OfRBt8jCYKzBvI/fn88motV7h0BeY
5tvSXY4zFEzVn8o0QljbjCdMZ0cPRr+SPQvBhl/KXluwGBUZ74oS2Tk70WkLTxukERIEQ8YnLt+x
hcCm7c/XAsvel+I3G0fDTpBS+CIRt3qDRxwW8VOZiXcZY96K7BNXUjv2XDjsktjA4qVyDuc0U1Nl
XF/qtGTI4PVOurZzJ9Gf6fTiV6WhRL5ZQVgZKs+4i9Ug8scQZXNIGNWlG7rpxoNM9ODgC0CjHYRA
4b+/00d/PRZE2kj0b/HxfL7T/RA0ShpR5vR19W544WOkd/eZwTD5bxzHcdkpsv2dfTOfj9N0yhgB
eMAS3GQV3Rz5UoxKvypbceJDeqxsncOjaLHM/+EcvIdG7yHjRoDlS4TjUYPOrS9uRWntEle7Jqhy
n2feiUbFsQf4t0MeFqzJZGYIddTcV/phG7blu2dmKFztnSi7E3sO49jzO0fd0Ysm0I5e0ufriHXd
rKbByVlm9PGHjKpfpG4Qfp1p7pL2bbicCZzLnBV5Hdez4FjRZnmWQPkDPPzJpKkCUQxufKsjW8ba
gtkgkuKegHUM/0WWLck+dDeD07uPrsWqCTIeREOuNMNqSufWZqn/UnsdTTvE0aFSfyRle4UnsVpL
Sr7Y7fpFPhrxus1H/b5CecnHXrdOPE3HroI3O3VpcfDcHk7ns6xqiEWvqPyq6WySk7aQqvkEnvGc
numTjAFgfP/4HrvFsz0Dx6BDs/XwsleJFo41xZAf11A9u6oV1eaD/2mE4KsXzSxM/f6IR06R7/rs
NgYoQuV+0Azw7NHNpW5kPjko5joSo31ZRFRoY1I2TwlJaD46pNfvj/mh1zgoQtHe6FxUXlG2tgdP
V6iMGZPZLPftfPKWUd/a92akdcvCGK3zqMyyR1IOoIuaSLY+dMpuBGA1byeQ82iJtkpPYMaJS3+E
TGGiSqDrM6/azpe9bzhYUxV0vNHNFKBnM0JzgyrN2DSBaLakmhkLnhTkUxZBI6GIliMzGeTX5qmw
L+PIWjn7wpFjQFJk0KZ/fvdUpBF2LuMc33JiMBqZxc2xAVwWgWVhnXO7nDOZIEnEZ0EOQEYTWVNy
5qgQe7ub3ujVzTgGAF0/EhzlpD5TFhfbqOeRwjZBcP3gWVt0ue+EnS5Ysru1ac9MMUMBeKYU0o/s
2gFa1jorNzzXy9S4T41iuOa1xYky8iI8RW7r7TLV+UsFu39iY37s/JmA4UEHKMV1nV+S30oc2m0J
UA+D88/S4Z4gIARp9hA/xZoSbb5/Eo8dCvUlWgPc6Hw2DgoQhk4k/s2fJWJ+olVVu7OlZ6jSnRdl
4dP3x/q4b4dP/dz9Ndi98hk83P4Xip3BhozZHHTgrheSgTGOj8nUttDCOlKMMu1cK9XgRg56f6Xr
SnirS0h3ppFV26oAmPzxC/0RvuEyfhNlU/6S/zX/sbeyGkUcRvIDH/Df/7QvEZ/m3/7I9r28esnf
m8Mf+vTXNv/34/8m8HKGkn76h/VHhutt+y7Gu/cGDf+/CQbzT/5P/8//8/4/SYLVaWGxDP4HJfAF
kHr5AiD/EI76zz/0bziqNae9zoNhle0kzQGe0X8THLx/UH2gO2I0N/f5eeT+RXAwvH8w4eXJ9sy5
dP+d4GA4/6CWYHtFs9V0+Boaf0JwmF+Q3x80kmRt2uTEyqrIaL6Y+AsVV24epYAPQs2aIMmYxQXz
3PEh1wZ8EqF1CoNwuFnggA5pZ3yx+M2/dpQJVomkMtmjPwyUu6rSYfCx+3j72024+ecJ/A4MPNyF
chRUubOJ32Jp/PJxlEzqutqKBiB3WB56fahv01KwNjpmtVaVPltoDS0us06Uu6Z3hofvD0/K6pfr
SptSx4oEspB7fLgNbtsRnvToSB8cSzaQMBRNm8yJ8EMilLgYAIvuBqS6zRYxNDlBFTE0c8xLTKXU
MGW9JylHCxcleRZsmqMYnryGL8Gd+hRMZ8rPYgHJ86WRKVO3GCocgtgJGyjS6G7HX3QW0jsjcYlK
wpPgRyZGyMCx6x0d/PoZS+G4nfPVwNiG2kjHo2ZtW9BwnXy1HrQ9mrzqSpARssfvjK3KwDDe2031
4uZ5rCL27sZfUcMZdUXWPWZtMW6bZPh/7J3JctxI1qXfpfcow+CYFr0JxBxBUqREiuQGRiklzIBj
cDiAp+8PrPq7lFJZqqp2bdabKstBGREY3K/fe8756mts4VvGngOzXTd2fU1jk/Z3NssXcL78QT1l
4bUnRI4wJy9+CEewX9uxl2Zz4lLVhMyRzmYR7SiEc7CJDyLu2u8xsONR+TQ3M4lFU5PeucizacuE
iMywkiCy97PuvilHJ2G8hFI7H3yIEx7KoMWZMhoRld5Cvu3OBTGV9wTax2ckOdPBa63y1CIz2pFM
Nj7lkCqe2nzxPnJ37B2KGCBxNomIypvar3MDqzfxqTwyXc+POPibFyLPuDMt6+3RWz32viZVzRnq
8OpZEMvbNp2/a0wyj2bHH5nNrv/sodK+xlMiThh3rE8Kis/nfND1dc0kvFYVFdYW8rnIN6JCwr/x
1GKSxVDKXS+J39X1aO9gDhUP0kuRvMORwwvddF9FzF8mBQLBKMEcnRyh86A4F6r9OvW8zoExzAcv
U+WpCbi5sy/1dlI5CIXeIeliZ3qQeyXONDoXELZ86D4Hw4qLhwQJHzSjtL0l9dMFGpaM3wpzBtuH
247emWmyaFjNaza14xPjjuUmbEf+U046H2TF3mVN/OJQG/I2LtaX3WjdOyMxRySd/BZP5OFmCNMq
GvEUVASv1eM38KHzAfS7uEsEdyJGPLYRtZy3FSmVFQngiutakM/vl6EbTQiwoVlNZOzjr4jjB8+M
268Mn5ebWqfzo81GegA9hROpa4s9sKLhDzP3rE8ZieNb0hCBORhc2z7hPuZqvdTrI1rWQB/mjl+/
YHZIoKdwJwSxtwdh8fx3yFNeysSPz2VfvGijV5AWu+ouCb5DJjHHTWZUJFv2cWUDhHdfcRy3zzbK
9afE5tlcc+Wyg401aitE+Spif/w2CF8CK3V5KNfM+CnlRuGqHPbkLcs7CUHtLhy0e6fm2PpUZ718
Ua7XvOJc4Wklcnbf2XHz6iAnv+SYsj9OwUpIM3KC6YNaN28J2e3I/JzZQJYdFtv3HxekvAR90xsP
0yzrYTtl+XJDl7b/LDmGP8zNYJFOzZECKJaF1bTMq8jTZnYcGtvHjBhP2QGrJPTU0jO5TVWh/JXy
1z5bxCVfsQ37iMdtp70dPNyd9mear1bhvYxNrYevWafES4Yto0iOo7PU5EoPi1HvENppdTO3OnbP
OnGUeMCYiUVPTPOjhTM4ajyV1hvLnZANtou35zl0YcrQlAfPNg0sTaq+VQ0gNexB4VkYxYfB7I37
xiwfDFfdikpWewwk7v0CVWLjEsR627kJkK34FqIMXD56fMfEXtJTZRePPYPLnVopcUrMX4i3VDsx
qj+K1K5ORp18heGantKFeVBtKXltqlHvSnecYE8lwx8WprNdkvUXnEvxHrWxhWWXCDFr7ghH8N0E
EUOS3YoFQiHQqXGOOryEXh6cjUK226xs62Ujw7g9obtBpWxMAINMQmKqrKAnWZXl90QuwP3oIQI3
68UchaJ+mGs/29mVEV5yLPw3tOg1thVeWHyf1iWb0amrkIjGhbZ6ZFujeTJhnB0rH3ehHJxg12jD
juAz8VrWa86BiVDRNirzot0sPKrE+uhUcbinudJfrTp0yp3Ntf/aS629yOVYinJx4R5y8CBnGT8f
qFpLQ7SMAdb0oIxq21RoOEOLLmnoYRKMvXY7x/1Xp9HqkLgJex4beLDHTjZuUhthZ1577QPjWQtf
W9HvUW2lE0M4AzBDML0GMI+JgiZMu55Wf0FZFC9YFRo/8iZvPkBTBMTDRDvYAolFXTIKh4Avh1kQ
CYR7oVzHP9FntM3tzCKCI7qQdr+RvFc3ouzlBfAk5ney8E9oJvqtk6a8Vf0O8kS7qWm4bMBtuWfp
ddPjop2cUHXMNgyhjrrcOqPRQMryljdZmi7dtmr5JHPZ4Mntw+O0uOGpUvH8ISucZTvGqj0XlRSR
Z5dYPrxi3JQ6KXa9cMS939NibuJVdZB02CFNGexbY2TGsjI9tevMWxE6+bPvEVUfmLPei3jGmhWO
xr4lygChLIGwlsFeTkLMKcucydmgnNwmRhI+EbVhHcqMJ95zmvQUjFO8C3Usbho6f9mm0MZDNUzk
vbfLfJ6DDp8baD3CDlqvq76JpL3FfuBfwwndeyS0holVohtDpJMWN7JfrJNk2tJGWep1l3KJnReV
+7PY+K5Gnmvrsr+kM9jDKLdy85vETlRuBbqkaWvm5nha2jaMZGV0B2WV7osuVQZRtMjyqxgSEhyd
3IPR2YuRCZxVW4n7giHIJDqq6PHRNTUqFGOqi72fuuOXJreaaCj1WhfI9h7fTblFrF83O0z62cWY
Vt0u9sTc5/Gr0hP6+e4atn0jUNjSONzoxs1wKQZxH+VYn+9mO86OS1rLL7YEHgKEcS7WewMZYy2R
8txhH1oxrrnb19fQhjYa1HL4I4CyKJmVcITem0XPhoP6d/7OORoey2zED5KpA+8AfNqrH5sQBBJ3
5XGkZPO2qXTvFjzoD0YjJT83c9K9KjIiHhMmQVFFkZduhTfJL5NUTLdSxBY4f9mdkUW3578XX21m
W59wjPZ/SFJ8gq3tpvw+i0BRXFTzbO8oQ72PU9FSlq0FI+72URTbPLXLE437+lpi/z4KswfW22gW
4y4nWbOS5IRvU7dncycT2Xiok1A9ZbaT3CUVlUZNmOptsrx/i7B9dow12yBu23VRhvz6nYDNAOqo
T3kStq31gWWw/sORHqdgA+A3uzYQZC9hIdpUHV9nNZ4fUstQT2kG9WVjtUZQR2bVzYek8mAdjIB2
UzXqbbKawhqKrRd0plXUz2v5i3voxR+mkkwCfgKNHYRX1TR/x2iQEVUZN3CDsxAilCbWYoYFAU1U
OiXpWWH7G7UDjbVfDhGYGoJVb0jExDq0+3N3w4UsIcsZc8qE8y6a/Uzmu7YK530DV3UrMxSxYer4
38GDj0cSS5K9YdlviOM/E4zgMORjmzJcnWwViuibsbPFyyhxNZMAXFxMs3JebTR2ExYeWY8XDMQB
bCir2JoCHFAGWelQcQuJlibpxrRSHHtTRZ1QVuGVjRuu1uTMF3QDetu16Gab9c7aJAc9jEnnfTRc
f4YCnZgkmtVCGBun59kmkox6QzflSSkeHNA/1EocUqgHk4J/aRE+t74jDASD4VojTfXS3tfoZbmX
eBzhSFBIhYCjNsLMaAYCqdrZUyxvC6QN11zB+xotjnoEWoxPCdR51O2uXZKwrwrvPJSLP17bWCdc
pAxiqTH1w7RzE2J2IyWduMQ86+QKvzipSkYvtvyg2n5qYtJy+tbBp+17S5mcCraSbbysfyOmkIq3
Ji43L4ozhHYjeqTAvjBZ6rFuOpNkFaSW6sw0r4FppvzipA6b3cTDTwDNRAnlT2SPGDPFFccYEzcZ
BWAfiP6zie87wuDrRr0LlTiqQolWEscxLkIhv8y5KvZdNmQHNbKrmYVejmQxUciltaeehqx89Tvq
dojL8iXQJWCBbl5BsOu1C1cf6XlZuPi87MYDplrnZPHC3hfOmB1idHR1FLhDeRrAgL5NYJHfxGyx
J9ulbW+IsC32zhB0HzgBBNe5NXHOaw5bXln3n2uwzZ8nrMQncxqa12Gtqes0LKMUAKwmgLycwN+V
Wu2tJalOxGBQLda+s2HP8u8rp1NPpgVrG1hU8+b2hMRifJov0uLUsu3qhTdvaKz+s51zkG/bUhJb
muGDjcXUvA1xHWydYKAijYXAzdi4C+9ID3vTwoHOPxzMpf3a1BNXpVqgW1OVb9xMLEfml+25lS3d
EJtBxmYK16UrJRh4784+B+/Kbp+RoAZXS3O8JakpvCaW7M4ZyICrl3DhmPXMh5p0+KgJ6vGJERTH
Kj1nh2A9eTMhkrdVwbnczzieMAxavge8pcsuCxb5UnjVh3Hy5RfAeBxzTDe5s2pBloBOmQwK/qO1
sRYs67eexAoZDhDudFHDvOU6O7o8WeurOnGSZSMp9Baspnx124m8t67K8VIzK9mpMeNEuh4awIBw
cEon0d6bdcedaXK2gPc1UNZJTURgYkNfQc0DnbTTnKcd/ME0tPh1pT9floR0nWmkq/H+GBLTyAKe
1EQ/TcqYb0TCSdPp5/b+/aRdOzw+eIDKyCPCA3A1pw9SO7JjKdjICLwNrir2GIyvxzIjMbgMyGH9
iEYPl35toCwZEUaF5CCu0/R7FwBhXnjd6miaEzYBvWanBQldA1NOxUMrkZ4AaSkIUsZNgYKQrJpW
Ee9BsAi3ONFmCa+cX8S81ObwvPAKMsym9QGYgLZLYULDVhAqw5xHkBQhS+9qwroioiDJ/yrIL2Kj
MTsaDgyz6LXTiSE9pX1eHEGDwh10+5WsSpjx5jA/1uQObGK7K0/GeqjFScSyxkkKZN96Ql7ZjWsi
fw1Id8n4L1UEE+/bhSXOsfj493OzT1zQzVTQM6ubVEDcNr6Z5rKWKb7B7SsrNqm2R9jy90cT1ute
Co7kdWPFD6ZV1lfZ2MUWa0BwDYa+fW4sehdwGellIJusrxop/90oqHDBng0s7obd/4FXqHmdki7Y
dmYbXrXPOtvolEuYum331STEDU91oSx8ShVHaI+yaAD+dl2f57Zbl2EMI/2l7Es6QWHmU2sUHX88
HNr5kiFj+JSu3Ubd5usuQGH8agU8EmJR/R+qhRCXWnFy5yvJcb1bnx+SI4iCoP9TevyceO06vJcV
QUhniqiN4qHSI6d3eNlbDxnOp/e9wRpovakgSe98lnzO+zSvRsMVd/47zifUYXBtQ65wOxf2J92B
ZQkrQqa8hgpEcAyJUi+3PkmPcJhMcSNDGnOnuTTrKyF/9dW1KR6q9R6k1EsvPWIz4paJKt9W2mI1
A2j8NGvKE1nQFzGb0v5kVDWLLevYM9FA8gXrAvxABjvReytmHGgWBeTrnJM61USP08joWU1kRHlZ
7BN4bfu2mciVHSgyK15sTP0O3aem5KWYzbF5LW2DxqCmV+dkMSXaQMHikLq5tWnq7djseXjel9nJ
52pwYp8vXSOSz5ymZrmZ7Wqt4/qJ03/nTB86DsuP0qdaMhbNUZE0by6myfKWjrxHReiwa3mjpLZ2
eNYMM36YNH0Ku5yq7FQLtz1rWdK8WZdKjDL2jrDq4o4YRZIXvcyl20C4mtOG7A8pR1XeyY6uIGL4
Fb9s4fBoffXNr+PpMPDVN3Vb8OJmIcUfWEP5haweSo62X8pTXvOSZTJL70hYex1Hl6sG6sE52UHK
qzIWXAMwCVSho26fqUpysVETFMINUQ0hdYtys1uAhyyyGtrpU9PEThTO47wdFTd8DvAtFDatzPe/
fH8x5ypnizEs1X11NXuqZFM51cswfSAWcN5XaU5Et254oTPRnhPfZZFhxpPcYWZhtL242XIjvYVK
WPszCZ3FdyWWxgMBy8HhvUHnw7gWRAw+6LUKmKeWUljaizpwgOMXExBe5hj7A/EC0JbQ8bUDPnCQ
3SkXDuCmABZ8HuLhd/oy62eZw6qjwEKFCQ4LJMHQP83iVOM0Fay/4SgymsMRLnX3zvcGe5cMZJTN
gqUtDSm+CbYnZjzBmZf3LoE0FAdJXHN2qZ323DvjfKm1bJ+VEuKO9MDpkSVh+c0w75ex8vplV7s+
slAE/L8k7jLgK/zRcPqjkTnmZuwhmc6Ss5hp5emdoTiY0K2gELVGDkWEylFa0cpYafTNWy5prb7f
7L+eGryP7P88jHGQzgkkQMiBxC+yo4R4CTvMkv5YVQ5EbmSta3aCaq+LNsZD16l0y+l92c3MIil0
FE22XHJ3/XQ9yWEKeMg1DxWuW1aD2G3+kFnp3wdeQijGQGBnbHRNu2kH97cC/l9PKoBu3u++j4T4
F8tKZ4PyThJjAJlkt+cYtcnauad6bPO2I0FwnUQ4bbAdWRNf+5ldpNY150I1uP+YvfxHo8p/Ywj5
700z/58aVRJI9sMD9y9GlX3/9jVVELWH/sfEebx665/8n8T58G/IOzxUHi7dLsv8MXHe+RvcGgfB
f8BYTYBn/L8DS2G/TyWJICBbHjHmGtH9T5yj7aw6Op4Mj92QAej/DGz/Mclj1stEmVHvP/76x8ne
r2P41Q+KAcOiPuHb/aR4CJ2Z5CBpyGOQld9TjpwHonfiTRagRP7h6vybnwSXC1gEwgJU/z99Ulnj
V1+PTcfAJmGOqKtXWTfTRsepiv7zT+IzMJYg9ydIZP3NP6gYksGIl04WksSOQsGKNe/6sQLz1i5P
//EH8XaSqrFqJUw+688fNCIbCJtukceZfaUoi++xkX3P+f//5mMAUq0a4F+Hn9jXscG7k2TBgT4Y
BgwXIYMDD5wgW/znH+VZCCQwCDNC/9m3kEizEqS/SfAAVXedTGgaKPA5i9T5b36U91MzJggQTjM/
QH7qQDr4WYDqjxUztFDLY6pBw3hqfpiT6YngwCc5AiT765/18176/mEOrjyc5OxOP1ufYdA3vJuN
PNJqpMlHSXPMwZZvGiN7MwO6VRnJphtrJtf3rz/4X7xe2DLWLJR3tdXPr5fXNXRl6F4e2Veaj4r0
oY0bkgVKhIfzm/frZyXA+29kv2NVQC7HW/3nh3FRuZrx50vMtISWV8xJd7ltxh//ix/0w6esO9cP
79aqsBgNhnpHI5zIqO2mp7ECQ1N3/92l++GTflovdFGlDQNxHpBSzVtvyt+WhrPo71+vX5OAqF5c
so3Qbngug4qf+oKJYuIpKP6PA64Lsrj6ZjNMCC21I55bkPa41yXDDzqzexdmd0QAwm+so67564OC
HzAIeDj9UJDssL4uP1zXJq7coGpkhULJbrbSHAEzzjC0Piyimnchk/+tFXbWnjRm92h20I7y0gkp
60V9RpqBIUZzFCfdm1SVjlng1/dOtp/HzmkFgeyVX3yfSe05JYs13kgfMF0nl97b2CE1TCP5V+Y0
rnZ0vGwm9MQC+lNb3c9daH8ufFCxbpzHr2NFra4ruKqxT6p4M0Pg1jmvVOFPBIz3s2LGTlFHZdJy
zBoGbL2qKOsdwrn6I4ma4kzsn/7axmw01uDx3ckmvJ9z0Vx00I95lPpB2uxmUZpfcvJMMSvyfQwk
XW9VzI8uRpimTZjIO2aJzXYgJwNprBPH+cZSZTjRSR/Cg0fi6b41GcjlLU19owPVVJn8umVFK1Xk
cUXoI2w0HKxvaZIRRUn+HFGnE7AiUPdDNGIyOYuKExVmuOZimUB8g4raEMyxEfklWvkkHd3LlFj5
axI05ZOnaa62vSNfWq+yP8f8drnxNW1CWQm18J3GGA+9LwEMOc7McjN5gtaOQVvjqdcEPnP+rO7B
qw+vMZeGoMtW3nkq/25a3FNF4NvnKsi+T72OP4KDa056XZ3Tvm8uM5RX2pacvHh8w7BMyfT2pgcy
dcSJTQW658jMfkxgBlKJZGtIt6phkRM9tBGKUWniyPAu9wAbe8AEbi1C9w+eKrFb2IZmYPD+5pU9
EetkegfX1OOSFRkXAV8P+fAinaOqlcmnYCH/EDREVryGpLFuqhYeG9nlOSoDclcXong7rzxkDCrl
jUWLNdx6aTw+p7E0wh0z0z4gqaXIgN3RPLvC8Fg+BySdfWLAVH23/bQ58xtnRGss3miW2qPIrfCp
4eX+5ICDySNC11wSJFHoFDhC05GszIn+eoclG9eJzS0Y4qlwCZWXSbMhQtTA7+iFTz3ErK0U5gJI
WLDLLsTMcvCXayAh0XjpE97gZDyooM7fQsTR+7DmPSKLB1lRFo7loR/jiSNkOD4v3VIcCG8aME8Z
nZ3toda5y25BPwTXq0+02nhTYX3Bit//YS+8W8Jg9rgttds/jv4ARjMX7sWfS5ZxesIuOlTDOaOH
g+MldGZEVsGdcNOkeG0Tuz5PMWGqjM9gqHX5d87iIdIhzznzRaw9Ed/z1ph7juYpCopbwqaZUyfl
mjzKHVIOuy85U/SRA44RQHvij/nYEUeayin9VsvQPdaFR2vZS73lKiz1LPt5POCqIsM3VDwIiw5q
sv7gZaOE2rQGcae9VR5IEv42qM7fpv30sW5tFA7jF5XO8Blrj45pLL0Lu7F/nypeSubd045u2ngz
Dl24Swrec+yw8caWfvE5sORyIexuXy20qpIFzGEE7LovyM7Ns40zlDzUrIrTh7RE11KrPLxzqGuZ
FPLWF6qkwzBKSJg9hImlY3Wr9DAe3gHSUvC77Sp/y3ojuAvwwr6VEznVzjhYyN41jTURO+dJ8USR
dxS/qhD1hrkCt0fMeCBfF16jKmhD/OOKJDmjK7sNgaRGlIK1uLc8MKXCLN9cl4Wy61g/SOT275eM
wHK76+Zt7Lf0hV1HBfcEDnc0woGpAKvhMVRh1x5KE8ZwPucsYrZqtp7mozt61MeMDEWUBpb+muJ2
knVZE3vaE9RKPMuuy8o7B/j4PtVOwE2o5F3frqV9YzeX0oK4vaUJo+AmWwILFlcni0Paah49x/dV
F53cy1AE1jdTs1qN6zPigiK/LeIhu83dKdmPM3YhEqZzkN/G4ELBcPc97dSIiEw7cp2FFXFopmhc
vOYRRVN4t/hxvZ1Mv4vYcDWhGAMrd2l2HfESXv1pBP8MWa+uz/GiqvtesfYYCauHDnnpi7HimoeN
2js5zrCkHrNbJ7bNL6GlhgtdR0riRt0FRV8ee88cD3mKP6IKE+Nm6LI7J3PGZyPP+7t5SoebOF8+
E+WsUdCghAtm0nfEYrnHJcwWJittdQfWJ/5QFi9+SzQwM+DvTbJG5w3ZI+/zUzeaydEmMAWgQ9VG
g+ngN5yRYbAtJgcW9y+G26iN7bPprQr/k5Gl5ROhvPW5AyX7ZFYBminTkqudnf7j3xdZ0tnxHXAP
9hz/9KbwYJywb9cRsXqTOmK0EN2Buc/GZioBGrMP85qxT8lilnPObHlE8rCKEAgWp1q3Zkjusr8a
OEHzbOexXbpNKZ2sYhbbDiYKEd2uWfj2Y1/Z1Vm3TnVuwNpKRi0oJpyyV1tlYfQo6QhPhBdcZm1P
1cLmU3asf3Ad44eWwQ7+5iIn5lpkY5WedQ5mEfxBFY/BGWUP4OvYU47vRBwHUNVvFhLTvvdzngI3
GIvqm3TR+lhZ4oN09CV6xzmEpei0rknvfWJdn4NVsw0yYRg+1J5PQnIuCCRnqJfkOBPSTtARUdbI
4BmaeFCYBaKmqfyoc2dC0mh59Fyp79FbSH8ez3WZF9tMml9EoI4yz9EwzA6DDRedu71CzVk4xntQ
hsaN5QD22w5+RSqkANXLe2o7myZnYK3KYDjaLekbUxu/FalbAAeyCzAQDFZhB1jPOAamW8UezZgs
AfVTC1sBIy2d5ZbXNfmalD6ik2LFHJb+FFLdGsYpm1wz2PtJxfomPJZvkVCdcGATeqOJEHW3kh98
LBgOMrac3fE3at9fbRBrQQwgzMX9SaDNz6dASc4XpCxVHNOqEmc19tX3xiELd6MH3ZsVLEZKq7Is
uWxpbg23o0dlYcFrv5MWZRW6vTc2rvoc2PSoZpujTp9J9KjlrNyLIJP7Wnd5xygDyP0wtgxKBvpr
x2RNwHJgxDQ74VfxR3IRxZvj4aXYhPzPITAs/x6xHsttPE+4lrMsf31fA+safFSklwKM41+fd361
Dqza54ATVejS3iRj6s+Feb8AllG9WR5pWLP22nqE/6xMHzssNRMUmex2xuOHAnGhxipCsEssfu5l
cCrEQlb4u3Mzcnn5Y1Mz+LsWew0CJIbqlzAjPwHeAiOxPHaV9aRMRgsF+4v2s7e6VA/xzJb/11fg
l4M6DwPpEHySxdkEy8ZPF0CMbpUwYTiOLQVpDeeEzZrSBIRwczEEOeZ//Xm/+inXD/Td1YxFDsYv
6RB1R7EH854cnQC8zIYVs9lmfT0Cv+LBGojE3BU9z5rnBvrD+xasITx4h9TW1h75pRHB5nLfCOwf
DxN8lN88Eb+cs0PYjIGN4JU3hOvy0/XAZK49XG/ZMeS8fXCNpLlIoX/3Dv7SseBTaFSQDEfgIx7s
n86DKlNj7NVNdvQElatH4g+xTh7AZ1rDBLoX0A/mnMqdSez4/Nc3wF47BX9+xKgPaJ0Ha0LHr8mZ
s1WIsSs1vtVeJzGjZDRSRhyHr5WiLu0b7c53oeGGT7WYn4pwbr8b0tW7YR4hXQ0NaOl1seuGTVuq
wGFeIanlRNEdKX4RJSAZ+6ONrXg4GTGRH3/vuPz/fjXCyW//+3+9/YFNicedguXr8KeuM0sTLZK/
sNZkdf2tb4a3f/Gn/tGrDjDQBOvAibjHtSn3g7cm9P+2dp1xtxAXQ7PYc/7Zqw7/hvOE5wXWIjE5
PDf/7FU7OHJCMp1WqiUZXOQB/9Sb/qteNfEwa9Pnh0eTHFy8LoR4+RiZ18i/n5pcDo97RZyAealN
o0lbhYLDM7YoUGKUztYkdwUE1WYzOyP8s4mIDMTSaG8JAC/RmlRLVm9Qu/c3DCVF2NAtoAicllKI
J4tNudjq3vqC1ih5rCZUElniuZ9HBC83yIOHDws2vnifNTnxNA0l/E2i+YfR6E2hPBh5SvTbkNcX
smwXDm7A0rrB+WJotKIXEw08am7PHq5jjpj40Sli5V97mDDopEpPK4qPylnRceQ+1nY/kYrfmBsG
fPtlRgK4FP28dTrToUPiqBdOKRqhrsJ1clM4GXN/alRf7gvu7UfU5RVIaZuTNKbJOHu00plyOUUZ
E3VZPnonXFJoUpheffSEsk+9P6QHe8qhlFFnwxVbXTNtRrzYaNuH3M4+zYyUP3i5H+dH/hXnBgVn
XGESYDA+kKPTbThxO7vBMt6mArBfYOaVRoPkG9GCkHlHamnIMYAp8XZJ/dbdLZT/D5ZZujdj6E47
a1C+dVJh2DaXYQnjp6UK/I/Sd+NP3TDbwYn2omNs8166JZIH0bcRkI78eWRmuzNIMI0KShmuAX26
ltT6sxc25WWQPtdSVTrbMJmPMX7Ms76gA0qCyEhkuvMzb3lo60Rk5iEGhXUsLFTTQ4e52B40Rly9
1Fs/mMeU5Pc23wdzHB9FU9nPcnFQMS29sXwKS78UmyFhCz4KwwzKp6wjCucRewDV1U5R8k3GjiD4
sO8Ptspnsz8hzagJ381LN7Pekp7BMncOyotLsMau6kVkI7S5he2kd5MZ056i23DKxgVGQ+zt0AZz
0ikanUeZixpYNG2FjCIcaBQwWgWNbjjwDFwb0Tx8A5S1AaF/hv+pmFANu/YpUd2NuzJoFr1sIOne
inZpSRIBlTJBtPSLel97Rf9oGOn9RCWy6fiYPcduuIjj/GKZGhSan8X7eJw/mqAkgOeRUIHqNL+2
lWGepCsKOO6tfQ4xtW4KavJdb3BYrMSUnYUqm70OGvTA5byczJZX0/ZK+xGw12s9BKjxrcTfwKEz
OG3l476p/WE4Y+zLT32mv3RNV547YIyX1oPZviwVwcuoKyGDRb2Qai8WyfUxkPpXRh0lrREaHAHy
FFBR+s1FDECjD4F73EiGQiaaGdEhj2YOhwBUzckVfgJ5GBitDozKPw6ZAQ6syazNaLtxJLrc+sC3
zy+5OxvdJp4GeQJFq76hwpi3AUgSavdUHwEa0Rdl966TBeNa23Igcz+2TvkASvG6WDEtEmWu7MVP
mQeHxOzDs5/ohz5E1rFU9hal+S5BKQ2iI42CUTz2bXsI5ukmx7KAClNN+06WYN3iBTNyLJ48Ttwr
kKLfWlX5rRTIqOxaA8UDgPMxM8ibaC0rCgdkJUytWQSz4EZI+jh5ReY9qllrQ4aHuAfAVu+qqasj
Pxw1z5bE/s798A52X/WRkYbqGHTl18XHRou6PzwDUiKUuYOASwhxfpuGQ45kAmMvb4V1n6Tt/Qhw
xAj4UUtT306ByN/KdTUrVOxLeuu9cZHSFg+Z3XrnRg5pxA3r9pLUDM7f6TOUUhT79vQ9HSrrmPg9
R7+sLTfIQ0k3MuLwTDXm7HqW9fsBFM8GDXR4KnL/Ifa6ez0O5p5lIrg0uaH9CDja8Jl1RW3t0Y/H
jXSG/Da31Ri1QzEcTG7U3mxadesmbvrgTFN4003mw9IZA3Q5gEOJDRA1VHQSqj08CnB/ufTJZe0f
eqA/XKFVT2Dme+TpDl+vEW+pyJDUpuwOLcnRhUXQcD58Kumt7e1qiT/qQt9Io+2iCcrPo2/kjy5C
4U1pjG/9Ej57CR4J/Ek8x0riEytxadh6jxzq1Hj5IbTzmKvYilvbStqDDrqvNZCUndst/ZEgiU+S
mFUe4IKDaZWW48VttXmbWs6DCuW17NMnrwCzZKOGMBsxb1hpd7SCX0Wo+8gRblSsa6k0gg9B7xz6
LJ8eJm4drYORPDWW0eC1iBPruQS1sO0cn1fNEDTv/PGG4/YOhtKZ0dywd8fWvnRYcTbtKEEx4nBL
o2IugwPdjeWUNsNxkPBusrg4oCTKoiQk2i/DZ8FmVkZLHHLw4gyMyRKmwVd4XcMq+DOC23kxxX1a
rWI3v2tvcDEY0axHSI65m34h71VE2lbXKWvZE3T5aInxWONDCceFjTUPaT93w0e4s7eMfKqv41ST
eT0/535R7kZ+Dy3bpogIj8gu44ysl+PXXiAUsaME2uHthPQQnXLcyq1aUuviZm6ynw1n3vQqcV7i
RklwwRbEKqMboKoEBSvTWDn1h8QYOec3HXLUgX1N4oc8zo2bby3LkvtaSXW10Y1Gmf1/2Duz5caR
7lq/il8AHUgkxluAg0hR1CyV6gahmjAngMSMp/eH6r9t93EcO/4I35wTvqnoqC5KJAFk7tx7rW9Z
zC8HEzm/NF5TY9q2Z8TotRuEhu9cJwbUbwY9wHszacZ5Zy+lzQl0WfPhSeWGfwq6Yj3Po3y1Z7P5
BriLgK+4Inz1QEqk3BIfBSQ3265R9rLPWvuxD75XxvggUo/Oiz31T52jHiZlGFFbkEuzpMM9M+j3
TktNm92tz1jH3v0ONsqckUhpiH4v+Hg7C735V5ZX+2aiB/OZr0LvJxguJ5jz1j6vx/ToIlULfXK7
oqqw+bDd+BEkAIKU6Rt35OEUbwxOphDCif/LBW65G5zGCp1Ulp+17y3PdCHdsBj8D1k4TYTv03tD
UpftjNg1IwYH+QviWzOcJ3MjSkBskJJx0mxvDxEXLA+x7CD88xFT5gFvL9Fdta/yH40uvi2m4T0F
gRrfZTeSWzWkV0YtDu00tmwvbwRdmAzgX7Q22g4bU5e3tA1qxJCDTY2gkjthlTd9ERcRIn6EY0NQ
P/nonpHk++nwiD/Ov1k9t3031uCGWKL5ZWTWciD9MsiiAC/OBXfoj7bwv7M6l8wA3WBHiO7wmuXi
1lUyODYBfWRnMrI9bXU2CIgxu550zCh1LFNFRp1bV4WMMYLp215y0RGp1nfLpWLWcTPVYsb50n4v
E7DZJOBm+EKaUTyzQHbzXg6SDFK3n9LyaKukO9iVXbB5dYb6aL1A3qJYdg4lteDb1ileaB2W/tYs
W+RzlUrxTZWO+41cMvxf6xbjGaf0i0VJwTDwnVuMadDp0ell3nb2htVACEqnTFr3MQcVyXOrNI5p
tO67isqDQUU2JmlUxQIN960eJu9QVGPyTBxbr8UdhVZUIRPXwXqiXfOjjl332KIG3FV9w+gDJegp
VmSYrbMThGySR67a2cltgv8ymgxlXecowYevY2/TXV+bgRS7WBIWRvNcxy37X1HjAVdIOeOmDxtf
lDeyh8ad6pzOIjHhsZbXPM3la2YTT1I2rn+bpVV9m/coDAsveF7W9FCOBGCBDbGPpvg2lCkFU47M
Na/iV5HoKixbaxcbtmRC1gAEdDSd0jw+a3dRe68F06O47yrGPiGQDRHVhmqQMYw7n3holhOEnwTO
jJgsGF2vRfp1CsD2U+AfyAI3QnwPr7To6j3qoAalfnU7uUwEcuFXO44qNOV7A9VZ4jXsiWV9qmv7
KQC4esQb9L1Uwys8C4zHLkHKFecUq3dQV04KG1fT7xp7ITCrcfSdoYk216thvWHTJAarrKrXuSfz
i2wltrqFRJ1cEIonayb7RL4yEclrQstIHmegOB8w0gZRVsfZj0KLHYHEBJJi6t/PpRsuJnRBd/bj
V0+UF0YZ9lXbTFeHVv2i+EU6m3Z7ka91lBqFxSUd72eUlFB9hupV2zlZVAw/D0zQg70NCo2i2ydM
3sjLO8zQG96tqA7wJtqr68ffzE4DqSNk4phOxfzYLh4zwM4V0VJ6VD2CZqDZ5Fc1L8OV/m9U1cT2
rZ1mRGuby5Wu/NmAGU2vv5YYJccx9AJvuvjS+1Fz3sA9+GH562fSuEdPdMOFY+7Cl1EcpnI9xX4x
7lfDOJbpL8NvgSO7nXkRXd7ctIV+IMUCg2bK8pi2foRk2Tw0Dcfb0dLyiBf/aNWOCGWe36LhZAPN
Tcao/iv6Vcg62fo5e8P3eEi+1XXB/VPLx6G/8+r4tR5XomFnlXw1DAw0A8psJMJrlEjvsgb+F79h
EBUE9bFgcwyxI2NKR3hNNpUpLrbdPOZ47iKjy82oH4j6JEM8MZkf1RPlmfGAV270w6KaV7aEPObj
shO0oWk06QHAXnfS3MFfF53+lAWNQBlPS5hKq9N0wRkno5SvPso6h++YZaKCYWwBT5trWVLg1Qwe
4Q6ox6m3esDvc7vNeYtjnhmJjhoL81BUM2T8oGmY4XkfmbI6Tfs6DX55GvE6naiqC7QTqTragbIP
zbImt4zc3YNWw8uicUNC37oP/CF/UJkhfjlZN9yuaeaesfjqG6tcivOAqfRAjLd+sRVDBV9bn5zh
87tC2RzwE/Oe7vKI4rtOLnJmOjIANbmjG4v3cwVCKmuUFDmhfocRgsChDzwGiJisYqnUcVTS3iUz
Tt1qa83TMtoCzzCjK0kwkQ1/3m1yubfSMr53ERTA9Fm+4bQOcEF4qMVLvjGKWnLCQdfpfDkB9QQd
O41XUdWUFV3qsRcHX+lHZ7vW9+Qur9IxpNWnKIP0upsKfnwXMMXj2UkIsuN2rbDGWriy4Ogwfpnz
Q4pD/ETdePIqlUdlWY2HjQm0ZzUnlLFy1L5EN5HTzuUw5T8NuWEfOQrTcZFz/jEWARF7sW0Wd2zV
7EITp4Xr0gW3IMv8sAGourNIiScAt4oMdCBhLayW0Xln0jMts5uuIJFSa5JmER2bt33R9ueulr/a
FTt8wJx2O1tYa3YVrO57QuSrh1xzGesCY09QgLIoyykyJkOEbp31u6L1jdvJzh8yi3jtoq7uEtd7
q/2gO1Jft0D+uP27eT4oYR5J0xnRPTicZcCFbg5SfpQ/WGGW9T/Xunl06/5uacjv1Uu8W7EY0mXY
Ik2liipcDIxbUj4ePgncEZGZzqzKjhnfpMAM95hYHIqW5TzxpEbD5io1h5410hEa//v4bfTyb2iu
T77dPuAYm09Zt1g7jpC3LNFv8LYUBu15z1GLO1ksXtSPHfMlkZlXYjusoz9PtFFWNl27J2q7EU9M
oE9+PuzX0S0izKMq4KCzqvfWNmibTNPkH6xSvLB2PllLsvCJxn5f/A4E9idUUxwHe8OEu4Qxho7A
TsTZdE5RP5P5qL6pvg4e88TgQvrOsWU2jehLrq++sB+ILQCl0AgL65N56DsgyjbJmrDCasTXLr4p
kC9e/lLF6U9ftNdutW4L3/2Uwjo05WcvquPQ+7/05r8w/YxZMmGRJF0HuzZXkcibfMe04FfTg9kt
jeJr2hrpvmVWF21j/MIiC7VcfXolax4kO6XoBaRipWxBDpDX+YNOWaCjbtDuHDWoUu/xjVhng5q+
oRVO+sI0cigf20Xzj9jJG2aeYWA27V51s9K7tPdwRLi3DSABBCyRm88VhVhRDge6OAlhHwMhoavw
WnbopR1Qxqz6aDNsDkJgZvqUlW384LOq9WHdCe1UlMYtw9WZirx/MZgidofK73BMaKOYdCRFSqvN
5YywsHxYAyIVOxAtJkS+Iydu6DngNjMvA+Sub10xe0WPpiTo6Fj8OU75n+7X/7+kHLdpTv9Xnfj7
ovxM6+rvjfg/X/SPRnxg/0HQK9pvJo7MwJz/IBonSPePTajoOR5cBPFbOPsX5crb/s82sAGnj8Dw
H4JxKf8A8+pw8rZsQOcO/fl/ogkP4vjvPXhE4hJiIYEtvAOBCfj/GIDpsfDV7Ir2bPfGvJMcSPp0
7A+y6v1HJ2UqeHKQXCi0Cenq7AvtDhxXe4fusudadRfO6PFWVrgqyOKjgbRJvwxLW9769DvyB2Qg
+uuoM+/DWdEHpiKhkTvl1g7ZLHASZr7VGX8yzmcmX7t+zIEANK1RfyiEe3fjgqHtWC2CxXczFa6p
RbeENnHwMWZEC9z45pau3LeLS/N4HvyHhYHGzquz9AL4p7f30h2VilAY+tnn2BvpF0xpXXVT65qg
sabD9HzpHTPtMYeXlWlHg1lkdOJpMqPXuBJnAl7w4Lfl2lxr5v4dULsOLAlOMGREN33nSj3vKQ5N
ozor5It+SQctZkvcFQND76tvrfFAAnvJ99mG2VINE20SppHTbhhHyCIijYX5fQLrMK37Is0cjPWF
6hyUHSqvOWNWAwX3ErqDkipUPoSRaO4De1MfQjUHmujkjb3SMSeDu4k0yzX5HhSFQ73mP9Z4WTqn
iPoqWZzdCKUWkIRljwkRunOsryCmjJPJiezBJAIdHYchWdxsWohdqk4kI45wRhrruTBcpEWs1ms4
CjU9CtRtBzdolk+vyYs9lIkSMvmSkm/ftYfRr4qLxjt0rDu74rDRD8dCjS0jRFW7pMaXw8bNiLyB
Y1JVqXon3TS5J0mBJkpazjsI/sXO7h0ZomKs4UgG8aOupuodJ1SPSSumdliNsbkvc/eVbTt5RP/S
PbBBe49lU4wfaeXPuyQAyaObdH7kfqgPy1hnbyVGvQf0lcs7+gb4LdNAlzD2rHjHVuldg6CI35DK
yZs5dY17A4BPH3baCCjZtLzEblwyGjKydSc8XSBu384YXly6r60r1HO30AoM2bbgtjtowucoq7Q3
R0C315PSluti6KQTMQyqP00zi/5UkpBAnq68DdbNfyYYvb6wdiNH8RtmIruh0OUvMcEFCCUWuDlM
SBfbs4eRqk55+aCz1TvpyXnJW2/X5YONBpTi8yKWhhT3HAsgYh09jPcDkSi3Yp7rG9sOhrDPaWeF
Q9npx7R01Ztm5zqO1GPfJit9Fy2MgL70/TNXutoDgbEj2BEE7qFbeozdLj1T8+qXRMj1yyDXiqPV
NFvf81qbt8aqvDxsW0kOSDkHB3JJf45BG98Ix2z36VysXEEvx2DvD19MNy/fl2LN3uXUZw5gHL94
bw0VUJDyhLlGD8Qef+qe41V/gLFxiw/RpSWUlYh55XKvQHmep5nKNVRLkYN0UoFxLwjGpg1BDn3o
uGb2oOJ8Ps9GM2MFTwr0b4IiO3V81ERZb3Q7Wo8LRJ+hiaZ4IjMbbmboeQCgEzAwjdNN59okohOs
qvVm45G87w39mq36OW8M78fs1BxJTUgqUHom5qaR1az5i4eq6bYiUfhi9jbDibyLd16WnAK78+4g
V7Q8GkP3vJZ+uUPpWn93Byz5zbTWDzIO1m/IbRGDgI1jPFBNzW2SJ/ZrAq8ucltOR+FUtZRla5Dc
kcsxfPQUT6ouEwQTFSdTcGdrBEXvPGRN8tkRQPazpGcadWN7sQZmUY47zbt0HOQXKwXLIgGtU2JM
03LB3LyhJNyJM35v0bIt7NSEaDMbB10DD6XY8evHIu+2Dmcvgn05zOI6dtlmiI8zCA5pNeXzjZX2
81M92eiAi2SSz2Mf+9+KqTJAIWQDvlS/RBUJ82F5QjTrX3AIOJ9UVPVtgOibngBQLf6pia82YShM
oemnDJcm2/zT67oIo7t6gDWWMEH6uiN8kkNAl6WnuvJHxGELrn9DWPW1y3ADB5MDzsacAe776klM
7nJKEC3AiugSwHBxd3KKJsAOas8Xo7do1vmN/92utfOrNuwfWdNaF+GNXR8tLfH2ZQBwRKPjZC5V
3E1z6t8FsiguBPS4eZiv31PTQkFrQhSy5/m1NvUzBZwZ+QLorYqx42eDmx4ykk6OZrYGj63Q9d5w
rZSk+m7qsAvSmizGhMo+i6E6aPGetY59RJhpHnjev+ckgj21FtLLlK7OCwA+VpBUNyj2imqvdeyU
dw6a5giaznhXKySOIK+Z8rgVIypbiPqRO7faobeaHrKl1j/auaOmtxpRUvbY/ltC6MOZd7jsrKkh
qsJpnCYsC6d6qGKDNqGFYEio3orMzpzBy5jZxdBM+xB91sd+mIcdp5L+A2Fsuit9hIOjV3ztGcsj
hy8iXM3rhZFUgoYakOOD7SNfVIBQdnOVWqCD5+6XkGOxH8QyPOdEW+2Rc+t9nQBat32mH1Ib8XM2
iu7qml5/nAIJIqsj3mJMcknwN8pEJqpWxRBHp8ZpGm6ZNKaRo5g7mqDl2hnERjL5xQ9G1GLP2IHr
6vtfU7/8qYusO0mD7d70iFJrHf4rdrwAso3j3oxZDxIsL+3dmHEusfpMXNbGyL8TNoyfvEQ92TvK
CO2OgKG8L+XZ6vLs0PTE/Q4UJPuhLYMbadfdwZupvMi0cI4o3sbbrKo5/pUzcDNG8MbOBBTMUbQe
9xJE3ffemTKmm+VLBmMsGgirv5lGydjGuVvtqblRUOZCswmsQy2c763ZPA7o3EPEzXmEmvfIEm0g
qTBA0NGTSlH/E+O4UmGUprsvzPrqNfrR2xrrXXtcp4qo9QpQhpmqJzxexTmv1+QAzJuhTwBmBPOA
FdppesZSnhxiu7yTlWE8BUi1jqU7BDc2yibUnJghCvUANTc99BVjD0wIKnLL5ZGwW7EDx4TovqcD
1a+NQiJZ+5x5BnFUgO9YhD15b9CFCFnbvReQflCkaK+iohQ/2xhuswMcJswqdBdW1jhsZAX9MyUH
ArlE8D2rlnbvGdx+dCBv3HlUj65BsyroOfWNziAi2qbDaa50cJOrxAiTbPXPVb88EmD2Ffzg6+8D
wv/0Ken/Pxcu1llgtP93VdP15zf92RV/P0v9+aK/zlLOH8g2sdfa+P5Mx95+3j+AwYR7/YF3k0OT
zxlrUyf9BQy2t0MWek+yXWjDAodFf/eX/9b8Z45PzMv/fnzaAPMmgXo4As3ffPtNX/gfnF6lHAw2
+HS8yGoNxvRuLbRl0T+R0HMXdRk9HrKmQu1BLyMd6PbicSimF8fX7qlb+/i5rPx4DRVv/06L3L23
dOde5jxgf+9LA6RgV9Kns1joDlBPhi92V1VX7XttvhutYDgEvZ9drdln+I6sgwHGCLK1IUkhYmIs
rz0cMQpcsz2YlOUPRWGqhx7q+1OAbYM+Iyi5NxQy09k20LmEM4SWLyZUQsSoqWGFrV8HTyVRck/a
6t9ckA4nSE4zTW0veXDBAG3MFP00JzI+yIC3v8YAo4xJ9me20pVWrCyQVIl5b6c2wpCsaMuXgYHz
p+dVxIZ3dcz6vLpgZ9qme3A9N31voWQukVkTWieT0ToEqSeePadNn5zZzfejyfklNEw1X3QyWRe/
7V6rkgDyEAUaY217lGxHsllfVD8UMAvmb8UMTDhkI2F6bozZpWUtLJgDOd3XTK3Uey3X8LUs8urq
T2N6MPp0PesKiV6Ywq/flaPvRbmCSRLmmIIfrKDLb4wyuadpmh9QiGHgTx1aUBgCb8ypni5zqoYL
PBsknaJyARxV0/K89O1wKOaA8xjz+Xufac/NYrXqzmvN6WJ3armBkiU/c1vWZ+aW/TPK1XKmb2sU
e2U1DMd1inwK8OFwt4rWPLTCo+aLS/WIT0c+94vdfyDqK38tVme+WOOQ7dxiVvdV5xhXCWGSyqH/
wnfVLFE7q+ABy071RepsPAifdZed3NxPqliPk+kYaLH0/KOduu5esDRf8rmfI6wA+IJybpwkDIwg
+L4BwXTUaoFuwlilKiOCUwpI+Cp9VN1WErtB2+8Xwk3xidd0jOkkMOWyP0dr9G/VxmRBj9hcbU2l
MiiTliHADtJ/EtDQAmfqfiRi7tKQiUWgV+PfmCjUf7JO5w9sc4p7KlnvC47BDaaJ2PjOyAMoZ5x0
AoTSBGA69D1nuFWZ66HKZKfKOFOFMPHyXW6UzhemDea7Bjh9cYPC3Kd2N9xlXsNZq27a8RE6z/oB
QYtQDKNs5tvGyZIXeCrOvd/aofab5MhJXj1kZtc/WWNq7QtH9tgJxpW2oBDKCx3EJ6CAegRbbtdz
PO8Yu0/Y8t34xBwnPpGCpU/sYSAFEfUw94hnkFShq+PqjWWkeVhUCXwrac39OFTOPjMaSuCUo/hG
NiNYEQzoXqMLvK+SKrnXqW0BanTl1zIrA2wHDO7euzjFaDH7w/LsuoVMIiwLZMrmIr1xCKI/Dyut
EoJD8IBEIxzi8QBU2LzHcypIg3Kw7F0NJj5vnlAtXki3jiG3tS2kapU1626t6h8lplw/HNxqvpOr
R4mcFU4GBJHw77dk7PAH5OT5xTRlSViXmcgxy+SYyQ4zhTHqE7+ZH63SFO+6i9UQ0cvQTXso3dox
5zvBUHnOuHBJNczWQeMuqgKYkIvrJ+jqUPU/w/i2Fvc18aqmf+olIEOEWvg81XltLNR9Ue+jjWp2
9mgV07PO54TyPiniVKHDLM3Jea3GfCKywW8YXh7IMe7zH9CgG1FgFRVas3Gxuf1vHfDfqZu3buh/
XQdM/3L+qbufy9/kzX++7B+VgCf/oL50MVjbW0/1937/V3SA84fD36Ar3hIAaIP8eyUg/pAuuXKb
4h8hPgj8f6sEpA/aYzPb839Me0vS/GcqA3TWf68MtuwCfA+o7uF9ePZ/ChC2Wq2QADv6Bq5sJiOl
JYtgUuviFo8sXmNTt+Nz4nQxrYUsHU5jpvpHmlJjdSwYCxQMukaULWiks8iLB1wygwYA28ycVZEH
ZhTOncmcSklsgi2+3dmY8IOKVO6Q5cQvs6WcL64aP0uxwHssqxeyAJ3nvqjXx04HL3VDWFupmsIO
a6BaUOsEG7RGQ303TDZ0H58EpqeOAXfYN735JSgoT3AGZtaTUlNx7jTzIM7ZGZNJXji5nrFHUDVf
MQsxDTKEeIoxECOANYJfnaXRFdDnwsAxVqs+JWOOUpFAvOZTjiiL1qkLsB6Dn/39RRUrXqMtMIfr
n0UGJn6TYdbIIlno1T8yZSJcNq+G08rQMEJDzQs7Z+os1EnbCM6tgip4H/O1TSJV+uYXOp3rnduM
QUSbEUG3iaob+5M+wT/gtwufdCV0Vcuhy/qARMNaDizYgUZ3kWWwt6ZOkuCT+0O1w2tsfAwDOQR+
n1cbhV6KCwGogXmcHFG+LUXJZHdMBvFFg8VgTj6b/LSySud7vymNX2s6BdEs2/gMXzT9YdCUvDas
bsff74+Tvz5xZ2t0e/x5spg5cnzbqHqe66npYOpBHclQGJHmwHvDAWrsO7Dfe7XCew69PrMuiS/o
LYRDD+Pw4lpxmt7EpSDJgv1Hy0PqeMxp5SoZheUxAhJl1MV5tevTqO0edmQ+Doc+S5BGo4F2D6JZ
fJQ1BQTIgdPbFxojHARxwtHw3fokXedkuLxQq9eQF9+0IcvntNHLl7ZJu4uPpuklX0f/wLxfuzuW
ZEm3fEhuYben7+QISpopJBYZDRfbd3PGtUWP8XtEvBblK5WIs1ok7zjweMLCaZGOoY92N5nm+rGq
aTn6dhccy9KSvyYXvWgU66qqQ7qTc7pLLJqBhyA3+/RalDU/KxjK5uDW6ImsyJYjVzgcde1hPUyK
7ikGIgsFdioiiXkdRJgZ31VulSF5p1MA6CAQuPNTSbaDT+yzPxs1zs5N0DQTNuQfC2F2z31tf4EN
ivLDMd+VPy+YHseWUjNHErXux6K8qxJYpFEnXPcA2xIpsmc12wBCnRNCHpgrkxOKpKCsHzp3xT5r
SPcwLUv1ADRNnAcgqSHj8WRfMTPcBGf9HrDCek7ttijDwppkNJWOfJ2FizO0WhBx0VPjQaXlQVei
4MGwVMZNNTF+Uf04wyfvNzQVVtpomDoDmZXs7gbK+nuOF8UtJYvz0DsJUkImRL8ZViaI7arE9Osb
gX0hRjIbdtNsel/G1cjuYiGAv+s8J22mPumFS782oPUVUUXER4oaod6SSxcCMa/5XNuAh97IcYzd
AEBrn+kvwPSdRpHuh3REBE8HYX2dncWkbGlTMksBi65mU78ZrrMcrdbDKA3Av0Y6D/vG2Cv8cwDk
yh5dQapwoA4K5czEQiFo8U7mbnSBHk+kBj2m89q9B3x+ebLjdc5PQIG9bueuCQ3UGLG5sZA2ERa0
ipDNK5KVQ7MdhggDRC2YBzU60qWVvrheYnLsKRk9W7rKb8c+L6AA0vYIzdxCFSndBu51MM4Q4xOF
NbbC20ZfXGeLdarj1rvWcDdeCmItqnCwoDXSWc8RGamyh8/nr/pB+wUCXAVXB1be+mi51IRkzA7x
x++VpS36+FcwV8W5ZGa1s8QqkEFuT1EDCeR5Xlmj9EQsmGuYLKsQSkZWjYUdRteuOs4QBTf3uWXz
OEzWk3C2XwQYct7hZOGdlCNgv8mcxiZMJyNQV7bt5Yo2ql52dU20WDeo9Q4qofNnbt//lkv/bbnk
Csa2/0XbpNZ9+i/Rp67LTP29eUK1w0v/KpmcP2xMiARmuw4JSgyW/6154tt/gPHCJGbisWIMLZkD
/zWIdv9g8xHSd8i1s3jZv3dPGEbzTwnFxirmmAJT7T9TM3n/iZsDAM2S9FKYeIMvw0H+926KV8xt
xYA2B11K4C9+WyDLu7VLNhrnqDkJ9iN5OBiSvBTZJ7IU6JEWGEt4itx0kTUhtTiw6FfFvnbqpOWQ
Xgtk0M2oKjM0U9lhyAPGS8fGJspgQ0I4JWQbG6kWKE9o58g7JaXYNneYsG+zkJaULPR2iGkBx/2h
NghpY66x3uOBwOs8KWYMIrXsT8QW4krdQV+zVgmzvgHWVnO0APNquK/G9hIZY/IuOD0/WG0fvFE5
8Isn1qqMAbs/PxGeF7xVmZj/xE0zyWFMIJvZ0yByVFGfa6YjPkoer/vR+abAckA6CE1/BUdEoZGK
UGvOD0zp5IAbA7ZF2OCHAQxkJfrGRADwQu3rfHoWdI26NoYbOabyFejH/KAkEIpOmky5EZiIa2K1
fP7GS+K33CWxLmrxdsN2DJj7IFFeux9Af/kGlF1bLxkxoR8ybpn9zFLzz+xZ1LdV7TifS7J5wpk/
6htHkEwTTgiKH0yZAJ2NUVZEA+NfGDHBzKe2C36nX0jiY3KTz44/HsP4MJny6troWlXqpVdJosXF
H2OBwC1DHx1n40nWAYwExP5x6Bnb94mEDf5TNVeGu+O+5m/+vKClmSA9SMBjvFnDdoVRGcwPXNKu
+wIrYJkvU7MBXOYCAdzO7FC0PRoVbWVIEIx+uZdS/vS7slwjh8E3+df5ljOVwlaGsLzY4GQ9w0s2
WkblIL4HfUV/we1seSirlWJhnNZfaTzwTZijCt7AfD/1a+ccFujadsQADcccK+2jN9rUOwiADewz
lfWiyE//QBi63bUVN3qBrjk+MOjlJ62xxZ+wLnlv6XYT0Q+Cn+IiIqciHLkbaCxyZQPZEzlDsSWR
konBvis9r2eKl3TcfAZ0s108Wr9ZR8QueBhGkr3ZN+KaTi0PoRfMXOC6wdVJBycBOMXEVS1nhbou
i4qAPWtPtCr3m+CxvNRNQGnyG1tlQHmWWDgk7ztbB5hAVQFiR7IHxjg4Ku6YWAAznmebX6lWg2s3
bvfJEsxE+WyXyJe9PFXOAJRcdPywHvnIEdN1sPdsGMHLOAb7xgbRhEAwfvt9C2eGx/dbAFVChCCu
9Feaj9gdQfvIga9kwn3/MBMQ/1AB7gHWT48PYIQdvEkr4IvrSS+QUVP63DCDZwJaUS5//fuRoITM
jois+fJwTnCxTRYOjOTtB44VfdM6DakS7gDKyJ7qGEQcELCw6YCYhHkLo67U6AaQIS7QiSw/Qwvs
TGM4ZRUfx4T0lHUzF3RrTPI8mCY3mAG6Aq8TLhEk6bZ4GZk5HRcYLsxfLFOe4CmBngZFfVnbjc5N
rCo/ocZ5hT3A8DVaYq9L5UPejom3M4h+Zz0lR3Znlo134zKBPuD+Cy4Oc96dBM+rkd8WfF4502g9
rPDA0j3WJJ4wShve0CpZsSoL0PXT0s3NXZIPwT5b4GrJhWf5NybFVwUsKEDm/Bx0a/apKCgncqje
L6ZJUlMPWolvECfhU8ONjrczLdqPgnyZG1QQyTHuU+vFk9zzMASmmFSiXK/PHWZ7G4S6JU9y5QPP
xUaZMgKLCwXPWbzEJrrEc1J72FGlqsr0TLsPZSqZZMfBtgqgNhNXqcxi+7PLLJZmYqW5pyi8ucEX
d+Wy6g7ugEk+MYpiJcRLOyzQg5xlWnbwV1Dj0M3kfhFdH+x/s/InTuRuWLmtuGZ1IF6qSvB+8goM
zn4MtjsHaXu9nO0cyVJkJXH3IymAZGSpw92Ne/8FPEbwhthf5Lc4H/XNILbO/e973rZsXmT229jc
arf7fyAP/DpkY/CG6gtaHLFQ/IpxEm3/CESumA8mEKQy1F3v7zivbPdjsDCLR7USvBmoNhDY/l7S
8k5k1a7xYHBjevL1cMr9rgXW8Hva2nCWf7Bdni7iXoKcswFfryS37/cTV42+/TapfibuihFpevi9
stZ1CsNhIunqTWTom9+mJFmKd8QRrBOlva1SYgTSbiMl+ww2FQD88epRpIMFn179UOkcnHTTbJtB
a26bc7wR2AnwEddpdVjI6DXyBDMDboCxpKkS6b21pMsNy48kZQHKGiXEppahPHfrNbitVNfD9fDI
l+MryYLycc1pI5sZp/UIf0TyxlYKCKPnrHTGlM5TU2yyhppnEk0nSwyEscmizS9b7f6oVfVWJ0Kf
g3gewKsu/jRThyB/s2z/VAfbRoR7kDHtkjSYzBCn0Qo2Y57dUR50y3EG+2Z/dUxZ35LjmWCoTtLX
zGudMlxU/LUFDm1YdXvpgJlEmpgG08t5BsKhEpUx3fT9curSocGDGOjqX9k7j223rTQLv0q/ALwQ
DtKUmZe8OWuCJSsgp3OQn76/Q5e7pesqa3leA1fJsq5IgCDwh72/Hd2ZiWAhGnavFVuGpkGHZTA8
uYNuv8pKjJM2m6zX2Ssag+dEXTJ6Zv9fclfVyC2yhdnRmr0NrLBhxOHZaPp8RbeHp1Zka6D45cGy
WkD1qWjYpovc2eWVPaBYJQ7F7JEXu3jm8UT548y+qmrQSM8edopDyGUp1zFSWRhCfhICUxHLbTB1
/pXKQh5zsKQOKeIcGqvRehbWUF8bplfdpkseXKHN4uq1yHjwkqDexkHW0Eo17IKz3GedPw1MwkkF
gUpjuNNn8BYZ0Q3ls8iw1ZyLVon7NscAa3Rg+QDmy3AXDM7wXc0y/D0J6GPVSBDawkW2bfEDIuuf
JV6/jE3O0A6beeqwjjGZxjUu2Br1UMeuA5lk8zXny/uadUG1W4BO8hxPTYLMxudQ+/zz1Jd7Pxo/
QZJbu2nm/x630/yQuHO1sXAD7ZwclRROG3mvTE4rpnBv607l9CXr7ScDc/7KYvNyHaTJcl8uM4ES
fl8SboOkPiIc8sysRGyRvT21YY9tQHpURltVtvV1h+xvk+O6WYMVaLYxdcNVX0oLBYI0Dm5Yq2Me
9uJcO6hROGkV44iWxtBjGjS1bbA1cKkhmPcMjNJlfscqE01lcGWgKbrlITBT8qE3jwPDOxZosO5j
TDAO+sSDbSi5Z8ZOzTrjl56Q5hzQ1JBukM7Gu2KrsckaGV4vmXvfp5iiO1g/D3Du0P6QMf9sg4E/
E6ZcYCmDHJVgDZHe791ALuomsu3lqpuqFtdHV7+RDcbKj40/Op+MFLonW0YBIZOOcWNiA4d6afmb
PBCwMjEzZchcoFz5/mcjL98mQ49ILIyDdOZS7Qw8/2AmfLSXaC36vYl8YO0C+IPtlCJecAseRKT9
HtEnfW0S8r3tzhrXVmPqNA3M/DNStM+RRAK+IcZheqMi3lJdSyrB1Kw2MwCrLbIi7wnslnXDnV+W
27S2mGiktn8w1eTs8fHOG2XP+J9HrJtnlsU+0acO8LueGwnLQuQgrvmAebKwtjFCp5laHGNJ9pBG
FssiKytFcfAXNcRfufnHuySz280CbA/j2YA2NCZ4TK5qVrV7IMQGNyaZeocA8NSLkSu0X7MX2R5j
JyvZYCqgA0lQTQC9vU4V34vU6cYXzG/FcfEwhGFRJD6CCGtmMyb/mvnpjjQ283mMp4BLHKSgMK5S
Vxd+3EjLNPwCWyQ+x215w/hIvWrf+amUwbWH3nXNwyt6LHub2eKoPLnCVRmxQ27bGUeq1/TmscyZ
+V0ZrbXY+NXx+LJwdvp2ZKdkUDlhtXKi2wgIMdXsUNOGuGkdvEdEI8kDGZhjM3P7ns0QNp8lF2fv
ZyhZUOoVYB4A/BnmyGDdNXvnPUhKnroa7uBhBdXJUczI3PLUmpLfz2tKro3pIpDm6rFDuXV7atBE
JlRb1ag07nIQPJvSlnyqK9NapocZX9ITtWgBWHOkLA8N6rMfOv5/A+R2dG/8A0wFUSj9vIDX7wVM
9C4ahx+VCP5gNlDh2uTQeDEPzJjZUNGvQhLm/ImbtKOqxwbTjTjONU/RzeTUKr8ahD089GIIUTYP
Y/himkzpVuLymLY6qmojpaaLxUI1kcYs8IoIbC9bT1rPKoQatzGQu/Kk9OWEB4c5xdc/auS0HKeH
ftFNSTU30wMKQxSXDOSnO/1Y+ZxW5F9Wi2KUtcJFS0H296fD/sv65ULcF55FGyO8v4SEE3LWpvPg
G3snITUCM9pSJVdBryuvauLdcx2GZ6ABg/FY2Qu9HJIz3tac9svjFHqcrdixKJbc5YIpFvySk8X/
TjivYhgeVLiO3XB8I3ar6dyPoFcPdUxDTpAyRvptjCX0sMwlr+7aaAtYxc8D/k7qk69/f7B/wZpp
9b7PP+z2TdSwvlap/KBCGcI4NRwjKPDAD6xVwnnqFQyRvKHUgZHMITcl3JFJtZ9x+84PbceEoU3o
wNN6kg9l1f7i9P81QoKr0XSEow0MsH0u7/iHd2S4rbH0PO3ZmbAyWnkGBNuOQdKLYjDDSYDVypmz
yc4RcNKPjaaEE8Mqi71FpjjEGtXozol25O9PlbYz/PwtYQelY6dtABFMmz7YHfokKtKmS7NDVIdc
vWXNSup1EUuv3gQq7RY7dEjRXlduwRYCjMOvwrf/zWcFlcni6ypgPvIuPiiGxsSz6sXu4oM7kS+6
iiqyhTY9WnX7BjlrEtOTRc0+ddIkhnkTLRVjWxXdxFVnPQVmb92IOqf5+senhX2p45p0tx6B7B8u
IJRyEdN4ER8qQ2M+0b2zU4cbGNK4wEdlpUSD0JcLPYQxxM3737+61l99/FR4eU//Q6dqiQ8gqIqs
rb4ikvLgzgUTg8xq54bCrA3KjA8kmV04EM4YOE+5HxlHS3eplSgE43XRNvat8GZm0isokXFy6PSg
qWljGPcqcmn1K6Qef5yu/06ifzWJZjDLc+c/T6LvvlWVmovhc5X+PIf+4wf/nEOL38gLCywf94xe
jweMqP+1ug/M31wNqmMVb3vMk/WN5V9zaFI0+C2PYcefPqr/392Hv3H7Y7JtMadmpkT+wD8wRdne
X5h5vhYVkO9hC98iC+fDd7QoHbWUjTkfXL/KZ5ip8IJABozOjQ23nNQGOyNLvCxTWe7GzmvDFaW1
PCJJtszd0kpYTklhYnZvVQfgM0HLaKxYufUYrL80yOBvR715wtlkbkRKl7kCkcVqqjSUop6ZwZ9C
UMLL4CjLIOEddjyDkUinQWXJsteS9hfmN/Jq1nswHoEm8tZleY5szYoSTJy38rI8Y7zaPjLvZKVm
XtZr1mXTdlm65ZcFXH1ZxiGkyjfoagidSapDCmvjGwv8+Muo93gTP/PmznXWY9tiz5dcVn6oBVj/
8UhCtNTrrWCt94Pc0orToHeGaQ2Wd9B7REtvFCMTbfCq1nvGQG8cMz/OhrWr95CT3kgaejcJUABW
cthErKX07jKQnGbLgNqiV2HmVQU6cVvpfaetN5/Eiobs59mGjktY3nV6QwpMvbwn8a2+y/T+FKYL
q1RUaNUVK5FmnelNaz4m/o4wC7Nby6C8rnwAu9vZ91jPyhznxrqiVUZF0p171rjKjbtHS2FR3gcy
Ys1rM5xsaD3Y/sKycF6mIrd3We8Ee0Y9GWviJYquuUunm9kxcXDVrMNcd1APiKaCDDo9ud2OMZrf
leFVW1FaD/5wV4ZFtVEkFO1FbN6Jvk9rfO+2ox8K/bu28zwzdJpuB5W5hK55W0Pjol20gUx9u3Lv
VFNxxSMtOodNVt2j8xPXubBfU7xDG2pWwl+J5QBvFEePgFtbgEBueRhR25m11QHYyrIHYpXN295Q
/iZiDHuMPVgAGVHXcEWwGPSkFkRLXaZwW+rokIWRu0PrlX+nxvxiRaGxqwUTamQThfXARR6vsE63
qFwt2GoF3DgrcMdNzhNx41Xufc3Vtrb88FSbRIqVQettjES9wV0l6GuCx5DY5FgDNuNdqoSchj6m
Je6t9KpgAv/GQyw+NkXSPrhF01zPVMZAiRQNppHMW2lNA3Mmya5gaLluuGxHEP2zvW8IRlj1UC03
mSnw1zXwZ7bsKinSx07Hq6WijveeKOfYeg6iYkp3KrRGB6yGtQgPdPeYxEnwMHpQK5r1bMAMeLTt
3B0fXTDVrli5zBusF0twLWxNN0tPnjT9e6ZRUfI6iaUEwmAR97Aj5JTKCFLOzOsDvwZQZL+GmMHM
VQFGA9Jb5LA5ElZtuG9T6FTZcaz1bL7A2sfRMMwU1V7SZg6PQ5qKEW1P2uPPIGsqc8BTkeb7nued
BHu3DHnl6zRCsPJzgxF8Myh74s7Wp3H8XsJq1sQOgns3uVGXXJ5k15nbif05owkrnTj8gFhPpLBZ
FQTk7DodofRzF4h3cNBj98X/I7iecxT2oL36rr5KYQky8qmivHP4Py/Kj5mJw7taJXjbo6cq7z10
vq1DELbdSTx4TG6n7eXx898n9S+e1LqUo4j7z0/ql2+SG0/3o77uXz/z50Pa+o3SnacpIKs/HsX/
95BGeieo601utLSaP+ND3d/4DRuhPNU1u2Gtwv9Tam//BugTPZzAvWzxTfD/yUNaP4J/KORtklEs
4lV4h7yIgB39c8vDN6ZfaPDdA2gRBofEM6+yGDb1D+fk7o+/78dArY/tQuCBzGUtHgYOtFSwpz+/
StRDOHMAxR/6rCK5cABMvQqmqAZsOLA18mhdigVoywbdw6+q4o94VLb0GNY8E3Ayp83nZP/84oRC
scbNg/AQQzclkl1CDh0mi9d1TdLsKAI+x2HZhCtVpc5GLXP6bTKYqG096TmbQlp4RHu2Ht0QFAyt
jfaqz+vkVgUZi6SsINCvmyVppHGM5E/50UPpFePm70/gvz0IoMd0qAgiuZA+nEFTQjxGexceGFXZ
20nUy6402AOlzImfW+5R68jKWUkaJVovy2TZN4akvLC9Z+TZpeF051U2u2qF+N4caE5giBBiHeTF
cQpJMA1YeDyVad+xPl06aDU6L/Tvj4FL9sdL7fI5BD7pbEEQYMe/EJZ/6GVZ3KK280FrpU5D4CvF
xWoa5Lz361/hwD/2QfoTD1BZkN7mBpqZ/fMn7mJkKxuLV7rkXLNb5MPzgvYK9Gx7T9hx+Ys2/cOX
6HJkOnpO6KUmnIMPbZ9tqarCjcnrxam8546iVksP1fkfnz+BrASmcADj3PnY3YWS20UxGsFBEi2w
h7X5vXHC9JCr4OnvX+jSvf9wU9DH49qIzBFCcl/4y00hY/BFnIsXHGxETsfFJ+g4Cblm5pkPbi4d
dP9WQp3JNjh/AHAdnJvCw2qeEf6boFo6la7b3stZ7+q8gVDlBoDKsBoQEh7igpTZuiADNuXafGaH
Ws1rJugwCuNsZLJ6CXOeGgFmJsCgpmxPvY7ekh7+/iD/QKb/dJS0QKC8qVd9eubQ1aOvH67HCIhM
nyxyOhCHQM/ApO+ISEMd4U3mu5pR7spz6u9o0IyNm2OI5eLNDkWZ9WS/Nx3x0FLeNOBrWHBXzqb1
KopdO09v3HAWn3xiCF7d1qOEGu1HKyzBckom0muJ+f3JNvNwlwBehtWQTM9JXNmbKk7nPTgFKxvi
T9zO8oPXue5t3NsuLsm6PvF0SQ5lEyHOi730gEEbqhyQsi2qGWuvnDp4wqqaHTODIVmFjwRQQBx9
SXjwrElNiI+iWYbbhql4uxoWX5wpFgs8fthBm8EWa6Dq/ZpVO9SxzoIXkEN3eOlUtS7aigTccjZu
3bCZv87AEFZBkXQ6kMbZu5HIFIQBnKbgd6g+/UWAvHDMp6ZX5SvU1/w7RipSDXMzZC4fygStwliz
aoKKPr357LY3fmkjawlD4nRnHCRoGL1br8iJUA9SBJpOmY63fVe1v1fggT+bLdjUiR1qEuXfjNwI
rkE8Gtgd03hr+PKqLBFDFtA4cPiHx2kwqhtsFuzbJ2osAsZhqxl+tUcWedbnc1MXWbN2woDmsh7B
2pbOu4vmA/FNYh5jxENnETXzs1HkiHqxuSw3Vm8gKICBTAQ4zxc01KMDUCwMjv0inM8Sb/9dxnmq
jp3Z07/6iqGL2IHj4IoYiELuW8f5XJOvtMsTG51AM2G2qe1KPlez6qFw4ftk5aW5SXV8GOd+lyTO
vR2VPcupZjh2bMDBsiHw0mamr47kM5ee1dzPsrhOSZeCzzTkyKcLskqiXGIl7whBM80rYEwoZmIB
ZC6c4scqi6+h/31Kptk8JF1nPkTWQkqe9F7nLv9sl1W1GaXK1kbmIYdhr71zpLTO/tSPqI/JPAeI
hrkKIdKqz9h2kxCNdojRPLeonu2ORlyJrJ5OBiyTfQ4ggWo/iN4Bms28mSmiQ8nFOsm1iprNwMDF
NYz+hsdQzrCc4Bt6hZTZXuzZe6lg4roLNDwiD8y1nNz5czYqkzWY8gNm5G4AQcDOmtuFfojblLLa
0zxb4pjQ2B0sJzUPfs3XxTNmmrlV2NpL3m9RMCfEkMFZW7oEEq2ZVV/kIOK3DDXNV89X85szyPGq
DILhmA9ApZneiTMWYGjIMCzXbmQOx97i+2XMOSqtYp5jB6mqryzUVKG/tBuLCLRtacYlrJdlehaD
We0c006OhHcRkF3UYp3N5EiwjUn3ltdW5xQHAJZGOh2cTxBdoJI2GzLM2quwoRH16n7eGx45wa0i
iT3Khvn70MmxvjHnmGiahqJgGUhEljqKvcG9vUljnhzWQpKvbfbN1hxGe8sRyytfZyiP7KJQ+BKf
gVhbvS7hKG5tvqg3c4pId0PEEVp4Ewf1NyjEUKELcwEHnskvic+eDBSY/5LQrUCK9lnTmNQXRGUn
t2jnqU50FH1dsxr04jDj3aHHaungkBpPppc/FLFo3zLIwJvcXMZNalAXGi786iK3nCP9PAHzrEFf
6o6I9DaF1L4YiXkoMjbameQgSVrDmQCw7GpBvn2YZ6e5cZIFcLci1B7FFJQYdLvYqGpIs6EcOHIg
NbehiczB7R3W1h2WTxyzMYFMTQQpUSz8jB0W6hUZoruG5Mw7QQ1o4lTrOCTDI+esgydCwEOeuVsn
TNxbixsDfHeV7pvOXg7w9Yp16IPqpFZx103khSvqSEnGH9er5STzd2rg4SVlB7Z1aru9ypgLYs9y
hb23zLLdA2shOIX+9GHmBRgcFzx5F+KxeNtz4n5ip4Y5P/KS7sH02VREzMcepMnSUmJtezMJ0VN4
Tvb+0NZ7BVh7XFEvOid3Mvddy03BYviCCLwF55e0EwtCGsmhyJJd7UQJkpz+yYo046Xr0pWbjy6E
ePNORlU4AJMk/k02RF7tOf1+/kXCHkjOkv05joPZ7VZsmsFKdMSlb6TDbvkcEurYcGedFSstFgzJ
zTRewpMuj/f/Nqy/bFgRN/1QCf0loRnQPtmNP4+VHffyQ392rO5vNlkHxLhQP+upMrPjP8fKULPI
bEWwiAmFyvpHeTMxGZBnqRpNMmWpHnGU/8naQvnMBgs5Mdf0H8rnfzBW9vXr/9xI8PIOLatHW+xi
hdTl+A+FWzCgsCBOzKJnxdCJE6oOeLKh7lmquT2no7OdEP7MVYAEqNdqIO51RJRphRDboP7GqTEQ
cAdwdq5P5MpW4j+7S7S+CNt28VRX6IZWtOXHNuqeSKhEkDT37WfM0LlMYU3K+BkFSPVidxium3Lk
OTPYhvzqQtA91QmFP+Jh93NlArxaT7ZyPzsNVd9Kdw8vnVcb32DHTc888Mrpm44X8rOrVInxJqn9
rYQlH8RTdjKzvMHLNETV0+iImJ4sNqC59p1tWdylawOCnctAe0mqYdsEPNR9CteVKtNWbHzbmW4s
ORUbmSfBpyIvAvuk6GA5LbVtH6xpjEGEWWRo5h6OY3YF9TbCveXuMESLVaTy30W5VCceGIzsgkVs
XETFbzJThPtZkaDM45ZYRM74ArV2fkCibFFhKp5dBLY2d4B3TH8/aYG4SQH2zm2bRziTzOfEVAmg
CpAfkI+H1n9pVDqQPepNrMkWuTCZm7IIhUAUaiE21WRn3wJzZalouOhAZRuIz30jtNa5GJt3EYsA
yzGyP1zy+ixzs4tXiDitpzBnvIMgndY2RuzCYBzmJIpOp6AbkVrKqhwHlo/fKYSzDm6NchvQPaLK
TUIW0IZsUSaOZC2dLGwpOIH0LwvGjgziG8YDq7an80O5WmrJnzPn6Ikqem+8cQjU3a5E8y0CtHpu
7wXnbtDZpkVC2iyMUsTFQZ0jcKg6NNQUlEx6ZaAlF6GWpdqWy2GATEz3wCzJSp26EJmmFvo1E3qs
vegCma4wvy+nsAJitZpLpOJ2jD1tnYmFA/L1ScFAyYKvyxfEm0Yw8wZGCETxlr0BZ7ccIiTi9CoR
WQnwF3mkYF3cBGznxSbw8XbdRIMWjKouMuNj1wys4eM6674i+wDZA3Fq0Tdz/tqEarbYE3+GNAAo
yUA0Ac4Y/oMIKv56WPP8OmC2sKzQM3AG5TjxO0vL8OciaZ2otlHDKiZA7CdIuTCQ32HXtM074Nbe
+fKKZFugoRgMVMJ0U1ybLSbkdJ2RyfQyyhwxiSNcdLlitIdlT6EqPpvU4UjW4gm2oymJosXKQyKK
O5GvmGauuL8IbnOnBdLHvpiIPR3L56xbW8vyY6fgsGYqvzNLb++V7I3ZeLm8y6Cgyz8UMxTvtWO5
vFm38bjKDBZvN6EkxgDGj0LhqryRzxked7s8Er/OEKou9EeKCkGfE51+ctPNoeY16eBaPJ7qJpy1
0uMPdThgS1LUai3mppFM9/5YcIciNEEeRGla805rZL4vi1aMZ56hryng6vUqdo2g3Nf9MNYn3yK9
Z500+YT0Iu/GTRdSnqjFGx9MbVsY8A++O1xpDpuM3iIwJalKixQQohC6gI6kcYMZBYYBOlvZSFj6
soqRokvla2hQdMrCOXzhw/SSjd4JPmTJ3KGYlqp5xxiiIgAP9gS7KnT22RiUuwXH8docYi1h69SX
TOcSAQ3ia1GExfQYeCD6fFtyYdtylBwMJ+DsMSfg6Eod9bXULoqnbpQFHPKwAqLFKRuWw0SrfxjJ
bfvSNhkjMauqCdwS0YjixoZ9e4yJkj06lT6/hF5GLxKj89nr2xoXn12Ot6Plii10DJtusiNv0iaY
C0AwI7ijM2kcXxEkyRpOQHxfWU31UAwYvoiRKLJ65dPOPYf14u8Myulvwi+dq0h26SEbAutr4frL
SxD3k7+DkEgujPTSbw70pKfedWfMchWUOEaK6zo1npF8yBd6e7Wp8KIBWw3Rt8PqQu6IR+Js0czy
e1MFu5w07ArD3DdEsmS2OGAQTyyJEEYOmT8LfDeR8w7VTZ06WMHI8Zg606jK/JrgG3fjIm6ibpw6
Cr80WvyzG7c30pPlN+zhidguAS3rappbHArdFNwwhHpAO2tP7GUsR67zYFDWuUBO0d7T/SZH5rtM
S71ptyAR3ag2b67HvsLeafTRXTVI7iazD0rJaPoHq6renHiEWdGFagEC0afOuckr036OGqd+AbAv
H4tR3CXu0KIA03qXWGGKxhv/SAQOuc2gsYLbVgQmG9eCriZOzLfYHqeTiIKnJba91x6iwb6GLyf3
7ljVId8PcmkOg5yIzXPGA4Eq+Gca+04pMkO9skncbWEmJj6ABSRj1HbmvUrqejvZpBcVmbRWWPgk
cSMDidZbPJCVuWExNX6Kmqks1pbo3WxHQm1fHqB4Fv3asASRGU5br4PJ7J4wIQXvqR2aikchaOqe
4E6E8EZzHDyHqxqDx6eJx/sJJmR/09nmp1EG7XXDdLpD0Do1Hk7GqDtjaQVgw1DycQ4NcZqnzLon
r6n7PsAV/DSHcd1+njqzGO5TKBgoYYhhPsZFXqFel2/2vET3SWJFm9zLGY8E1nQeOnbFBcvoAc3i
Va8c45bUOm+LVD5m4uCX34punM7tkmbbyJ3te2Skw3uQetEmLhPvLmxC95bZAPSyvErKdgVrqLnx
jSi/xo1gVxsWoMa9yGt344ueKKey8FeD8KarRpXVJybQYu3WzXPUN+ZVbsqXjkfiFhGmC5fRfLfs
+JiRrn42Zle8jWNMQCkhqHJtRcraRmTMnEiJiG8dhg/XvS8PQc/IJ/ftjnWZRXvt180kzmPSCY4w
oL9LhFPAhrb7joefgT2KSwWSwLkkzghgufUaZcJfxYVXrqRNk84Iid57KoqN1QxcB3YjoDHS1sVO
GC0b+liPLR2P8F0oHBOttt0490EsPLwJsnusJXz9lazIzcTFwsZ4mRDOdnDlJKHWTR8/e2ZrnSrA
n6g/J/SmDDXAE5XlY0ooCCRsyo+dXVnpZrJJmdo25mTgUPfcdjWrJLkrJ5zpbC3nJxP0wWlWjvnK
bpMbFBDQa+5AAypxQH6brgzvnY5E4KbqE/7VFs0J/FKLuLoshvVcqXHLVhLLbUIYxlUvsv4+TT0a
ucg74tlHbEzs+DPWrsjDGd2/JH3CwKRkGuJaYFDjaYifhyZsV76aINO3yrnymnI6TGaM1yZMgh3T
Rj6HTmYjho/ShHQU+L2HbpzYWL4JZcdieXJRkyGfpPBKQqw8flnsmxGoXhNy4AMsyscoq/2dIm42
Y8BijQeSk6Cza2RLEEEAn6SFcNKrwDJkCZqQOVYn8nwEA5pk7k+TFCRv2fbk7PiZ6ZpQ2yRY+9xv
vmZt731n1Dlu09xzlwMRTsWXxvdx1cgw2ha6tGpKRXzwMDM7EkDi10yIPcgybbPNyGJeB33QX48N
lO4IabZ2r+sALB8Ud1YONws+SOeZ51t+3VWFkwxrlBvg1jtQFyp364e+nGLvoYAoiwzdCOUKJzRl
QTWK33PLNuNdCCOQL5BJLZh7Vo6/cXoEUzGdqxwRzNyTbL7OVBCRGz2M1zZLfu68sxODchhAxi4O
w1vyod5j1DkPSzSC/izjZNcCjzq7ynVvWmKf0UK2rbHpa7e/IpWiO01Iy/ZBlU53ltupp2Qsr9qx
PTXBMm3a0Aagg0vui8fdcj90rbyyBjfayzh4oVAbd4xkNoMvxT0jq6JYEUufo2SZyri4AmpEYGka
LqD0UK032ZpdAdkjpe0tD71jNr9PeVkAuwLPREQVnqSVU/WcECdaznkvjfLLPEzqzgjn5RYQu0y3
cZO6/e9B1zCQnqvcX8m0F5G9RyXkGMeI8Io2cfyH2ipeG/w4yYlgHj86O5X5uRvD5noC2gNkiGvh
iI4x4nPO5pysoizxH+CLoXFJMYaEckT1UkV3tfaMaGO7RPHqNuProh0lwpFB7N/FdtPe8fQ7Etil
3Sc/dPL/Zs36cQ/FDgrtMk174ApE+OLD3os0EJvBs1kfXAaANB1pRpnYW1g1j3//Qvov+nF1cnkh
BGI8EVBh2h+3kYGkmG8LXqhIGMfTp5blluk8tRofg7aCadtxjCaWUGtuuL/QOf711dntBSEaNgF2
G9HXz/1/Y8z4uWYQvDJr7CdvHBlsolKmlCCBt4ak7a28zqceNMaSCv7vD91CVPfh2ANT2OS+2Shq
0dd9OMmETBpRHUl4ysTFg0UYY+yfft5iLM0UHRR7cA5+IAP4BCCMcsUkG4MeoIr9ghX0ZP1iW/dx
2Rmajsta3dLZpCD9Pr6fOBz72Y5pZnwpxXF0GD+4KW6/ZcbcHErrl2vcj3vc0NRedddGMGDig3c/
bDvh6M2IllV9qAA9nruEfg2GPpeB0aFrtev+C6I9IW7iIejJSGCJHs1rBHhJeZ25GYa3ixieAbeQ
t6XUZm8Sc5oraVvhy5DgAiSQjStJLFVErV566quJLylkiiO65dH2tAO8nbAjpH1Pb0GU2efaHcbu
EVKZq3ZLZ+H4WVcemupPRGoCSI2CiS49jnDrpk6sHWk8Jp5KH3v0WMzqqw5s+B4A7np0wpg2rmsV
f54NdvNuYqmc4MCgpNIPTJOumgnv/YKaTAFDoVvcB9CIDjN/UN4KbKLeXmLam7bKCrAZ6wHIxcp4
uQr/O9781XiTk84X7j/rcV6/qe5//u2M84+f/HPG6SOi8Tyk0mCB2aXrQeafM077N8+1kdd4CGiF
yRT0/6Wz5m+IV8jhDnz0PGAwufT/nHH6vyHJ8fTOnO+HTdjYP1HleMHHL1ngaBUuInuEs5fc4Z/v
cfEs6PGzODmqEnteHVQukZl2o05ErIpNIfQ0K+8d64EvFpOfGI5KOhHepMufPJEGxTlZujsJe+kx
DPgzoVOELylGvT22mZiEI11R0RK1O8SH1FmTLrkU3R+pdVkf6WpDUJWFDFGBN+WutxlC1kP4sadD
C824wvHEEG2OJeyaIH62KoUnaHBltA69DPvR+GJdKkMBTu556YZlzSExqhgMc9PpWjLWVSXJ2BSY
k641u8ig7FyMCC0i7mfGZWBn0In4VKi1cZ9GTaY25L2MB0kfdb2Mc7WadHW76Do30xUvW1pnx0gi
0WxJr12Fiz5yBjFqa5ce5itdO5MGQTWcgIx5jBPX3TEqRdCq+M+4hK1TaKXPNe3JKg6oygMxo42h
cDNadJsxvQh6zFR0jzmzhbuotpz76FLm15eSH+gMvp8iMJZN2EchyMQBl5vuEzz6wA3vOd84ihZH
1MQ12obv03c7r32eNweLpsPX3YfVJ7cxt6NuYxPnVWx81sxr4Y5iVRXxIlh9ygFXbOV1q8AjjCoq
u0OId/hZKNZxqyZdrK1BzBVr15n2SCoIZkC7+zOg6ENHE5XqbqrXfRU7vZeoms2rcJTPRA+IdTib
1SeU1/OVlVAqAjxKkD+QuWp1LrLFOH5QAo8i9VtdXONRbG+KS5sXAubyV+B+PCQLyrvLHSNCieoP
75GM7Pu5rbOtG3vTeV6ab92lmYQr5G2jNo3vFjq6qymkZso8PJC6D0VQAr3Zoq3sK264ltO9xaqu
GKr6+TG5NLPjpbGdLk2uJBfxkzm2/XeynK17Wnj3pIVsj7knsg3cxZ5qVrXEScJN62CFlPKayeKn
EfjDjdHA/rJH85uoSpQbY63WhDC1x0F35YXuzzHgks1Tyjl4Z6HQPy1GDzhtiIqt1yIjWS+XVt+8
tP1kVEPvLKpx/MSotzbhyMGO3yqjVWgg9Oxg4VPeuj6O2FSjPe8HPWXI9byhaVl9kHY6R/cD4whA
aO+LCt9hlbEad0JWFWZJ4KWXNuFasK+W+0GPNmiovFdW8094Xr6ZYOmBnulRCOs48+AWuIJukwJ2
PowXZqWJZx9i7owP/A1sDRyV3Kg2PSGSGY+khpcIezyRTOs+VqN9rS5jmSCCXsAKtHkvL2MbqSc4
0lS7TM90Bj3dkXrOM18mPnr20zMEosdKQBXowZANnqE89OQThvREc3aiRSXzIlVM3VcTgtZr5TrR
1nfq5JgQY7htG80n8yF3W9glX4UsZ3fVLYSc+8YhJkdlnwc0ApFnGzs3wiwdmvO4q4iwo/Ms8reJ
efymzNrxFEBsFVUHGRMgCb2CEvkKs6x7j6yfMHAvZ1I9EkIYDOgQMrBqV1nuLJua8mI/CAVAzSrj
a9LQsDb22bI8Ufq6R5f5+zWzHANTPkON4tSzyN+UhcJykwLe3pK0Xu6y5uTN0xt+B29TS2UfpyVa
ti5/6kRsVX1tFU7LWlUYkyQ6rbVNdtGu4x9zD86b97/cnVlz01oWhf8KxbtTmoeu4lZ1PCROSIDA
beC+uIRtJFnzZA2//n6SbYicELjI1Z1qvUGS4+OtM66911p6mryTzVT+QJ2bM9Y0/AQcVXRKio+b
+mLBQVSHW+t5n7FgQo2s0strUnRU76Vbcj4YFuJLgA+LqpvpTCJ5cl4121u/seuvVD6htbLVdUTs
bBgFuhsXpGuypbLQkokGvxyPPi0UJxGVAvNFUPvjiFPva9cv/mJjQUIt9/GKbdA4xqsgGjWoG5Yl
hUaBmy8RLZF95ET07LUSLHD9sMX3NiwWzBEC4dolTT1OQ2Nz4esjlBkb5HKQQjmHzWLASohqJHhG
20spDYW5UJOCX6BfNNdKpZqSXxSutZwqAsguxiyLBQk3JtG8rkLdBZzz7xZaU4/1zNYvytjE9nuR
ul8Lty5aXrIBEhqz9pbi1p9QxZfME1NETndje8lEqOS3qRjhClpJkIeZojdObLu3rkD6z4PuP64b
z5yokiteUVG4mJVFcl0FQTIVmipbAS1WYzuI4dH6Poi5TDlMUyjOPG3MLwbwzdxW8QUwIV4UXvkl
CJRiKoi1iIkJ2w1WBnMjzezLogTMDhbG7ZZSOmqv5Fs5kNCQLLbquxLhnlmKVYNdb+4KIRu9K53N
24q4Xi0qVWI2+rdotjazChcgtkYXGi7ld5k2Uxsu3ApCIiF37QK2BhmbPyEwcsUuiOtdQvm6dtVs
8hryKTT6CEpII6aIwLcV67kg15Svo79CLbsWGg3ivgszbt4HrmCOPpVdBbwLht5MqMtoMf2uSB4P
F99XpjrH8foStd/3qo7HMSX0DUeZDFuE261HVo0SNnB/aUN251zAQHhdR2KlngtFk7yR0GR0JjFS
JR/luKg+YqpZXen5RrwukjC7SOpRmY+3gV5pY5Q+t1cUkpQs/X5IDLhJXNaUak3FgBUTZ2HNqjfG
ZsJ5Ditl/Gplkhl6cGc0hXsVCDiRIY86Rfi8nNWSYa/w/xpdZDlcnKw2EpzZE5HCp3yDXknI8uol
MgHyapJRCNDZ/1GwPZ3oG2p10tjLOHQEsnLppg3eo0KjFtS7FSJifZiRl7g0xzJ+c0XgTHOkeUW8
OOqC8hh2LmGmQtvGtbp2DISwdeyCGo/MXZ0hSwULPdsW8w60Qht6RKVigqGNsBAKrApkxXwjqiMt
H0d5k7gzBB4RVDHMBtUNuYC8guzx5wx1CUjLG2HzznDS5A7hCAreTK3GBJfbEybWC/zTDUG7bESn
ArPzqi2KX3Wqc/FJ6/yjb5rmZAGV43WwMQL1HPfx+lMju8pMy9QLOYf7cu5C/q9bjErm790F/Bt5
S6qtpZeP3MyeytUouFVqjXQWJ6AENjc6ZnMISMJHTEw2CBZDZYGoImNPEddKSMLJy4Wxm+b5Jxbv
ZioTpGsSvF8UHCWY2KoQnPNGgWZ8D2CABKrnTMsc5vl5WqjSOIfNhMqy5gRvQqS6KQTynGKaq85N
rJYxyoBB/rpE4GCONgaS3iEabu8yPy28Kd7Orb+vlk5NXhrEZ5xjJ36o1KtqYTh/mZy5/5RqTb9e
KE5I9gSqNEIjHM0mGH/b5k0gqOjM1PqnHC7cx5raHOqfVGXmjygakipVmKeA8BjgbTbaZxmRkXIM
IsjVVsZaMvAl88anjHAtjRbkRxJXtFhP3Su3HGGykSjapy1i7PUYHR19MYOp7VAwKTSw1im4oZA7
l+9A9eSpqpV4NsAOnXqKa16AMBZTtdpurxt9W+IcaZd3mU6N4CYsAQtVTHgi1CasGpJ9AuU7wnXZ
jRAKjcWYq7e0zSFjVcidLPIEoxUHs/atoK8kCsxfk8xvbo2kid/HJVZuY9bzzVcy7dkHMxT8T7Yo
+DY4+8a8ooJjcUXCBtvVeJHMdMbrtZDY2ju5yctxSZ3ZXGpQdBw10FZFXYmnNQwzzv74a6jqgowk
yR+PpTkIZ6WGWwU6c+G8EoDcY6RwPkCClmcjIZ3mcQKNzk4RDW0h100LvrJIbCHigr9H+hYDSIRl
bmSqO3DFBbj1Wgi37tBcrwV2oxbi9Tqw1+WMgsVZwgEKKNjpUGEMjgCIW6h4m0flCt1u8OO4hZK3
HapctgDz/9f9fw9ktNVH0zB3sfgo1ml9t0aBJ88OxT/tT99G6DF/iH7vl55u6AV6qHzyTxAF+ONt
gVEPUeg61fX4qTawyHTzYrV+9VJB9dEAE6XOmuWPBzTBR5xw/2MonjB1W21to5Vq5KPuhedHAXj6
u+0i+fTv9Pq+jIowb9+A7UbhfbaS1Gp3/8q3P2rh+7eXzTMVDFJv8cDuIZz3v71pwmUCz5CpFeie
3Qf+92NgrQIq6vH8Td1l3osB2Ckw769E4aiN71GAVg0WDSgqU7XRPkdR0NUzECiBQ/Y+CuC4/5OR
cPQNdpNkvnr1klTF8CigJg8wZsB23r1rqgDvjwVSUmjKG9AudvF+RoMAcS5p906W1b/sdfRtdfoH
CwFTAS0KOGYSdYntA0DY+/qiSAHlvgbymb1+EaU3ujtoEkjGGTooiObs10Hz6PUb0pli6DJ5I4SI
2me38j6nUYDuzy8uiEcT6d5SwGovQyiSNeHRSWAgs4DyJcUzzzYKEA92O9WAuaAiaowjrgATr3uO
5oKhnYG7U2msgJq3z7MbC7wgxu+gCSHrZ1RRk2cQcYRvH5a9/oJg4kMMA008HB2e265AclEZvDfq
Z0rHtCNv0j1Q7XpR6HYFDTCyqx/vovS89kbS3A/yTv/4lCiciZwQ26z17jmeEOYZHwMHhRrH3fPc
xoLOtj50QmAPQ85IbVPo3XM8IQRMZ1pJJ+3ZLQcSrJjBiyIHhLZEQ5X3W8ODm4LGTUGVDX2/av6D
Y9Iv7KLfrl5jx/VX3aXLXWeP3c1+9AuHK8fDn++vG7uT5HfhoO4X2zvY7rO/38n+6O2f3ZXo3g8P
V6T7f77/gg8/+tFOHf7z0l2nFhw0SmDb6+C+m7dWwMXt3771xep7zkNgYeR978mrl71+3hv+P2n4
yH9RFBTkkQa3ixF11PcmEE2FUTm8Yc8KMys7tNS+RgA/ht/QlseW736N0iPK0W5vHdw2dfKptYoO
vWx7vVukhrcchutl7i6L3k0R/JcZO7Txydq3SitdH1pqu22gZnf496OQxbdzyFPj7nC7fRF9fUFl
XBF86TO9KBM6wSiEt5m6K+vQ3W6s7G4PQyNzsY6gp/VbZqPgRD605Usi7rqHdrou4zTKdja04fnK
cnoDcI8oDW4XL4gwcvszcncMGdx0uHKto1WkpfqdIBhR2X95SL5w2Bva4euHa5MmSieYL9f0rFh6
9aGL3bhoD6KH//j9qfg6gnP+IMwmV9/hbd8g7NpbPVo5oBP0+cZCFdQKV4cetuGQBK7sh//4/XDc
WFlmLZ0iW+d5b0xLSBidIiTu0nFtq49tkjI+wQy/cdkLsijvjWyJG9sJJgyiz9Ta43AT99Ym2H0t
djR03rStR0V63PRJOo7q1dEaQkGsYQ7v9FPu1T9G9H9pe7xdb63+vrU/1A8N9O26fHFpBXHmuP1t
nfbNE8yetv0fO3kOjkr54mZducveNgZJscUDTxGZz3BXDi11S8oObx/c9E/9uoYGpvuAieUdz324
8Sc4krxx3H7EUVM+wSL+xvM5kfRvNRJI3AkW2TfpGquP3qvcJQ2Gvsq3PxG8Hfgi75xotX4xzx7s
bbrWqiUM7f37qPiBcRwizOIJXunuAx4OxLb5E9xHPhD9dZate0cKeYcBD43Nh3XVv1XKdPoEF9Y/
c8s5vLl2Tdmnb4Z29wk9x4Fj8NGi9L3wxsCmP1rsO6FNrXQvIjvkdmhEflpRP7TzbraM0MPp932X
hhnc9xod3dDuRQXJ7J9uyI8hTd+y9g/xp0M2/rE/64Nr7W8s/bWV/vE3AAAA//8=</cx:binary>
              </cx:geoCache>
            </cx:geography>
          </cx:layoutPr>
          <cx:valueColors>
            <cx:minColor>
              <a:schemeClr val="accent5">
                <a:lumMod val="20000"/>
                <a:lumOff val="80000"/>
              </a:schemeClr>
            </cx:minColor>
            <cx:maxColor>
              <a:schemeClr val="accent5">
                <a:lumMod val="5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B8912C6B-1245-4672-B8E0-91C001B9BE3D}">
          <cx:dataLabels>
            <cx:visibility seriesName="0" categoryName="0" value="1"/>
          </cx:dataLabels>
          <cx:dataId val="0"/>
          <cx:layoutPr>
            <cx:geography cultureLanguage="en-US" cultureRegion="US" attribution="Powered by Bing">
              <cx:geoCache provider="{E9337A44-BEBE-4D9F-B70C-5C5E7DAFC167}">
                <cx:binary>1Htrb922tu1fKfL5yuVLpLixu4FLaa3ld+w4TpN8ERzb1ZMPkXpQ+vVnum7SJDs756bYuECDooaX
xCWSg3POMcaU/3kf/3HfP975n6LuTfjHffzlRT2O7h8//xzu60d9F450c+9tsL+NR/dW/2x/+625
f/z5wd8tjal+Jgizn+/rOz8+xhf/+id8W/Voz+393dhYcz09+vXVY5j6MXzn2jcv/XT3oBtTNGH0
zf2If3mR/98XPz2asRnX16t7/OXFF9df/PTz19/yb0/8qYdJjdMDjKXiiKSMc4kl+v0ffvFTb031
x+UEY3nEsSACMyx///fx2Zd3Gsbnd33zm/Wmufv4+bfm9PuM7h4e/GMIsJzff3459os1PC/x3k5m
fNq1Cjbwlxe3phkfH366Ge/Gx/DipybY/PmG3D4t5Pbm95X//OW+/+ufX30Ae/HVJ59B8/XG/W+X
/g2Zy3ff24UfQ4aRI0klYZSSZ2Tol8iI9IjDlZRj9gwM//jsZ2QuH5ef3lnfffz0/x2XP0d+hcrT
8v6GqPz6X4wXJo4YxjQVmXjedfElKpigozTlLEMMf4yn51h9RuXXu1BDthit+XFcPh/7FTJPS/wb
IvPy1fd24QfjhUK8ZDzjlD8jI7+FTAbgQYr7HJKX/rH6K3B8HPcVFE9r+htCcXL+cVe+lSh+EAp0
hAnDPGPPmQuRL6HI5BFmAFSapZ+g+hyRk75vjG0gyz9/+q0Zfbuk/DnyK1Selvc3ROX15ff24MdQ
oelRxoiUKMueYfkaFX5EGSWMM/6p4HyOyutHY6B+Pz5+b0rfhuWzoV/h8rTAvyEu+/9itJDsKJVp
ivkfBEt+lbgycsQyQRnJ6Ddx2ffWNw9/gX99GvgVJk+L+xti8uvJ9w7mj8UKY0ecSplSjj5lqM9p
MWQwQQmgJr+Nya9NuLcmNH+lyv859Ctcnhb4N8Tl9vV/DxcqjyihQnCSfjOHYYyPuMgIIfwrOnw7
3tXfm8e3E9fzqK9weFrQ3xCHk+J76//h+KCZRAKq/HN8ZF9WeIwhgCA4RIbSj099JsAnD3e1/fjR
DxT252FfIfG0pL8hEvnL723AjyFBsyMpszRF7A+ZCOz280yFUXqUMpFRDvrx83KeW6gbdw9/AYs/
R34Fx9O6/oZwXL75uDPfOo8/CAckKJB/LKV/FI5/CwwOgZHSTPzBwr4SI5eP891fqeUfx32FyNPS
/gaIfH+Kn4uAL+78Ua9LHqUIpDuj4hOR+jxUpDxC+ClQ5B+OCvt4Lp5T11cO1H+e1n+oJV8aWF+s
5P+TvfWfra9PHmFxN97tfjcXP3O/vn/19+WC2fnV0O+Itz8unTz88oIwcLA+A/LpS77IUx9l9vN2
fzbk8S6Mv7wAh5IfMZD8YFJKAeARiLjl8fkSYUcpp1mWpUyCI8OBWRvrx/qXF4wfEU4kjBNIIIoJ
lKlgp98vYciokgkBbgITIIbkJzv3yvYreAWftuOP338yk76yjRkDGKoEiId7vu9psilKGWQEkQJj
IaB4EUFw/f7uFbhAcDv+P12Ytm6ZZHPVdpK2MqcYxUH5quMvZekYu2Z88OFge2T8vizBqU3VMjc8
78rZLvFyoBw7JbqhU2FsupG+qrM+6eOvaTYnHcp557Vys+mOq82g5WrsB/SgkVvQokQwTZZ7XGdI
kQnbqla2Jl02H6xk1U7XQ3uqW4N/o5WprZJhyD4kpGvyyLPqVHRsUNZWWx5H0b9Ks6U8VJvdCip7
9LLrGjvnhvJpUgPxulNb73yqNsqSW4GSD1nkdaHTpFWGSnHJ67k5abatPY8da07EnE7vl3YiO4ac
5MobXr/yIuvqIti4Xs3TVsrCkUX7HXWwYpVN25jtwtC7QqK6PhvKbl/NTZWP1cI/NMs83oaZ1+1l
SmJShMaJl41HbFFrE+sm7/ma5qOo61qVMspZBTQ2641Ix9EUgMT6tlytUQmS86TWWFY3kElKqYJd
yy5fYfonDS/rs22J8S1rGpweOIvopDJ03kneBZMj3Gq8FyOvKyUa6n5dffR5VQ1tyDMx69MkGGRV
kmZuynW5ZS+zbhGToj2DI9FuDWmViHXYijYNwRe8F+u7cVoHfgUrISgn3axjIfs6Fg2a6C4gz5VO
2vo34Xu2q6umOw4Nm/ZLRXmRDs1UTLYW18PGYqVM3VUFWUd73XHtT1fLSoX0gK+TVC47M2t+WjKx
Jsr7lD8sTuIiQtBcCoI3p+rV6rpT1SozvB9M4s5Zhdr1ApkJCXdKOrZkLpepCVm2g41gLtdzbdwV
64banmymwUwh2qyVUXXWcK8mHdj5UnYGN6o2OMs65TCjrNAb7N71FCrAasOzuNHONEshkijdm97P
YlCpDahYa8lL5VFtdU5jFKHgpAr2tLWll+fcVfWDHsTq8rYXnVB9turkfE6bKuRlFu1lSLLmfDZj
fcZLs9wRXXOnurBMu9UZvZ7Eaq3TPFhivEp6jurjte2JPZaI9ViNeB1xvmxVMh4jr8Ue2irNVRNX
vOX1MNetsr7UENllJkpF3dqMhW/ttOSudPN8vm3NNBQkYTS3NaBZuFnPOEcm8ZtqEyOrK25QE3Kv
Jy0u4qaXyz6k6OA7MRV1RasVThxL5rwVLiv6RDSXibX9vJ/Lsq9VihH3he6z5S2BdsphlHGoThkK
r7Y4ttu1nJL7ZJMGYirhNuZZ2q7p5Whp2PbjUOtxX02rfRtLi5jK1ql+vW0ZsQdWOm8O8GFbKZmY
cTyGTLTesEFGe0JSPg550/eEH3pUk+VEtCU9odb535aE3aYTz85pk4btZu7I7I6Xrsb2xJdrLDKX
4DMaArrYypZcM7NAPJZMtnrXVpDN0gkZ1a1De9gizU7bJFu7IluSGM8jXuyZoMFsBTypO2RZGXY9
rsokbwAru6/c1hZkY/Q6cSua93Sq+4LLlpxZbuSOZm0id0njdF2wOuLXbmNNgWhPAOeOVe0HP4j2
rkVjckt9P78LKM5+5y1jEGsszkXSbnSnMU/GE19VLO/p1IYdr0Plz+AGNimcuKRXKeFurRTPNl2f
spCkROcrE6lDql17Nhdx4nVOAkeVSrmvqDKzm4+TwVO7K0e9VKOyqZ7YhTVuylRmyv41Xiv6Zl62
Xxkc4VE1IXaAjUHkmGeLuOZpg4tqLNdiJPVwIqQRaGe2kez6JC2r3MYlvjJlYJe9JtOstBcaXyze
2ott3Hh7yAZL3w5jfFvFOEs18mbDBW7KPsvnGY1BTXMbpwvtNL7cVhxe6da2PrdQv6prHOfSE9Wy
ft3WY03FKNI2Z0lZladDgKxxybIO7z/v731RiO+tW31T1X+0Vj/9+q/XVsN/vzf8/vzwqTP7528X
H1u6373r8GifKGD4+qYnPvXpu/5sLT5xmE99xq9Y0XMT+D9Qpu9e/IJPfcEeP9LUZ3IErPVTC/jf
2NQ3OeyncX9QKs6PgEpRDl0uaKZghoDSPFMqIFlHKSbgIUuaQt84A7L1B6MSGJQPe2Zgn9MpDAKV
khR8AgxdZAmt5B+iU6BaP2NTT0+EFpvkmBLBod/zxPY+Z1M9br3BS5c+ZrgcJ7kjjkFU5cjNzfYm
TSfX3bHEp2FvhjWsDA58TOuYJ7ZEHyrjmUlyS2InTmWdrlPRQQIbjhep+3DRp9olq7JdTN2HtBvb
aIuE876leSUEw48i2nV6BcVX9HfAOV15TzUd+GXFm8FRpXETYCrMpV6/rDEaF1NUfeo7p+ySan2O
xTrAlCut8XpGNDXtb0mYLYz5DNJvcE7oQX6xRxJB31iCDJVPjX2C4ER8vkcC62aqeZ09lpBA2+F4
1Kxnx5BbghfHW6jGZsm3xkFnv0dlQ8rn0HvurH/j8RgaCV8+H7gz2KOMZhSQgsl8+fytpRmkL948
tLijQCahpKS0VlKSZGj3Pi6Vh0pYjxWrVcKSzZmrhdE1kByzjS/0FAiUCR1Qz4F6fCnTbIBr398j
DCLjs0kKAAzYP8vIk4ErOdjvX07SoLEu2+jkPWqhZr1n1M/JDeFdmgL/oboix/OSzUbnSDNPhAKC
FUSn+g3hkI/URHHbLmhKbv6XeT3D85lgAJ2QgZaBoEFUsAxaml/ODKHBWNHU4eA3guqwI2mcESkm
sIAm+1vYjMh4bkPlliAVsMgaczWm1Yj1GRxkIGyQ0Ds3RnpOWDQtutJlWlX2eB2WIbWXZWw6HNe8
JDGQd2EY9FDtfEuYGXa6nzYy5sgiHnSR+RQ1/TmN2FJ+JVdRiWHfcZAd9GVpNB7iRVfVs4Qwmmbe
YKlQC/AdDxsXjQZC0gJRKPp+TqXPRQLDatXpRcCPqrcZGRRfO8HfE+nr6aT7fTeXWpM2zWUS10Tv
lpkkOjm2JMv6S0Mm2G4METeJSxr6FL4gaclAkXLbhgA35DK8NcDgRo03ZYKXpim4E307KdtgCtPg
w8jh+QjqWHIj2wr+D6G6wP5uQzb4ci+GmUKJREnHyc5lFh6pu9jS+RQtpAS10UcdQnPo49C3/S21
UyvpJV9HydxJy1FC5tM0zB5O7NrQbluUXNZAh6LuJi3nV0sbBTVatfWY2TJPJlstSKsBZGxKruQg
nVh21cBZOrxOVzlv9jVCq4aNLHGHCL+0Y1gsf904xFlVwDmHXLCv/YBxm2ucBf/bKsgQstOUx4W8
x2lcRyixeindtZGy7ciuNSFBvXII8TjmIJizgeyMXQHbYolk86tCSXQg7wY47mkGBGUtl/NOhjFs
yvft0pyaRGY+yWNTo3BgqB+XDxzpbq2LEgiiMUoLo/1bMwxZMqkMcwG7v2n/hNpgnKz4eaYbAQnB
1D0nU16mEwbkNWMlALSaMYMfz0ejb6AWvTei7ziwX9k2k1OzR1xj5UNlBUyDdB1RS5fM8rUfvc1u
nJFJv9dNWqWqrqrlJl2btC3WBkRsw2Z63CC6nWgf5+PJV/aV8JzkUab1pWjGHuUDm/3rEg71MatA
bCiIvvpD613/tkKNLaLEZa+yno4HDN5EvhCTnmUOvbcdhKNZHD/nS+MKweoa0EWJ37cisl1rm+nl
1vYj2sHJHXfZCiQTTizX97Wbbghm7syzpDrTcxh3aWAxnwKrjmc7yaKWS3YtXD3kXeOahyYMZdHX
rlIrM6ZISzmcZhvR+7U0pVfGpQy+OltNzloj9gt85UmWrPUHH+10IGtdPgyy6w9dxP2mVtmm+7pF
9sYxTjbVV2gIKqG2ul3ilt31iUmVpJN+vWSk2SEyIhATsm6UTRJ6zsZ02/sxQA+5FeU1StJmVPVI
5QPWFZuVwA6/mklbN3u3mmSHgx5fhZmNJ0+poAhrnE5p8GunUr1keSlkWWdvm5nI9QRq3XQfCGvx
zk5uBEnd6HpVM/gtj9mYCl0kZeJPtUxtWjA8ttdxpl2eptqepWHEA8i92t6hNrjzKBg6Cxw/ndAy
bZxi1bycRj/FCyS6+STTNjltOlqTIoPs94CXhRoFygfXagSu8W5xw/I4JEnMSYO3uxBaSxT4B0Ap
ti3Aya1716sEWz8Vblu6eMqnaqgUwq65XLGARKxdzOeF9vQUXiTq3amPg98TN5GztNdRtTR9ky7r
PZrK8pJhCJ85TGOhxYAaVUU9iyJdLd0xMZpLVzP/bnVx3reITGMFXLzrYtfloqlSp5KJsrt5Gqyi
pAfVFheqCNLjdcSmuw71OnZ5N47V7VCvw1sfnSZqiFPMS+xdq1qYH1U442UHgRfrLWcxW64kCXWf
m20GSaTdppIK6TfwSsegnJvxtbQsO3HEZ/nkUXnKGsPuQsbjebthPytn2QQPLUdVTsmQr9VUnfMs
sY3qcSfvfAL+bZENbmhV2obhii+820Oi5zyXzSaOR2zrK2f1sKNL7W8JCKHDPEV8aN3M7zwtb5d2
a2+3QW/ZYXBsVe2gq8cVNuRQj2KadjZF683oZQruARvWM9yBqkL1PJ9w2bnDIGSKVSWCvJVmlB9o
dPR160v7Yd7m7XGCA17MwpILVrb0gKBSFEMcxhtNbaLSxczniQ/d+w1Zc6A9LtfcTBu7rFfEoJZF
yEiobbIEqnbHjwViZe6CaQ9dOvnbsBIK85/JKUaG7ltOw7velcOVNLU/xmsvb7T221kV2mEXBaRc
1RrdXBqGxlM/seXKhNK/9lnG7mk3Q3IgwzpfslVD8Ax0eYnpOJ1FL5aTZonUKjtl5lByzYp64MC6
Fsh5J1viy/OyrP31RrL6NoO8/W7YsvE1FPzqGIJNXGw4Ga+g1Df7XpbpebP0mOajln2RbauhcN69
2YM5Yq+6LquvqmjdkEvXo71f2uGdGydWqTLdtnMv2XTWlAuYS4m2ryu6SQ05W8cdFV12jG2s8hkE
+ctsruihnnzykJQk8+h8TdnWyHzVEZOsEJPTWXbepXQW4w7By5H9qHrpyvMlcdWVnHB/mbDVvOlH
fwdjqidDFb8JGhhMO4n2Mso2cJU63JxK68j7KSnBrenrBV2ss5huGzLPw6EmPWW5rLE4Y6X12V4i
beSprjNX2BjYpmZdL0UmNy3A1BvBatS0NJc2CQifrckgYK85WkZ/Psh56fc4erycGDbolzSy5FoY
2bicR1/bXS2df9VWzax3vrdrfaabzjZF4k26HtayxMlBzCFsr9bM+Kk+PFEPVMghQvuvg12zS9Wd
dmnGfZ9jAcwlB++gnC+6HuyJnE64er2Iza65RT0/N+NS4mLBQBHPRg5Wzpu0qbfMQx7xbkw5EKfK
JFV5PI9cnILPikz7eqNrSWawTAckp1MCyQ6dZKye18PQr8YX9RzS6UYmVdeqhVS99MqD+O+7PGEy
3jQ0AfuX1Ky/titOtsPC6drmSAwEnS+yjSYnfkDiQvSQTgu7DuDxmK05bcnY5PDycnc6JmsM7ct+
TbjcKGy/QVEXGBHdzZ1aHUn1y3FkbTYWK295T5SZgoV4yLYw5BNeid4xPPX1eVe7FhxV4+KWb2Mc
jKJ63W64mNru2DQstbtqSZeLrgHpXLSxice0YjgreIZqoQJvPT7pKu/AypxSsSqyxPU1H8l4CSZr
FLluSxaUYB31+bpW/A12iX+YJVAT6t1KDtaWmO6quSYTyYHC1YnNx5BMgYOdX/NXa8KsAGI2ZWvT
55BJR7jBoqSJzT0koSHju9r1TqXVgKPcdVpgUe8ciTZNL3Ay8+m2zYwuj9shY3fVPL/ftrq6rWr3
vpIubRXIBH2zLKLdlVnpDwiKB4Ikwf0Nz8R21q+kv/S0mfZz7WXuBgfesOAUOaV1qm+86XnhPV/V
lDVgMPt51PdjVW57YfteDVUsL1wHdSXHMSxDsUGxYVcy1BSseO990cxZCcSvhgOjYtUsD9i67toN
4CvvghDVebDG3kxDGKvdFKu5POFGV0IlOsoTbVuwVM3Q77uhTG9Mh/BOjrU968o0uSBdZGfE8Tm3
VUB5J0EWFYSU852ZxASuIiG9QgKKcAFdgCHsHObgEnfZMp44v5TQIFlQzIeuAv+Kh9kpiTVYjFYn
ZjoJHBa3W22Cb7YSXtkqSeiHQ5vUc+EhKBe1rZ2/hCoPxb/hXV80LfALmEL5CqpOs5+E5PlkXP2m
bSr8nqco7mOHJVitUu+FE+1V0iKfg09fv0VG3/YtAiUFwm0vSNm+swsZrUqpte8oKv3pRGgZVelj
m4EhO7HT0kELoatQuWdNnHN4W5C+bEGWnM4Lbu67mor3XVnhtx2my/mMDS1SN9gTulbrGyt6Amar
3KJTtEXDBS9LCrwVkuPTIWT3rNMgxFajn6p2JOGDnbOk2fW8aaBCaZAsJyY1jc2Db+JYjP1mQQiI
pcU57SGPKJ40bXrRu0A+QI9m7BTpYQ4KrPs6yzv43txwDmeiXl16ovlERAESfu7BmofyfaqdHX91
oNrqvHOUovdQeBcPBnW2gHs6drwYXZscN0NKbnnL6j3e5m5SzZq4l2ka2w/TnDkoD6A893YqiVG2
TOl5SDN/5tYN99CyA0pzHsPkPnRkjE0emAdi28x9vB/HFWIFghJ02uRSyh7mRcJF2c7zzrQzPV2G
oSqhuMYNyLxI50dG5VzutajHM7aCflMJ0JGx6MshSXfJoNsqR9ucvhlD378Tbo55F2goepQM6HJa
BL4ZQeXJfTkCh1N8XOr+sACpOoXsZ5ZdHGroQAxRAvX0W0jsJa0XnORTSYdBrRqlbuehbVipITg4
RDmrdd2yboaeGneD1F3edkDS/O5Jxs55uQ4NAU5NTbm9NWEy3Uti8RIKUBVlBylNcrs56DVOVb8e
EkRaw17yiZaZ6vDQ0LseCZGYfE6y2JZ7+JuSLqKLrrbcyhzUdmROTVutw5QLKLjpWtQY6lavphGq
/FqYeS11d7ZmJVg6eZhAgLmrfgYbk6oYqklOez+5oXlbVR2zVbFAqIgZ0jel0L2Z42A5NDSAq5mT
qZ4S/VsYQpzTXQ19TG126bDi7qZEJBHzwSVtA01Bv7IEtVctmIqAA0tsaKZWTZNZ4qyih+U/6gQa
zLCPoTVrIV0d07cpSNz6ZohwWt8njoN/MPYSbIaE4DK6M+g9I1DCKeRxUMIQh5t4qFiJIj8InWwQ
bwMOsnk3uaVOamWyZd0SULZlu3AoEZCOxzdTDYZCdj4CoYyXqJVoZflUhWnoDluDoEmYQ8kDB/4D
zSZo6xVpD01Ec0YnWN6m4M9tCAk5TwPV5Q0dU9fwHbdD3dBTNE3DasuCNiNwHNAO1bB3LmshHyej
Lbq0ry5IDapBlU5CxlxlAyQqY4dmFHpd3b5mM6FDkxtgI/3CdpWJrOl3blmYleAdGJudb0D9sl0J
HbVyVuNcSgfNETZIthPrRtnBQzf5jcum/jbZbBgVsWBIKzZB7Owwr/UDMh2wrClFte92lgdZF7Mn
RkS1kWG8BhNxWnftGNypbKr5Cnr08zEdpubcopLmHeHTRYvXVe8c1ePJOEt0oOAi37QyLuIEehKb
UNS4lalols4c/IhIPsbMLUbNaO4e3IbKDlIr06XiUEenYqTb+io0yRKBICT9DhgoKMSydWl68JyN
uih1Fj8kWxlXp3C1DPhV1jVdWsBfl5l7j6TwKrQzSAOzJTOoEd/iegd0wofjqU67+aFK4pPjAoya
mHzr6moP3u1cJns94UzeTmSQJi8Rs3bHVhSOcbDiXT/3DAxLUZLK5mAoNikoVLGGS51xNBUEpdP4
NmyLrwAcV+o6N1gOMxAkTM4YA3PrsgLlrRUbgIdfRDexqBbaiZ3oeH+aQLtVhW1Kc++y+dLpdcjJ
OoUiM6kclEjG+rChFYARsUoUjdlwPLh+aPMJDLMPWwtNNLeU8npKkIV1bm4PbzvEqxXALpgsM7lr
J7s8Ju0TKehaV50nkIbDexCXS30tWmhVAeuipDkGBsNPPXTSmg+QIul6oDNrX9mFlhdRJ9VD5THs
fLZs8XgsywmcEWjARuUatNxmMZ2uFt/XsASwtge1CG0hmwpdq9il8hUG+1AUsrXLCQbToikWWjW/
LhR6hXnaBXZsWNvmw+LTm6Gs7H4kBr3lPmAlRdyK2vfbDYPG6qpYlq6X0GchTUGmMI+gUIwLSjaz
nE8q7i2kebPFoKpyiTBdaParxYMazp0RK9mTp9cuoY8OzYaimukMqTfRJbgwoxMlvEpQhQFIgVnD
BZ3cdF4RPGcFSisn9u3Yu9dLFCPer6OBVeruf5g7k+W4kWVNv0q/AK4BCEQA2PQikUkmB5EUKVGi
NjCpVIV5ngJ4+v6C1Dklps6lrPouumtRNJEpAjF5uP+DS/lfvD4Nkl1FAn7bWSbjHQIvqHfk1Gu2
U0UcLru66LJ0z4WeL8BC83K3VSAAu021rToU85ave2FX2WHrNH8nkXK4SLRdtftZtH8tQ1of3HjQ
0TLK9cknWsxXeqz7dl92c3A/yH6ceJyUHQVBBgpUuc07UcbuVZCWhf8ttOK12vVOHF5ZVup+W8us
uNRWO9yJasgjJwvcr109TvWhHvxwjSCX4R79xcvW/bSs+bAr+2CMD1OaBSXxtxflVe64qzwb1SIf
rTht9Q3IVSEAA5pq3ZXQmE9ZWCfrrmqd/qaJw8E++ItcKQpCt+fKjG1Zwfbm6YdC6n6JuDfJ6sjP
96nou8DMm7pdxAIMLdwmvgnKCgJ17Z1kN0/lkxiq5nM/Ns0OtxjY48ixCcJkZsuX/VNiLZC/xaCt
yCLzeNdPWxUN4C5f6mSyLvqcQ73vs8K/HaexuRxlV0VU5MU1uIB/tGI7eAQxzny2QaK+tS7EtDa0
/9yv7kUxNKMb5XOwmGzNri5kWAPx+MMQHAeR1mq/hRaJU5WF+ryW7lzew6Bl+x5wa9+z1b2oE3I6
kL44V/XapGdVvjifUwj8z2E8Ort2mOx9ssniUAVl/BeUmL33pDd+DEj3zx0vdr41yVx8tvkrcmdp
Js4V1ue+8oJ3urOy83YeOXXB9LWpmvGunew13gVjYzucg+0uTCy47d7xqnPug76mzBjEPvDlFSia
db0gRfqUA3bsA02h0iHb2nYaicGjFZTeQ54Kr4o8UP2Ltq0d2ezypSyE+GOdQP/7Q9GCB/XfuKCK
at6HgYhX/zMVbVO19703NJ68HfO0I8qjcgk7aKwOThRFkV7zqoNryFvR3HrrOoTr+eJqDbEgGluP
6YU9pVW+XQRxvo4f40wv8g9Ze01xzJugGr0o9nrUBftglt7SE7yKUH3xqwo9QR46mbL389g5G2lj
YK9Z1Beqt/XFtGpQzJ2C5TzzEEwEX1SNImPcdW1R6pI4JlNboiyp6wqUdFVJcug6L2nmC12Qxudn
eoUf5dAogap1t85p2/xpd9ZqxDTA+n5yGNplLYwSJ0sKiLs2iR3IDfZgBw2S5Mlmd+9nEYyUMJnQ
qu8fG5Ric75fNhlQ97lKZDq/yfNmmJr9sODhcw52K6ah+zYV2+ysO35Lm63R0nikZLutTYkMR5Qf
Er0ciLUZiacSOyzP00Qj//k0Wcnmyl0WBwU/Q+XpK31ljQMF81W+DnGpIm2HaK5+w22+plZhDX0I
TahDiDmkorZ3Qq0ClQWjnSb1n1XTGkJjzmRL2SNk3Q8e5WnqTX00zra23CjNcii637wAusTXtCWi
M4W/FG8KLCGk0GtyMJOr68sk878XLy9QsU/Yf1URluw4q4EX273NSBoi9G860kMdKQRuvRCZoRca
Av/1E5HOWW7aC+u7snrDQybbMw9YBt7IyOt+JM8tpB2P2Ff+LUy4e3nCz8rJ11P9/FwPGaZrhJMc
tNPntmiP/MYSwfdkhZ1XJF5tOXxOPUqzZLfAAWW3dYyDH5YhbVxX/WbYaENPhm3WGII49CSGEv+E
H07knFm2TsV3yy/9TkRysZX8iuSAA9lsmV/eZGD8zjtRdOv0UAy2vaU7zL8lk/L2RLxeciZCuiy4
BKOTitkQJwuA2AaZXVHHf8ThVsv+vOnaKl4PFtoylnwNehNk3n7kr4NHoI4REL1qaKOHPtGspn4a
l/lq9989taCHOFsdtTnFmewXyKhDFsTQcf3ErHckX5yZL429zn14mLPGbpffbATnRPPBBCCoQ08A
zSMQngQnb5OEWy7DdrS+pRnCJOtINDXSgUo3KV0CpiX3Ni/KKpDzdqdDV/BWMrPT6aFqVQ72boFE
P4RVWlGcw4D37n01Z/Xw7e05Myfv53OCs5h4YHvS8VG7CHUaGpYYRLrb9DcNAckmsKfCZrJsGBeo
ad0LasDWLQxdDczamC9Zm0z/dLLQQyNaFrYKA6SSiEBeH1eY3GFcB9V8q0tpoXbJ0XlAQs+rTR19
JWKJQoZyuS++Vrms0Z70bdU78hhYuQVYiu5PPGtk1pS/VWdbOV95uoBt+Z0A43SP0VpCKN81di1W
WJ3KHLRYYIHrTXwbYlfB9Zt6rZxgFMasraOlWztezvKrmZ8B+lbNug+KbbUelraNL4YQGjqJqo3q
4godcz3Guzq0VTxG1IVWea+qMCFtckWoua1cK1+d+tLeQqTTsKcxcMxvjumJooRIpSizVKhs+gNg
fpInEYOdWXczYr0vPjQkTHZrw+h3O2oNcs7I2XyjfyCfMCqKEjyOn03P4aR1YsN162UUqjubFvH7
A+2dRnEuWWRbMnQcLg0Cycm2gBEcqBKa9kvbc4pgzkA1vXeuk4oVySUS4w4Ocy63x4psYPV3U9ov
XRoR8Bd1n3RbbB3J0PLtsTdQ9A36XSOl0t5cleF5MUmzPM0ApAXebuCt+7bPi+1xK1UBr2OXpZH3
ZMw+C9TUYco3Baq+7TGotGbtBOJTvgybnYzBvgWbGM5A3c3aFaDASLG658eHQWKtyy5odM6vaNBu
8OaZVRsV1djKqviqB1V37Vk4985MzdVs43XfF/DhZVn1iC2hLyp9RJK5JE816knvkZLeYZP5QYIi
a0Z9g5jr7dhwGsKZfXwGPimD5yspTsVGZJF14sB9fdmcaqB+0C6S6WG3NHlTXoipWwgUbz/xNBq5
PrHIhZhFv8fdffrEobeHdKnE8iQoztmMy+SZ8OeiYWL7qblD8wR5CV4CJzONQ/LOf5FovP0axkfx
KioKXykyEgybru16kCKvw9EmoA/gd6rHyqurUezGZpLWn4BNHdEopdR1Dn3sN9ndPAQJEadNZZMc
kmB052YX+P5SAhG5SXdVxoF60Ghvg3U3LI6a78fAsrOok5turthEYOE5VKph9GPlmMNO5jvfN3NK
dnER58VoTv6MdesW/6jfrjtR9ELP52+P2DmJa4HggiLdYNSMVqCefD3iAo9AvXSD/3Geahu5H6SG
i9xv3sy+9UiyvGPqLDA1IAuhwWKT8VkDaFE8mFMx5eiMHmKtzJZ2uwzNzDFrKZEIkd0GhXjWlXNL
6r3JteDUxUtl1IfOGlScTt/pOEZvD8l9rZXzAjIghHLI4CQr6Dj2SdLZoVfamrx2PwZjKjhbY5uY
FxgtMZmj+3yOsSeuvFucanPEiZUmpPRtx0VjpQ6CR0dL862mK4biaxnmvneEMzbz0K2wAzdxp/lU
lgozxDWp1HBWWH4vztqgn8UQrdwXDPc3QzvJMhla6OCtdzgqOHXI916v1gjB4pdTs34U1KRM/9h3
bK2t3LLmj9EOCngADBPd9ui7tbkfK6txWBCtqjJZD1ulnDE5C4U1LR/JUnumA+ZMsPvEvBFN6swK
2WLeUrYmuk2EzWPmUhaAJ5KR8MBsjG3+hBrVYSqQyjAVIzYVa4wkHC1HIg3dnD+9zI8JhcXXtyfh
5IwGpAtkV74rAwS69i+prrNsnlpVZ32YK78hOrykt24a6LmI0OBS7/zm8j8xRbGjKCcFib3NtYRO
7VSiauPQ8FSr/Q/D5LBDoDBGNhR3P/Pj5a3XyEO8WLDpO1UK1G/Hco5rUhaCHrO09Loc73w1UEzD
f3gBwYADOd9DkfMp4D4O/qhrLqofy5Z0S81U6jKoOSucIrMcSaHNQgD2m4I2XHPkeTagA28iYQW2
x0LBvP5OneuFJ/ksgzeXAEHCoavWrxUV6eCAYAZeGCBdlfFunArRRvFix/kNyiuvXw9d2qs22IWu
G+bpru+7rLu0y0loucOi0FlXfVJZ3jvwWl8AO6KQ+AOxkn1c4slT+8Kvm/K7l5dbf181eH2+LhBY
y6034z3b9kFeh7JF4Sa8AavQgn3jpu/SWDc7VdmVcy3s3gn3QPihE+V6nPp414Dcbjk2nblHkpbo
YuYwzFu/rOVOWzL38rPQdSbvQZXj6kFdaWdapvM2XFInJn+LE4D2FFllGflbuWwbAmC2YgsMsQJb
wkHl6mwO/QTSsbL09mFRjZs9Tl6ZwEZ4o+tEK/Vps+5UMg7hPszcpYgS+IgjZfK47xp72a5iPA/2
ubM4qXuWWEOQ2oe2aCrv4yrnpLA+hkAx+oNGGzu+s4axtu65Mfzpu+yV6j9u/pzUDfKkxkmH96He
yuI8ztCBn20Imir8cUUj3DTy4dMwyjkVRPr31EUnqfdslbX7M5zGZYFjLZfByYGZ604Ge+oAWarz
uIKcvEEraBXFORQb7HD6ZxrUYmSWtSOC3nu3iWZmS6OSGtr0Pd0pRoVRo/ba1r+YwjhLy+ta6gLB
bj4n4zJfL9g3suwsRt45yfu4hnu5MOxmEpyxV5RAhjBvhm8qhyBbQgQ2ngK1SuMe0PZiSQYrzc6X
rOK2gQ6Ho1n3c5tN8nNjTRBEF2yOxYqjBaQVJfbUknVh/1gF3r7b0vV9vowv37SyrORndig8Hgdv
43XftqkL3fkyVz0M49HRluX70ZrLYvLPUSY7FXYYbzb3IupdDHzXiZBcKl91vGLLjHKZhjK5XZd2
af27PLbA6s78Qlhue1FM+NDmW4VWLgt3XRiarNrvR5kWj34Sx9YGe1EOzJS1doTsd0TtLpVXloh7
v7x2si5zyrs8XyAWDmhylyE5/EsiLFzzSusMcuke7CRds25vo1nog309ImysP7sJbFMH8lmGEC9J
0HVRTx3MzLrBlHGDRPBU5pfw/qQsuw5vFEW6lw6MPmpTuHV1lqeLmTFRjgVfmiEdrYe68k3I9+Yx
CfwoXMaGDbDB1ynsW33F59qXoabILZm+LjeYFXfJEPO0MnUoMrHTmeVxWi915Sen1Gaea2xUgHfW
ZPUshVUjyfL+RC0SUnH0WUamFS2Bs/p4t4JUThYr6E3d9Djm9ZTVzJeVbg3aq81z9Lsg980rZ6x0
iziGncUTBD/qvsWWNhtM9ZZZeVhOvleGSBfH/TzTMgoxwBh0C+8w0z+FMf4YT98L0X3DmpDyPYn2
WD0U0otDEXlLCAC0a3107vbhx+6Jt8Ggr35umcFBgT9PxsSu6aMfOW4oN6M7d8Ugi3fCznrr4cdU
Wy8f/9ckv3wOpMAt3vkuEjI/cmpUG9+KTLVZf57VYmXQnbvRORK9BcyP/UABnjThTr4sVLMBzoKU
jita4gsYtBVQ1inQQKnbsJoaZml2q5KPuLgqeStgjhgjVWGvJulNKonQOQJstTvojucZbFpOEHHt
ZUypm1GjRW1Tq8U5Alab6tx+WdqX7YFCE4fiQcGg8EX6pRm8VmvKPk0c6D0SCS9VfHNtUFOlHzcr
QzyEjjsVZnpfNtI2rRNvySDNb3GyHmqQ2swX7K5hTM2rv0yotS0bf2hK0Xj+wbJlXeQXQLK+bs8T
g2jZhyWDuZuvX0T27bCwvtmMNP2bo5Ka7YO0ojKD72eS3dsBl4b5he5svnhzEvClrG1zHKpNmvev
J5Wky8epTMokw22JEeEh7YSTiGMxrL4zXomXvZLlQzj65z+mHA1Gz+voFzU+N0DDw/M2K7jnZwcF
o/2RzC0P5n3bWWOdRfaQxDxc5ikqBZQqLdhmCWAAZPOiR/cb6C0cGdyvfK9YJ5UHZwXJol4vRTiU
ujmOXmNXVVSGXlnNu3jAJHqBUHzi8ym6Db6QNMrypuom/r/iilBfpL04QEUdrqfyZkZ7ASiw9DlP
d1IQ+0dVx5oqIF43s/fRlyiD3wsYD5TofVpOwaGsuGKrg7ZqOCuoHa4q/YTKPyfe4LloiuL4w3gD
GZj2+Rk2SOrdP1ZvoBPlsc1TpuNcPJ+ZrglKZn1AmBlvjyINmmX8iII0XdQR+Y4Zug6TgSkSyOUK
RlQkyyAPasMHjdUaMo2fObo1uwa8ymzxF/w0GIqFv+1MrhnvmGUuX3o2OJ/vMqBQa5eVG7hy6LlF
He6ALFZVvROQcXxCodRgU+MfH0DUXkCWzZEl5o2pxsLhXiRxt/E7thfoLaYsBzXspFeAl+KioPSt
KmqnOhpLgAl5BQ9qztPoLRl2paQIRkKlUDF83c0AlcM0U+uZyZsyYaACdwoKXEt5CUcI8bSWjPJp
IT2LrcslHvo+u8Hrb0BK7CGEH7+IhUKYAIy1xgcd56jwz9TSynLYA104ykMfT4H7xUvoVYAUiLua
xd8sb2NU6NvMtVHJ2Mw56giHzfcyk/mIMOtGZHaGQQW+pYr998U2LdZDTzINqrAh5VFfiLfsL2tp
N2Yg92wzBkwaFsGf8tKgVCW6EYMFhFWztF9UuKad883TpSpvlOraFc2YixbD+gt5cK5jSKRQlHI3
lODfVhSUjt8/gkguxfjBTro8SfBzrCLV94tPbtN9D+ds7rAbxRhUjIN5mqswstxtKB43b3K9Zjdx
O6CrGR2nIaf0fYled2KXV3noRjPfRJmz8xc8fHr/YyQva9m1qL0lan9hLEPxs6fnh+koRGHJriP7
N4c3GyrzCbSjzBkOY/M9TNIWn0DiZj4YC9CJ6kDlbriNrIxbjnJCthjfbOPqtAeEbIbu463MT35s
2R9mIumbH73g4SacWknU67WHrXfc3g7uptRPlma32DXoubfS3sC9WLranPLE2gwcOOCo44tHWjZe
YL1hf3s2/MMNuKV58+LZBxO+PEj2IVcahCmL/VKx1Vm++UYOjkjjffESsND5mt/cBY4Bo62yMyDk
0Kvew2afVF0T75B9I1KaXpisccHvOF9mbmLSuNTTPMOfS/Na0/OBs5qCewTh9rNbp3WNIXOPIsrs
ST/eaB6xk+kA23hI89IYql4mBBzYBL0iUMaF5Q2OlV+lrij94DfA10lBD5ZDfGAHo4OAq/sFVk5H
OATwavchbRrFW/tJojkNS0OY7SzPnKDyhTObs868+9u1tMFRf2IBzOOh59BmvrT0O8VZsZE01jL4
QFUvoTEHAzbzD7tT0gvxLYLsBGjiNNG6xOZZQFb8X5my/qfGIktQdIhinPpfe8QudNNEXRt73q0f
wlkRkVVq6Mkpy1nhBrki5+RHcHz7XV5DCNK22T+BAyepfEF/NuG+fpd4FvSV4Og9GOZUfcmkY/Jx
NAW+OGwNqfPv5vnXB2KRBDhQQUgjFxme4IpF2ttOWdnx/YvQLim48S/8Zzvhj5P99gAdA9v9vbBm
hGC3tvQxErgOdNTJA3WZe0k9lur+R8RY0MVzlFbE6lKeaW8IcOC08da/nxb06/tqqk08f7aVWsPm
cR/95o1e73TeiFIqCLm8cKPAzZ/SYmtoW4u/iu6+fDlUC3kdZ1xPaE+6syyYM5YAQnrlZIaCy4HU
wkrNiyBS6KYtmjsq+zOJa0VylWOxW7FHth0fB5iMnZtsFdST0fLCZ7UvYfbtQZwuIwvn2cKWMCb0
7gtOWVbu3W6kW8t8kw6FiUz0uOCiagdZT+9XK5g8elW+dWb+0/OkzUKa/5RSJ+Csr8lG3MCebn5c
ezqhBc7OboisDV7CLPlH0Jq0gfzpW8L4EAvQEvo0HAjsFE49ZznXjbGakiSb1fCLknNRD525MN4e
4Ov4Az4bQj+Z5kU49z0QzRM8E7GoznrEN0efNiKFjFCQ+OKL6jkwvzuCvz6KpUOEQJ9fKn3/dGxV
7FbrlKjk+JKKzBJ0hH3kdkYI/jyqH/2o7l7O2UtbpZ/7KfzcXuF//3dNGF596H/S8uH/XTeHV13b
XnVzgLgBjP/3Dv+ln8Pfvdp/6o/18pd+NHOgL0Mg2dN+4DlosBFC/auZg+XTxVTBykBVKHNp/twf
S9ILjf7MHBIf6Ame9u/+WPZ/0R9NGNyc3BqxofwnDR1ODiS6BpBgXwrAYBlydZ4cSGdW3WzbSXOB
W4Dcu6gTeSv6pb0BJAx+cze/5kA5C8/6AS4qPwgBXk+1M/Ngo68OnPrCR5h3s82rc5NPInxcmYHr
rtvCw09L8WPT/qxgec3BPT8PZBsuCcWQ+6tuobdoYtEGNs+rcCiQ+KHb2OV6c25G7YkLKGslDkhi
HcDOzP3w9sNPbgczWMIPPSDoIOAbIcvrG7mz7EE3FGcXWz+O36uyQkJTogW9pj2RvtfxFj7Grv27
If+HKZbMFvkIrR8Ajdg2P+ck4zDm/RL41UVfOfquKNPxOz0Usg19a6/vEnv9xw9UDpuUx7F7ae53
SrrnxqfuYvQ/plZMB6CARkhrOoZoD4X1BYxFPb09rc4v8+rTRFAFpBxcXaEbmKj4U9a1Do69JbFx
jTealmyTigf3dts6e0asC8cZIV120HvWnklHnPtulvVjDYC7RKkqttrYSv37cXXdaddTw2KHbdPh
2tGh/ry6wW92Aan/67yF1tESzp+z77GaHPaT960rGPO8GqcjIE7ifbAqV8ZXQ1LawEJNF+zp/uAs
lzhq1zIB4pHOB87gem8hRD3SfkKpy2yAP61w3XxNBJXDLlVGjoVqA9oVW/QNLQBoZYRSoKS26mfn
pnJxJ+GSkjQJmtwhyXEPZrjzV3cLzlqpnRvUqlZ/mHy7uaLlir53RqXv4izEUr/1cyO/BSiHV1DE
Tc8H8lw3v+qF1HeKKKH2pDZFeMzt2fqUl2lIDmgcA/SQymEqUbKuVtLsXPpiOH+yS3WW7Jwsy/W7
0Qtn772u1+W6ttMS86DMUcaEnkd3IhMI+rXinOp50HfWMuq7sOjwMOu4a5+m3G2ftt4WFwpkpov0
PLdPQSXmO3sYEMeE3Wba5mHGOOROL7+iBdL3TV867q6a4/ZJpKO+tzrL+SDHKdhnWya/oiFx64t6
DfWTQpQ7Rcpz6DQwxFLfT17PSNvCA/0qBx5IK4v40cWS0++nYJFfy4l5DLaZees958MUsmhb0IWP
C9jHV2UpfU+fs/AAYCPF2dpkYxCF2krb3QDedv+yV9M8EVOUimyZ3mWFHr6XeWNlO08yWHeFZT4f
FkQhqItRgF6GfpxVF9T7XTUiOQ2D6TDSFeFTitfpMWiJp/sRaF8fqtVjn8y18r42Q9A+pQmS/qSr
wutw7cPHtsTctPPqjJ1BqWZFHubgqx6dLyhy2+i7aVrbZT8r04mQ090+aZ0DpiVNsYH7oF2iuVXq
CIw8OXQ/vRYY64J0ehckTX98nn9PjxJ7a0BTvMJHuR9Y6RB1KIRunj+DA6COqtXOiRtberQY6/vU
H+f9koTh2dRRwEapOR4KcL49YvKP4ytnQIMYzfSH2xedDsJ7Qf7Xo2kg+UPBXgZ2fjPioW7lLqgA
Ax9a+reh9ogbHc9nuPXWXSws/kJdZo59sTijP2vAX6tOLwesyNb5asP+7zskLvE9+mRZ7lJsmy2d
+yDar11QgCdwtOX7jIt4jpZ82LK7ZbXc5dPA9KfnQ13P54OLAGG32QWdBoFIMYdSk8OISuZ5+NCK
OAULXSnh63CFui4jxBj6AnjWg2rPxY2k6Uk0z8sxDld9NSaN/qDAsKO0jTEEwI3cePjWI8SuzufB
drt9C40JKaSdW0ul4/2SdkOyG+NZfhmB3Dz2F+BvlISZvpppA3P0giapdpPtNrgtm+0m6KfkO2Ji
50ahWr+ss1TdtHYdxhjCvPXaqZeKBdcWVpMNK/R53W7j9zBDhr3HGJtkezZ3eOnFML57THd0xXF8
P34UNQzf3qHpHHpB+sD13dfaweWdl+TNxw4EcuaDgk2Hq4ottRZy+J46/GFHXNb3XHPsZTeu0+yo
rJhbeuuz83UY2yfpjOFjtabYwfwkqCQ8wKzvN53GjxqX3U3rOe3TOhhtMqqCr7oJksdcKgJm4xYf
clxln/IekQGks0SbYoNEZ6T0F0FLZ0saJcWYz5ag+aBwGWxZXu/BS7zkzBFVIC8lPYjCT9vQOl+q
3rK2i40iL7gQqP/FEjntoM9ED6t+qVwhvm3JLNUBt93l3074fsjTCwD2D3TD7P5v3PDQuj7NkoLC
x667XEgxWfNe4Gl6ZYuv3fpWY3edzkC3EJa99sd7q9vh2i09+cMfX/uW940mAny+5cbqP0L/ufG3
MFiyHgatjZuzLWiycucmxeRhkyms66rMJqauitvdRg+kz6sfNMfMq4NbPxX2PudUndN5pKeBJxaU
J1hscpF2lPQgXDIrKpyZZYU97A9ZibXhgAs96W/6YFgvVpEHN7Qh4lrAVYx4vlTDd7vMw2sZwxfv
CrWxabqJnTIkdrAHZjJbaaKT6j5JG+cGQR6xtFPgprs85PfMGNbP1ZiG18PC0kQlKhicN1POO/kB
DEvWmp6KaVGzBbVIaGFZtjRSStyCeI+H+LimM3FwlskwnCNADK7RlCHxpJFQucu5TGiD6Qf6Dg8C
Z0kuXXnur9zj9MTNzkW8eV+3NSfgP4dAP50wd4JSmq2/2GV6R8MyjD8YD+nKOU32ORzSNu/60Rq+
1wJn/M4RPTe/u3Xyq19yPw5ghgstXrOy38Oylum+pBsLGcNKiXL+8loOkuXyvEtzMonYsri+fNrP
XHVl3x/nddJ340zuW2F0OjhbWa+X7uKqmi4ma+Xpd1BFrojsPmyeFrdr01tX0kzwkNEQtIqWeeOR
dZ+t/r2Hq2zgtlAQLxVEaNIVuB8Ce4bYTLSnLqeChhkR9t/1IbYa+aRSh8C69lZ+vbS9pmvUf+yI
4G00MyMu+s5D2Vj2ZTul1l+IhEK40CXUO96ZLCej1np09cK2CMqem7wLR+eDQLbRwm/pujjrsfxv
vElmZhRXCv115Mq1PrWB5MLsCVUPsVnRPKdhyzZV7LiSHgU3EKhUDaO72fR1kENrPNWBjO1Hx1qx
1TBPpJYPWCys6WFWAPZtlC1pkgb3ZQG7y1XV0hMB41vSrdnZWmRW4tABgGw5OUdxKiEeSDdKG8VN
hhiiiOKyyvbAwCiZFP0IcLiSg/hual8WWMVuRDXOEWwwAnQ6xuw1AqvLMt/adyx/d98ERJZiTq3P
2gqzSwvjP81raKLqIU87JsjC6BPhW2fltEjG0al9bWPss/0QE/QQR2AH75OAkC76ZDpz7MTBeOTg
/tK6u2ggW1HLlc59TZOoZkca0u8g9zKoVjKSUVXFX5Ca8iyYm/gYbk2FK66bsfg3w0If0Pqvuu/+
ssr1NtTecsG+JjGgu8FtOLb2razWeT/bVaSGtTrqSdIODcv2g8ZMepZzie7zLsVXDbrq2aP3TrtT
/Z7V5l6udXnJzVede1VhYXoUYxRU6pCE5bupoN2DYKpu7bVNPraWmp76xhU3zUyPzEgkNgmk7s7L
sITZmrG0OfdkfjjmMIH9JVUsLwVGxizDoRfm2ORrjG1xcKTd6J+yUyyIhxcGab6EmAN0tEsYhtWa
28jiBh526zSbCJLaRAjuK6LhmDdXU+daFyCXXftuKEo2aZUSbTLVsyO3OWbtY12mw91aYLSIZtLu
/dtllKk6fkJTaWtHXeKD+vkurD1s8OsqaqMRVMiN1x5b+Zz0z/Cpu94kvm8/55fqhwcZYb4DKgte
fora0kNqnPJmbI9lTX+B3YRG90M39BZ+IrraXSljer98DodvP/eX0t8M0PzrfIrKlE6DJ1UXJXkp
8ka3R52X6utooWCrBl3qswVrRX9oqnq9VyolFnezyXLffvprZgDggf9CGgsCjvNvOclT8e865KAn
tK44Ig+iAKGBi/sBm0hzlfsD0X5MWv5vtz1licm80e0S3J9f4R8hdv8TMO4VqvffQX//HyJ2CH4N
dfDfI3YPpsv8/4q+9g3/yBlo8t+43Y+/+i/cjn8Wil+FfBpDgdFP/xu2C4T5NyYk0kkjJn/+yY8e
rPwTXxi2we3IHpSH2IJtObx0tRfuf9k0E5M+EIkjXTblP0Ltnnt4/nyAQ2AQA6TzOxE5A26/PsAT
vSDqPs+aI3Y8ZzmEaUHuWdcZ96JR36vapcdXneTB+zAT3HluVmc3i0LHP5dpEOx7MTkf8jgTnxRN
yO6g6uqHeVAxlD/AUUsm2x59OItj29OlYAfqLa8yi1juFzW9qhdNC/M9FnvcvSkEibimQ3x6UziN
RY9OCLPLaevK7tDRAABj+7ouTlTQWFnv6VlW/zVUE0EPs7CHxnjwblM47bsijT0axerZOmCAFJf0
pKZPI0tQ53u4CTe9mPVA48FmVe9c+mO10ejS2nqiwwTUOxhJqDO7Pmi8i082bY5DLAvx+CdPcbjz
vRqZXzzVg9gFtKlI+cXlenjO/3Vcqz5CQdgUBzoIyGNG/13/IDa7+itjwY8knGAftVwScqQs/r4p
iQq2oPvGp3azfH4vb/aJxrPDp3qx/w9757Edt5pe0VfxC+AupB9hilCJOYucYClQyBk/0tN7Q77d
lii26Pa4PWl7uUVUoRC+cM4++a2bq4wFmMtcTTKq7pveqa+GvhuXs7mFPhawcKfNiBLbwRtdAijz
VQ0BpbcmjXMz53yu1gKl4mVaFJV4zVM4MmY22zdrujYvWuw411FRs8vGgKtqQcTSj86rmOqd7ZS9
J1b7ODdlc5VrrXstMMUl5xnurkPP+duNdeueg4Vp92uSTOeJdPXd/KOuTQVgH01rnRuF4cBllifM
VRZHHEotLuHld9p9VOfmEWaLcVKK1DzO0q6v8q5ltbKa5RJadqadzH6a/LagRwhSYhn6w6qUA99Z
M3ZGlbZfprVsnzf32lMDOMPwXepZy4cT2X9DF+GE8DAH6rhpcW9mEPLespjunQ6B+mY21jkOXXbi
ri9G40WP5r6n4gPiDYtGmT47aw6rptfc8waOQLxj9xafzDmr0kOEBG49MtnQl30aSeVcj5Rxghtp
l6Ghzk7FWt5ws+EI60GgipoaeWuTBZGfJ8bsXjeOoiHyR6f6UGmLeZFA8Jxi0DkgSjwHb+0qfEuj
A9zH86LSOitoG/E4KJwI+gaR1s4zpdDoKYM7tfTylhHx+yjT6CFgxoESMjV3dkASVl0ewJopw2mw
Gqkei5bC8UlvWLCeBP8DWJLL55MdxcrdMnU9oQTRBWum8Swdh/4pactLZHvxeSGxkH/NyH8YdU83
ytpUTnGp2lVg64X6gEAav/DKHEKFMR5GTJh2KnI1D+VFgfghnh7TAUiC4ib1Bf1qiw95uM2klgRp
0eiWZ2do+j2MydOjZUWxdeD2Vu6r2Ij2ddetxAsIo2x81tYNpCXGFBZGop0yMJD8Jio+w2FR0xm2
otRlsAwz/mEGOMda4pde3Oq2XiGsZH10zEYAGi6Oo9PEHj20Z3gm5oAhuq3nPUx75ZtYedIUUee3
0bpnnp/tlxRw/NIMNvqh+W4Auhwg/tg7QyYeETFBJJRSAoSS9RVNyq2GQN8bu5WfbYOZxCbQnhH1
CY8KK95FVe/3mPXOVEgRr9liowfRo2esFdNhpsm7qyjQrrKxxiSxgVHMoh+vNUA/uxYPCcyhZNmb
1nqZts6yLyhe/STpix0yKg3tNv9Ky5ec+UhXN0HurM91ZAt/KeyrtekuBtRfDOGS0c+NGsRRREpJ
ZinqRddF05XVFw66mvqLy9N2T8SDE6YRYiE6zsyvItH7NXqmw1rXBHCMo3LKyhQGXrGM1GLxS53q
UCw00jlye8Gd5MraK4a6e4IQOB3UMh4eMtkNXBiTsqeR+i47q9gvSbaEQzdp96OmRy9GjmbHm6PE
3KTPJdNmR1eP0qqn/GCUpjiraMN29PgUgE1cAxigKD858Gf8TZF8I5vE3ae4iIKsZBAzCLPkqrBW
+3LpWzChY84IJnTadLh1Ia4+ui1TGQOpVci7N7lcXaf9UtV5TQAK3LxP4IbLnSbHzoOt7ezKfnD3
6EObZzgn6pPbxUo4IDDyaxwJlxWBCmcQ1ygPme3c4JaqLnprVq5wQ6FjbkswaW4rd3G/WpedHmmz
J+ch104Qq+JzNy8dNN0V5IxiSKUN2saAotmC5w/MCZKFoBv2R10zLg1gjmzXkxlcFmEae5tUir3d
AM9DEAxNAicq6gCpPNIK9U9ccVUbpHJqzlSju7WirL6Z10G9NLK8CpyBMy0LLgNz2qmwvpCvJ+ZB
1/EJjL0JoSKys1ejN8tXWXZlQJ1bojYYoknwHrSWU2XzxvazpRWBRTTBQ53I8TZxc+cb2Ic4bFzg
Rm2kvyiu/J4SpPPJ0q3ZU8BVwNwSDxUahgvuqdzXIVN5o8Zzbl3a6CHuzP1sZC8RuFjw0mKPiHnw
1mgdfXJHPi3j4iLnrFnA293ntixwMBjqMU/mPOw0vXmNIyRmeabQMTpGdhjp8GpfXxdkdFakXbP2
gBDRT/lNpVmXpDxX5+XaybAcdEa7Olk0gw+QdGrCXivXyxhFTNiU/TcJJmSpA0op6ot0NQBZGGNx
sLVsBdrLBBWuHA/XXMDbTYzW8Qez6z0A2EaYVFH6GbbxvaJb9TZhU18S3U4PNdLpV4Z8t3LUvkdl
i/4zZUeg2M9VoalBKxj4zLkKk3aJ1vNGlQgMjfaZLJ9mt0JpnKo84tnZNOFYtXDdYoDI2byUR2Ns
jgKNgpdZ2kMK+OEcET3W2tTSdrgS3L2eDQnW1mzfjZBr62G+M9ekh6aWVAirhM9Mfv02UH/6gyHr
uwhNn5/2WCm8qDSWACLkGDIJHYCP9OVulkxrOsX5GsX6J412+1ltMeiRF1T4zDpvWm3guhJfS73U
CA+SIPmStDlrqvFHE/tql5NPXfCtZ0mUBJKPhHa7nw5OE2VebzaY1Rk9eaNjJXsqFvuWqUkcJMWU
7YBtzFfI+KNrwK6njh+9LhB7Jyqc1t70hd1wiWpOzD5x1oNOy5joNdkDCwvrNpoTvC1TKiSTEQAu
MmE+nvX0/qPFt2P9ZPJKP1fa3gp6a0VFn+63YrPVqqvaHuJN1A6IsP5OFs2hRRnuJYp6FU391VpA
wU0GQl964KFN+dIVLvjhfr6fenndaMPVoFQXVGvg56x14b6PZkCSkrnNCPh9ybjNoabBHBSkrEQe
uGNxXmVgUa2yrVhBdp6+2AJoUF6u1zpz4bP/NH4/8tDeDQf83+5NNyydLv9fN36XW/LYfwWf83r4
pe37+x/+3fa5FpFlwtqadmT1GBPp7f8RZ6aa9HD09Orm1OM/WL7/3fiZRNch1QCTwDCFvuynxs8U
5G9oKu0GuQKY7Yg//0f6yC+6GwLc3pE0mPavswX0RQBIwHnqDG4EkpK3Sj/0Bg0vKFs/X9mixOs+
7bfnXFDrqlcCnVJYsvLQYzzMTScyHkymsT4remFpGy/70I+Nch7x4gzx95e7mLGxb9drf1HH1SGh
KzzhDrEDs3Cts1pWCFyrvsExHitnQ+pAFzJL6w5S48wM0x2YVteZstfAVHqwoFpmd/3i8fe0nd62
aeWBWDT2WetGFHDN7CUiPuRpcmGxLDlB/iDVqo1uprW9IugqsDmPngny6YAdjTaN/YZvF9YJZlEQ
yRz+etx+k0KbApk1PelWXeZ3RrVcRCT+hNOgBgQ1fE0Ui1dw0StIkTOcrOq67kVNQVfF+h6GevXk
LmNGNZunwUpoVzF3V13OO4Yx3vC50wdjV9il4zei6ahfGJtrpQYObGlJM6kc97BgI721WTEEpaat
hybXXcg5QJKmhqCgeMiuOrSBftvnKxPMVPMkQXg8kBpeJyjVgjhVSJgr5UwrW/SnPLUvMHZETPfL
W1DGUzhE9h7XyqFBzu1FxWaBdWtEuwwrAz1S94A6NV8ky6MYxoX3+vYlmhymJ7RHHvA8hjqhWIx3
5RcQJQHJXOUJ2FJ61jCq9w19DuvV3imU8TsqZ4CZuYXgH2mDRyN2cCP3NCy16uOnaLwU8sDjYqTw
y1UpqLhwRRpynne6GbueMpLSpddJdm9nzXrsNUwceMZRns6a2Om9sgT9rJoBfke4zg4Tb4nUvmV4
Erpa9tLMjXnWKs5xqSJQEYKUBtl3GF6KeM9szvZc5JAEWChhnrX3dW89OvN6numT7cWjZe6UKsUk
A/iFSqr8vIrsJWsHc7/Fj7GcnapQdTPl1Oruq7kqWQBoUARcE/dFP3vWxCXhdDGw9KzeyThffD2O
cKjHgz8SY4FGusAiMYgj6gftZTFXJhhdfzYr+Rcqkjmc2aeFWZotB1HRHq9r5bBN41pIyXyh22jw
ma8moK5kmX32Vm2Qa90nXI8l/tA5CliyjGSbLTC5IGOFNRiYnZWVZBAa2UOnW/EFIolyZzhfYvBn
pxlBry8aS7kHKFj2Pt2WGdhFmgJToenFa0uAVU6n0aRud69WsxOgR8tvV4RpAYDqi37oip2T5RMr
1cTarcRhBEJX7bCaoaINuqJeM4BeQ3XNS9IBnMSXItcDIgQIUrMz66hRX/oprh8qgvg4iFE/owmW
AXii5oFmj7PoREZATIDtW7E7BQJnvKeK7VUpMvVhiUwVzpxmcee2RJwlDQ47uZIhsebVHfLT5Tqi
4T1pBGyQdMB4NvUnJU9CnLhTMA8ldN6iykOSavIdH1We2wqcc9dSzkHfF/sae6di5picYNBmlVMc
x9aO4ZONSmCvnM9m7cXBTorMSw31Ow2LE8zo0k9YNLd6a7hTnfQIsNMixcFGhdGJrfJuw0kl+itx
iQhcJ+DKJtoGT2/dr3IobtOFSY8mrwssCxtVXqP1VF5Lc112BZT4brAhs/Pf7+0KsPayYASs4AXH
SuezdGqCZVsSYCJ2IHCmn1vCSLzYWe96MPUHe9uKQ+ADP+rIwWfCvoR6SvncVS2XVGx1F9CodrLU
P7vttmJKiUoay17cRXjG/dJ2Q0maoMqttp/N9nXsCzZJ6xJdim7j5headoqcArZ/oY9hvkDEAGXb
bJ4P58D69qou9BfL6s9x0mTHXsyPDtJ6khWtwS8WwzpKNa3uXXd8oveeAjRWr1bC7GfEtOtPcXGv
a/LMNgegy45+SmtyMgX5eBeFTUKH2l0XCXt27BekTbTt966DW5e6ZsT8SpJyB280wMOShe00FOdL
AZQNN4TjCUIhD0UGJ9FIXhhPufeLuRzqotLOiEoDi60v7W5wCpLcHI5Yret9ywLnus+t8wy2JS03
4zT8k9zPWlzsOimAfpbirskJn7OGNqUhBKDYtcwaR0Nh4yX1rSZUg6Rsrecinz9h85YHe7G/1RLy
ehIXyU7qw4SpdlZ2MX03ut/RvRoK5EmxzaTCNLcPPl00LUu2AXkP47TbOlvrEOnhbm5TdFCWWWA0
U56kS/ADKMhvBtgJnoVSHh2c3jxrUmDAUcSkZZ7TUzKa0x5UYRVOjkLd3zklozDdoJU2xC62J2On
F9TQgH21fWxnT4SaCoIFnPtl6M96pFVeo8TfDYXkjKIqoh1GF2YXDY2GqLGFaGapnkhU0b2aAAmU
H3W0w7dSB5OzrEb1hXV8NTyY8BMILYgdBfop0xD2fw1xpS1mtUcWYOCV/QxJToZVlquvdK7Y3bsT
s19iULebjM2+6A1q8DodNd9uLD16MOSEPxeQzdLRhoeir3l6g0Zaqfhzr9IjcQtF0La6Z5zf1Vqd
YDv1Nn7lett6eVVWsB/Fctswheou/lNe/9/Kawi4fyyvX6f/OnwuG6bJ3evPaxWdKG7+5T/WKupf
OA2IG8I68tNOZcu1E7DmHNVB1fNrbS3+wsyrofek/sNnQQH9j6WKqf9l4bbCrGuwJWeqZPxbtfXb
neg29UBayhyAT4Gz5deViolkL24dez3klUh8g5GDx1v48aeT8k4B/5veejsIQmvsSXxPxGK/HmSo
RwXHtbMeZM7cgchU4LT2iA07N4cP5M+/dgpsITmUyWmxsWPhnHnbKdRlNGMENFZWREQBpVBbz3SQ
9B48fxQacTow1++U/byiYnCdpf7g8L+vmPGAbf0KxhJ+tLfKYL1YHTFZDB+zarrXS/vJgZj755P5
m9rZ4RDC1emtNknw2y121ymLVCOtPdAT3M/CeOxdDSCdrgHoXVuu0n92i+/8clgr3l4gyLh1NPcm
udSOycrr19/OiFvTmt2+P5iI9U5xXmp0Rq5SMjmKylMxmg8mXDNQzXE74Gw0eLbRiLiMwsu8Kzty
lRHw2XpMUFuSOflRTraLmqgeXfSsRcHUou9dXmx6qzXIThOMt3gvj3pWGl/0jIc9kVTfKxOsP6Ig
VX/EGYvMYHEp5HIqocuEdMPAYBMYSJDPj8wiOjQF8RR7tJMdwapQ5e8tkB1PKHagaZSdcQMsWVyJ
ocpvrS0pejR5Zcp4iC/lWBHBU7q0lo4E6KeKTfq5rsfciS8krLqdUZbfTXKp69T8aq3ODbFfaIIA
dZwadX6JeT1xiMwKFcHfLA2GbXmztvu8FeBTKw0xTTa9dolL2luWXDWLpfD6r7vQ1EsZTvVkXc4z
KVKuYkUnnXxVW9GiE/lVA62VTWcyjq+Gpbj3cGbSYNGyjFFwG9+DsCl8/MG+6o5M/WsUMDM41MOK
nTTMQEpeVP02JiN7OUL0dSZi1crDiYXL4sfTErvHwcnkvEtr271vbaQXCQYPX3dSm0FelqlnFcA4
bVfNXWc9mKjmnpJ87K6qWuPvOPOs39daPp4VXSoPSOZ7j8n+UPKriuSMUWGHUkcVoc7cb1dSaiGj
abPrtiYDhpZFCxFl6bsRmMwjcFrU9CO1HpQQXT7LVG010C6Ldq4AAb1HgbmGRDpo3r+OD2rWqrum
0jxHTGo8/4gQMqWRH3CiaRfabFiHsuJaaLccITlUIIdL4znJO7F4eSpjQtOM+WD2qXsDcCHbKwYr
iR+hQrJYAr2Xy8XbYKHaIu3QA92A7HsW6b77Z7oQUYnWdWr3pKwbjB2jwQbPrcUvmcyTI//saR7Z
1pURqqZmummW/CHTULIqIyMGs6zGs6GnKkjJs2FpFE83SjRpex3z9UGDTUqsF3Nx0fTtGd0rchuV
3LircuG9wRWNWNIj9Ea9MaJ2+Uwcg+oX3DTnY5wx2Ygtfc+Wj/KPXWLFHgLFWB61dtCqLUeLWb1w
vxCz5lOXR7sIxS0EbCd6dvIB5rsTu3uYJ9PZnEEht2s5+ZarIAce1Yh7v1Q83YQobUbkepUihzli
FdNp1RPtfMa3sosyy32s65oAwTxFhmQnn43IeHK1dQnjYVBvU3aKB52Np43cCZByfJdvodAa5lrP
SNcTawYkw1HeeaupDCDJxjxoSUzzrTUDtNM2N1kbFUHVrt9o4HrHS9R88ZwoHo+REstQU9SbeZG7
Ya7jQ6Ygq63dZtqvOX82xs340GmQIHk8TQqQho5OT6+Nz/3IVLlmlRkieW2b2LhHK+0CsM+xvVT2
2F9LpTE+89x2jmk50XFopJbNROuECeLHDT7TrJdRkQ+UuVGzPNR0wuc8kNYjdgxYdLpAqzX1UB8I
65qcqPZhQZBVpybnMaFZCS8A1P0qtP44RqRQlFp12ZfOsRj1B4p5cBGRVvmx053MzlGCdVUYJOWK
cxFH+WtE2pS/EjJjY3//LFWz+YIJYbxqTAKpPIF6L+CRYF2lSzafk7NaHK1SZyIEQiWop3X69CPL
jWqIIzNnWJgFW9xAnlLN2XfmDsWTxrrgPrJX88ZYM8IjCloOTLNIJjBDG8g7kyG0Kq4vbbbmbyAR
lKu8rQpOc8Wowc4eRSKqAxEPNRrxrpC+Zs6mDz7gh3Sv2MvVNs8LzAMtsv11vCp7RznAWbP8trW/
4isjVG1E3hUQxZMdncyxt8mHBlU8Jc1KNxffHpf0QHK8HmqWm0BXqOuzGundQQxCXBEpmqPPj+MX
R4RlnLK8XIjl68dkftB4ctHquw4b3aW4N5yYkZSqbcl7Q67fmS2RFlNZPg1sRF9mOvJLq7PWp55Q
G8yeU8psvesupdYMu7ykaxsWOzuYOWkyBbtGhuf19yrvdS9iy7qz4qg/8n6cjiNsN6ZCc21bZwSu
koUU6EUv/6eu+I946oMZOmjBrUr8Z1X0m91xV9QEJ/0yPv/73/xd3jvqX/wJpucq+OJNAEWN9Pf4
3LH/YmxtUccD+8M7jW/xH+NzQ2N8rrkIHfgAUMcMasm/dVO6+RdqKWC6XLY2a0b333I7vpUFugz1
TYOiWGA8QpX4pvqOp1ldnaaWTLAocngDuMi5sdC457wUXUJ0RFed5xbEpcBNPhRd8gWbnzRb4PbA
WTuM7FVqclDSbxoMAohW8mTnYT8xNSBrBYmqlnIFL3ZaHn76Wd4pVt89lLv5R21GC7/1Mp2BaEIr
xbA3NTwTha4xVO2TJjQcrf2gCH/vUJzKDSas8aO/lXiuGhu5xTQHEnlnlp7G2gY4HnN/mO2P4Mpv
OpofJ9DgOyEk5aIAivlrAT6PkPoKwQl008gFqazfkHJjfefxEjB02d68jGvaCBF1QwzLB6JOrsHf
fj0D0sO2fLEQ/mzNyE/GwwFzSWQ0wwDk3bQ8BGtJWJGa8+8Z5PmKzFxJaiceEnvIb4b8PnaMfmwj
uZVNiNJMHRMNeV7UoSHbSET3f75O3rQ0Pw63GeR1sDZcJm/diQL1q5Fog9zDXwHknnevsCW+I8gt
Pd5UZ4w//xamohf9Fxus304jwA3d3VrDTar5tmeLkjybHIP820wVAomKW/BjuR81n286wx/fS8f0
S8SA6jIz2C7an34sU/Liz9tc7o10BDSrKOfgCK8WTSdjmFnf/4ht/+V3eu8s/ny0N5cGs464BYUo
9844UYwjAYlHBPFNtkXPu+7gdXn+5c8/3BsmrPjxDdlCWhvzAwTH20fZkuSWQ6gT8ceJhSK+NovH
mMDaIylgDt7YOA9ke8v73UGKZ/bfrEF1To0wDjLu6v0o3TGUsz553WQ3X+mzlOOC3ZaCaWjvtvxp
Ut9idEnt+sGDSfv9NkJZBgBCs5hMANbf/v8//TJOT61dkxqwx/No5p6pTLntzbMYQ8rrjRFEWnDD
9DBA6tKEejGbLyrhRddSIx7OHlaMbE3sXoHliD+4F8S7H43n83aHY1Xf1sk/f7TMBZa9ktW1n4dk
W5KIIO3IF2odawghGfYPIMwIxpwsMlbrgrkjDMXuvI9YwATlPKCEwR+A34DpLVIZz9Aays3KATSv
x8tZLPXuUrdW5bjmEzjtcYAhZm8cUIJwHyV2qMeB6EXfNVCSdKZi7xClpShkOifE63wa2D55RFtJ
f4iEC0oVfrOZP8jJ6S9zczG8xVjxuRiMzSdluKpdJlltahMsbZIvM2MqOFeTRX1SkGvusypXNkLU
93wxbgeyQ8hJivPDgIviir9c7f58tf5+g8A3oDDgrkeM/5stnXw4IcW0/eh9cqnkMoFyqB61dL6X
a9SEUpIk/v84otgE2miut+fNr7+l280jYYn5sO+i6KiBZSm0+KtbmecsjPGuudanPx/v97egI2ye
NjDkNmO6/kaP3cfuCMxfDvtsIfxTZ/hxpF41QkfvPmIm/36ZOvSsFtxeouo2ofmvXy2WYsymseYt
6IzirFZa7VhPLEv//IXePQpqB8oUAkg4h78eBbQPql1wYnvF6lT8f7arHEATOtd/Pswbav/2HOPb
4BHB0U8SKm+/X4+DH2rVrMbt9zOGkKDW+mxnzWUcsF1AxRP1NiUFF76Ke/7UOU+dHu9rM08/eiwZ
HObX2mxjaTBmdrZhpWa++f3atibJeLR7dkyFHWJJLHbRlA07c0L24Bvmah61ijzXTq1ffwiZ8mGb
yAl1vCADwTgBX/kQ+/3uZwIl40C1cqlZ37xWYlNRCMcy+j2xU9VR7UToqhJncTW0l1HfYBy3ZfNc
CG5luGLLldwyfEgrATfkVMgpquIVMN54mTvI7tfphamd7iOjbO4WoKLYMFMaPYiOp2ohmFkdPiou
9He/AJEHjOeJwtikL788UIkwd8uFneGeHfht3NnNTk5m/JDwFPOb1s6CqNdU9pTWwBurK09kXnxm
zHYP5cA9yiaKfFZ4I6qJ2r1BslDfO+b6uooIureTuLupiZdgQi/Iu2JgkZcS0vbB1bn97L9dFj99
gzdXJ5tHPnC99PtFyeIT0I7qNAhszliIgyHteMhLknYZCh6NemGdjzzmg/vQeP8kspPAfcjk+u3t
7iw8SxYh+y3JdiCjE/fhF8qqa9vsUfy56re6GOcn5ELJ134DPI4xizA9CXLCxLwx7ne6iraGDER7
ixafcFTosvETDrifBeMqLK/a61JpGo9K+8428lCABw+YrD5hR+8O2ijUc0VoxaYi/myP6p21cCBS
l6XfTC6z1D+f899LN5IPVTY9VAhYb96uLQQoHcI2eSC0WfFURcRrZ0WgrBgm0Ngb4Z8P9s5jG8WW
oPM0bf7wW7J+X5BH2vHQ2Tdx9d0lWIe39phhTvt3YTTbc44jYQtzTdOCSPPmZiaVUBIQKLiSuvg+
ZzYDO2NlBgarAWnMkpPNrFqKcyI74SMm1TtvX0s19Q0Nx4uJwvvX23CI05Z8YrXfS3t5jgbnerbb
Dbz9vbCHL7S8VvDnk/qj9nxz16CgYyqnEbyBnO7NXUPaaj+nKZcsbXh1Kw3qngVlyFKhYofL/6pG
5T2KjTmIl4bixnTwOPZxF6hUK3/+KO9eTAJuh60bNoEcbx7rqRxGkYzcv7j5h0BtUB6YCRJNJa1j
JFTZ9z8f7p2XpqVSOW5YOFSAb5/YlpvlMcIufuSlm/cxewJ/hRX8QY/47vnVmGRwJXF6ofn/+oNm
vRbXmtn0e3pkWMbjTP5qRVSbFTnKceqJNo9HMlEhbxfhFCFOYhpQhPOonK0r/uQ/f+ffm3LHAtPA
BJt7yPltzTgtUiBAzvkw46CGSYztpu/WC8TesR+XJB43fcms1mbIW+dS/eAG1t67g7fVHwwrKFrm
22ttIIBcN1CT7MHTJ18au9vEdV08XMGzEKUHxt6y/FryBxCwb0AAiFeFCNQM3Z5XtnaSIzJaposx
MdgU6cMgGWRuXqQ/n6V3PiZmUHCY3PrUOW8toYnipIuorHZvzVG3k+Y6hmbfumj9RPrBKXnnUOwm
UY5CP2GR/XaPjTiwZ0Zvt/thjdjQGQu+sYrwLU+x1P/H16IGZcFsbSO1355qzYYCaRyz3Qs97W5c
oVm7erGjM1jnTBH/OWh8Z6L1zkOMIzEWoUS0GWq9ueb1NYqzWnIktFtxEA1Vc1fGrR7ydls9dS5N
z4Sh9MHj491TSX9tWnDgcNK/eWjHsVoNbiLa/aJrI6ubGUZEViLAUvX+g0O54p0XPZWGis7BJbqG
J9avd7VDbLaMV41LxCTIbIdYbOj8NDEnXAplVBW+1fV6YFGTsw4wxknZ0TnKOVxn2yhvUOtzc6UG
M8Zj1C/Fo97g9EQqljsyaAoMfyBh2uRzPWHeyIG49rs4KSAA9ShDybnmKxm+bSGhCdxRTNpuMlSy
qYSymXOWzl7DGvxAxi4s0e4tqUNdKMxZ6LtMI70gNAjf1j+5BNmXr1bGsCRmfaNaydmMqDja0lK7
5KEvam05otRyxT5JtRLNrdpop3KdZ2Xfy3zsL0VZSefCHOQS3Vi9VlQ7/m9lYlPagXPxpOligKny
0YwvHLsSdrAJD8FoC2xYI0FH0amrlPoAfqWKvCXudCLok/QR+ppBmrQ06+yIESxufEdC4954DEsc
ls1SdefZSDsJlIrNV7Fn1eXm6InFMgc10efqWan0kcrcoWz0oCnFVlylxPZ8tnu8c54N/cZfHZDb
d40AR7Gvhz5briccLXdVanZDCDLItW/JN0HSJJcxlkeKWPZmzuymO5OkWIKTmnhdfWBH7r7CLVWH
BUYgZIWK7iJ/gtf+gA+PDVpR1obfm8mosUZp8Gc68oY5706OonmKGr34VOClux2A1eP6yGb4SlkR
Gq17xdZ2V7U9hk+7uo1shqhmEodg0dK9buYT4NEcUbgcT8a4TD6mw89ZjmJXSD1CdD0bO8y230xD
mfCtLLjizM7eW/2khq6ZWnsT5oNHxbzCQHbjM/wf8xd7ABNkyiWDnDB+XltLHEZjXr1xxh6VFo/I
6kMLEPa1QI+AmLdKr7Eyrz7aQu3MKYvkwpj4PegWSDoHwTWjbtsLRbtJU0zzaGujY+SauT9nuaSo
6G2fZEyB4tVeb4hgPSIIRvyyEnWbrvnmiPXnyexOOXv6AEZTG87oYr0siTDY2Xl5NhkYHPllryPH
vC2VZA61yUl269qt/qIMMoh0qBwrpettFBfNS+X06nmV2GzqB3Aaszp03y0Fq4cyjE3gMLDG61WL
Iz4SKDMQ5I8YL/UjvHycrvN40jWkBqLRdrlYPpWqbD8BGjug6bkjceCTwJuM/pRlaCejT6WlxB13
ICvOUdrVblTaKIAre5+7TnTqIyMN8L44oZqZCr9Di5wvcxEY0Tfcpp0yXrdx59z2cua9aPTnwxLZ
XjGvqbco1WvfYvl2jCE9wOkuD1XpjN/NnmjoJZ1WJlw5KiIML7JuCQ2kNdfVLiZZJnWH+7wmD8HT
uXieYM8Zc2BDVs15mfKQyGI5PTec+0sigFLGI1HlObl2VCX5TUo91ASOr84Z/0sdztwQYYRneOnP
kWbEU/+8JJ3dtx70IMTwwdrr3TNG3J2aQSnxFJ3PvLcVvf4622veHIy8wExaOh0+sqXWbCxAijVk
Xm47cMBwPQrlxHhW7RnStumh6zhT3pBXRbA65Xj/w4auF5l+H6EASI9ThuFMuGl7qU1YCZEoToQZ
Yzs9JWmvfrHUiHqS+W4T2qtanDW8ZL8OSBbR3i/EvWeTSI3zmUC8O3PMo+8uw33pUwWUNN/RqAbr
4swP7JnK713TWcj8y157qWa7C2jRxJVbgYEjBxvMFsEl+4GK5d5ZzOx57Pk7i1Ig5B/09rRuSWXp
DPFQJ+P8iSkca5CsT9BYj5IrITHc9hORNO3XtjERNsxK+8luiWzPumgg/w5D4y5d1P4JmwRJ33Y9
TQHgE0zbcu25OQodfWmumnkQW5bwMwquo2xFHtiMkP+bvTPbchPZuvWr/C+AB03Q3aJemUpl67R9
w8h0QxsQEPRPfz5cVf921T6n6uz7feNRjSUhAcGKteb8JhiaLmz3BfsmeZQK5B6BAsnwsYnHZNkF
2AuJUUrGOIODhgBpIxkNnlSVlus1aIznhIClJ1Oi16z9FuULTjxlfKxCwVf0VRGmN4m9cKheMXwc
YFmNDO/j5JoFwOEIO10udYe5SqQAPZWjsoMwM+9p6Gx3iahEmrOn0vSajxrfPIPJHY0z95q03Kq7
qpbLfumnYk9+E3HWMHaTa1mqVY3H5P3KTdRwU3F2acI350KGcL3TVL23Q9I+iAU7vM74vbO8mA/L
XM2HgJiQo9GKmaB0u3lQbqveQbVV7abyFjVArcOHxi+bHd1J8rYG+CWrFc1ZWWCtlkGr925W7ScG
7PZu8f3ma22hQ44W0iAR0FYyPid0Iw592Olv4ajdq1gaA+lwHSbXKXNhKoweOoJvCxCjYOIJPDoC
pt9oxWDceCyv2m5SO42UxBx8qylks6DvY42V2rSelTW7V0DM8Yvy0gSAVV9/8RKv2HZ9SriubSyx
hauIItLtHRtlStCc59aMt4nRDzet5MuT3Dy9EGXKupjE2dFRvFqZRnLtw8ZbIpRUVOAVqJircJry
RC7kClcKaeJss2KMz6ns+AtEswRIOsay2+aLqjFqc5/Txqr06zzTtA7QlnzzE+Fu4nhGNN1261Xe
p6pn5mK7T5lMB9RTHY7cseYgSxcoQ9C16s3JU+/JgDhA4ko1pldiLZC5aVG1n0qyY+8DT/cfTTUV
j9l6unE8BLcuGIbHRgx8UGFA7PN9NNEUGelVaH41iEszKm9j/mEumJuNSbhVRNM+frRlLk6NmVa3
njPyjvVSgBQwpxd8ZPrbMg448peWlvjOkOn8w8cDjJgIZRrgQNfSGP095N0bz6j9ipV8kUD0EMM9
ipQtV6R63cwnOaCt4LtzJS1G07L0eoIrjTUrvZZFXlsbaS31veHkNHGHueRcm3g7BuhDdVBtQhSF
dWCwZ4K8lIN/GgE01bn1USQrAXLU1ndvyHvERfbUPLBaLD9qG+nGBl4InvU2d/vvRC4tLucMW6yh
FD+Lx5NcH8wRv0tEPqb1vNil8Rh2JquZ7w3fJxU0D4Rz0fhvbHWHiQnCZB43D1YXJFfkRpjAwxXS
uYJPWcegw83Y2E6VkXSvDYZk8wHLqmaNrwvpnuq55sdDVnxhTxzvFVi1FRti+/RNOwdbdewEXxYd
dHexVMlhIJviKDzJqeGxeeu0ougj10+ye0+Ax1CV0C+tGmJsKekP6Iv8J62U2saDct7dMCHoXUEO
VAJLse1M1cYdHO9g8XtFTDTFtuha7sPOkfMjmVcrhJddQyVy6KFlIjalUT91obgMwDyZRZqYHLq2
3Y59mJOPEJyJqSexS6qWjy28qzlK6y71JeuGszBeNzPjMnmGulazGz95QGBX7EmPgSeTS2RVDBsb
yzVPbtadh3kuQaP1w8VMxva2SvzqnKTVHFHqUwICssSylryFbtqciKybHot6cL4NpTg3mWmxpAX8
4ehmV3koXadO3MABFa/U22Y0E+PzTj4Wc6a626d0lk9NXPtMy1IK0iGv59eAhNdHs0rHPaFER68u
m22IPwBtYFMfg3F5o/8nPxfSX/CUIKZigRGozzx2OBsf6AfOgaLQp8IwnWiI8ecWUqi97nsGX1av
tlSo470ICvJy8lw/kXPqsdSFyWMPRx76ROzf9ybmXRrTc8SmVLyFWeh99HRXHrPM/zjlpjzQLk2p
AynlIpnNdVQDb7tgdIxXcMIpdhbrHXbXuAd8ax5IwSO9L+ud7ThwM5IR10VjQaswmWfvhuJCvObC
RV811XtuJxbgGkRolHjg6kKiyn4MRW+/Ynqz7kIZLqgWpHhW6ZTDuMX95bJ23chYlx8tzHgPM6mb
excYLsFq1IURMQAkQ02T+r4warI3KumyuybnMsgq5NyRMVXIr5SC4QGFASiAytsNA4QoXDp70/se
Bb1I8rd8nopzMlbHrmjwQrnCuK3RuD0spv0KBFXuuRX3QINQIjPVoyDz+zswDvFLWdSUGWLYFyyB
eaSCLnsMzBZdr3SCGz1nrF5mukvRzkWF07pXqfD7bFKsNgwtyuU0z/VwWXXGFTWaUXDDedVZJVN+
JfQkRYUKN4v7roVbFJXEQgLvq8fhEsZd/knCUT+4Fg14WmsQHXGD0NLoMwNMcOw0tzPNbHZ1/oBF
pCf7+ByOmfmIxffc5v50jIfV1qeLS8lZvtEVFkItaphsDHiiatTdLX1fwg11fiQnL/wUMjNlnwNG
quo3MnWXTaOIlcv9Kg2wBXXWpwnI7qm2/Xdr8b7Hbd18oWItv5Ra1ixa2ngB32jsIUoku87v5cPs
UbGURBox9A67lUUYp9iAzAnOAXnoZ8OpR7EdfFP7R7+w4IaRU1NfjXEFRFYItq+0b4AE2UGOUrwn
OWnhGsXzKGVePdhNIB+8jD5ylM0soITbdd9KbZvvFfCWb01sLmpjG7xhgwrgjAGsfpqFHYyfWioe
zhuxc3sJWpqnhOE5p1LBsVxCYpV4WtI7WyApowWlIXlCxQ4wEnVeFyGyFAjhARdLbNffdK9pIui5
lz8KCEIQdZYu/mLq3Hon/4AnfS2wy+lmir/YRcsmnLhgUD5qifU3w1VQROyFDMrdUrjVU9lMLAw6
xaKHX46M3r0IRzoa/ZRyeaREQE1RXZX1U+r1BX7BpI6/wObiNaGaAGL6eViAWqpMLiMS5LpiO2iO
cpe7yKW2FSotn03MxIfmoAn1TbYgetxqsxrQzY5YjZI9xSvvjGVqqk9ipP24TQVBQAdjXkuAjgkp
iNxJhrd5akJg8lpJ0VrGHmfJIOTI25RTH38Z2gFYTdJn4CrjxJU/7L7nU/uGWLvtKJzwy28/pjsg
xY2QIFnZZtFrepkPKp4U5sSrDw5JhhsHJ1WBc2xtCuCVqZ5c9GPVocxy2j0oC3AXVCSNH5VFF+iK
4Hyy9uQUujdz29VP7oiiglPIvHUzxg3fr/Bd+iGtMov8RqNiGA4S7Ex6CYdu+DEgQ+ZWsl2FX9uw
0udiHuxD1VfVq7RCYq78sIFMA2D/eUyVnsnkFVZ8FT1f+mgPJsdIVc5RZ1XMyfPmqTKY/yF93XBO
uHfp/acwxrFygS0xQNezSNj6W8buhQyjkYp41oP+TphcXh7Cvm0YYIQyyw/wlO1pUwKupN7ldC7H
iv4fdCDsqBHXIRWdmwqVn0yvpYnSMlvJWVwyt+VWx/LPaw2eXxtojTF+sqBHVmUvxI1e08HBuL2W
kKVf2R0kMzt9sXJiKJuyNs/MpNvjKHvnQSbBdIuWKfu4LOn4Mtpi+K2t/l8N6j9oUNdYi186w/8m
QaXqo4D62v1P/eN/iDfs5Xv2Jz3qb6//w23mfQjX3EI8XetUBrfQ/8pRff+DRQMg9FcJRcjAn97u
Hxi/4EOIGDXEV4Y2jqYf/+t3OaoTfAjYoK7CMm/VlfC//gOaw18HOXiIgEUIzFE2GjXPWb/5r4qj
GZGaRQvLPBIdtZHJjzIxrtMM8ooubMUTWmbmWZvxLoz7T2w+otz5JwtVuA7/fpnV/TwEx/OY0fOd
beZWfz6E2vWwVweJCaR4Nu9i8WkO1a0eil1FI3AlAJhd029D5qNwreKLUrhAfFvQlbI/i8HeLBCA
8ZFezAWGQB3sO1qVyrfumhT/nHBBfCvwfVRZAC+/CjpPWZ1GPbQ1o/iSa3u3/iPy0Uhk84sm4jQD
YAe7YXbDIzu4hoUT325j0m4Eqd6xFzRa7Thbs6AD4lQf56CIiEl2WH0CTEaYLGwHqRWPd8LYHkQH
MDBYEVmBcXHdHHZB5+idLm6F0T+UadXvpiqh8Ay7By/8bDnGTif+28LjeydzlOYe+aeev5ENybpp
ig6r3A6T3LR98YiN+BlK1kokIrGuU18A6ZmHrOzvE+3f5FYF+hutVl5sGo8GprdwGGPXsR2vqq9y
EuahyAMKU3P8WomE1kqvb0HnuFEJ5F55mg9b9lnhXBNo/f9dXH4jwfzD4sIdti4B/zt3+rfV5fl7
RadTf//+q4P191f9IXG3PnDr+yS6AGL513oSmh+4j5lBsswg2eHPf60n3gcvQOrK7IoMKtNax8J/
rCfiA+IehFxox1xUPoxy/4P1RPh/mSGhL0d9hpIe3QRZu6jm/3w3+3ML63h0q5MxgEFUB3aZST7s
YmMcKVgkML7Iggk83nY2hhVJB2Fr6QkvCuitYyMFvRc35npexVp3Gr/jMxSrYoeoqNomiYfYY2wd
vCDe9EmChG62M/XKW5hU1slWJr670IX9mCZi58f+t75S3YldTHJwoYht4bk0GysuUmAZSI7nwTQj
3LJkT1JostUBXUjibEAJm8/1J6Ga4K1qtTz1U7Lsaevte02UhNkN5mbIs+Rq0Z05VnMGaCB1Bia7
WgCoRr1df2KD2BzswVjOmJRWoh8r+Xsc+CqN6LyVTSRBxlxY8rqXIu+C2ylfzMd+bO1tVfoPQ2+F
FzMHRxJI3C+QmNlEgTo7Ln5PFy8DyIWeoj20flwdxww9YevMD7Wq/VMLdH/vGbirFtBg18oPz0lV
bN16Ku4xjEGoiu0isuaRrNiEQIUeO+RTazqsp40wN+YiBIm9kz71ejGOxGjD0yxS41xq2iVYhpdN
Cnp6q3OzvjRe6qe7hvZNHo1j/2zBr9/Z7B1vk1i6B3z/cm83jsu76uVBDba++JkBd6y3n9HYTV/n
ose7NZJwH/uFfljQ3QCv9sq9h+B0a6hpfhRZ7r/3MK5UNX8xZaaB/YBmY9uMY84O449DkNX7PI+9
b0HmFfMFwGZ+ocoFAwvxJ91MgDt2zHGGbQZ39qi9tt03HmDJGRk8/WHXBh7AqtiSTPIetNX4I4H8
uV9Wggk8R1ntuG8E0a2jhgKRq5eU4MsXKvL5zfCwkwB4cM0LqZjDDVt0NAbS5CRnIWYHhdUtAihA
2Q4X9BybXnWlTV1fgDO/pJOhushwRHNkFFg8THVjnEmDH662bKGhNxnIO1UK9tAZWFL/2Bt9Nu+Z
QkLTDZEuF0g7pvEM62+fVzZh0svUOuT9qWBjQ1Jb8ZS2PM59AIhxoXrHA9ib1YYBhdwy4BpseOaJ
T7KEzKLJXuQ9Xbhj6JJplBKje2k9+42WiR/fNk45pTfKKl+9rPUfZe0eYiOwjJPOehHbh7JDKu1H
QzhW4VcCO5psl5BRfF2A0t7r3g4kwlfSB25F1VPtdv2Lqybnvg3oKvc7+CLPyCzzXdj21i4pq/A8
1r4to5BGxEy2iKceFbukHII7U0ugRH7RvthM+YppS1+16igAPL8mN4QBpTa2kjaGeWWh5HeXg1r2
sZfD191hxDU/L4SGdBuTguGumX1M4SZS16bdaXe2HtBX9vE3ug9642ZLGLHCRaklDLEzIdlx5bpF
FABGwldM5A4jv2FFp5tdmL/7Rjwbx6AazPrk1uVoRLiWe7Z8P8NqVlycuIy4mQkNIUepQKDBlYKR
NoG40ZlDVDXjdF91vvgGkbYrDpBlBwDIcwMudTAyapoOFm+4q9yCj1wIqfAiOdH9Zd6O67nQ6yTd
HJk/sPatiO8iRttlhxqkCM65nA4Wg5z6SsyEXXtkVDWp090U5eia2xomAKlUk5/s6BV7V+ws094V
wIZNs0SM1rr8xsBl4/mZTDb7pvUMesNF3TbmZpHhSKCw412YmNDFy5isM5WPt25Rim5j945/6C07
PTB8DQ512hb3lV3eLkmIR7613Pp2SldbslL+nnhpgmVLuALcVEMGeamveivqcs8+B37L0LVi/A9C
lfUr8bJdm2C32Zs+aex+qfKdZ2sYScQdGZFnVNWdn/b1YzD43l3ngWR2mRtBaXTCm9kJnIhsWmtb
TCI5dC0syWhZenhLUi/z12Zu3nlGtXfsDb396Mf0vQeYzJFtNuYTEol4T9BT8AL/TD8IYcQ8HKoS
g6Cvr0yDSDdge3ceSDb4umBIu59ja6t9LzmxdMZHei3mp8K3si0+z+DzYOEmZC9vq2PuNtMN3cjl
gsyIAUQzMbwY5xzkowPxs6mHO5KS9gAAkRJ05pJvOswziggER+wYbC73CMByAo/Cgy4r9YJitcNW
MfQHq62AkA3SbWA6Q8hZtEF8UEmv3IfLnG/byQ5uMoclPsT3tFWI1KORz3+aMLdE9irQSDAk3Ks5
Aa+zpMWOwW5y8PgCa5t4KCNrFClL4yI+OU5DIsPghuptCOzuYvmL9X3AsLt3cU/sCrzrR083zuva
L9zZYZ1sFTbrPe02RU5NV94V5th87LkPL7Bf23uXrtstyveKWr/Kb8F1ZofGSdEV49TduKDljuUy
fGkCkd3StU1fYxi+d3Fs4WrItUclIJcSDBOW61o65p2emPJsMu78e5fW3AF3S/uGmANbP9MitAHd
QwtsCI6CDLyThM35sOaD31h5Ub+POmkiNUkTXlFtnlIzeY3byoM6Caq1BGwaGcbs7MCjgwoyLXIw
qtjcCZpNFzfLzBvH0CTY8PTHZI6ZfSsgp5KCZXUvht13AfyxBKS0IHgoNEaADMPkhZsGrd8GzuzM
7Cqx4Q/IwGbyaxaelfBu5hgsTsBN3Q7dlu6Y+2ZPzCQnAYozolPKStC2WA25qwAs+08OYffEaEBX
yJL0WXuzyh5+Fq3/bR78Q33v4i79u/J+81ZmP0i9/3PL4LdX/V7eo/3/QIIicnUcmi4RnLzhHwBI
zKiYq1GkCOyt9Az+VeJDojHpJngBBX4YAr6m8P6jxAdt4/CG/h9sm/8IAGnxGb/u101EaPhnPRIs
0F8J+gZ/rvC5hWvVMO67q0Yn3A3j2gSrndwvkK+Mw4NnuPM5nwY4aaZZdJ+7WgwvhWCIEOmwal5/
+fX+L6I86y+qvPVohAmABUUe8QbY0P58NKKa1xF9P9zZTWXdJQiJ6Ij6NQA2zJo18qJR9J/9gdSc
qJUB6SZEfvN4jBftiw3Nmepb2HVMdkKAADi5S+sFOQtjp9lz4+/WbCCO+fsj/mni+qXf8fOIcRKv
QmwXvfdfFcEi81PO7dzdOROciq1H2+9lwMfu7Dt/rpmDkqPGMNqPg2jxPe74uTCdA6xJmrVEI3bf
UpjzFoNYRbO4yyC6d5AGhshv3YLxTJ2n90UfngEvpnpLREn4UafNzyf9tKNB6V3wlA3y8Pff6t9P
gy8Iu+NEeFwb/+Zc80lcHA0CmO7INIUkkdAJi0QBl48pN5PhcWrDJxVb5ae//9j1Wvv1t0TIiufX
d3gomesf62H94uVzzSlBhZxUYLQJVbWKtL+rsAYgo08//v0nrfvWv34SAFXczIiNkUf+5TpjKDsv
TZvWdwDJxFszIjM5oGSf7ahQ6c5seoYhjjkHiG4cd5T/dNH8xQaCkJYLBeEp3vG1VfbXj8ejk6UJ
Oap3Pqmab/AKqCGxypcHd5F6BxStpo/DqT+MZcNGuylq/3tXhvo0Qh2+nTynNSmM8rpYB0jyxWmV
7YCVmefviqigLbm40t+4IQrLI33Cpf8HbelfRdLr8fvrskGnwRbcq6uG+5cTZXq9W7lubFyg0su3
rO3AqlgG7BIROfNcJecxzYr3JKD1Ny1NuvdqMWVsYwb/R+cvS72Z0XVvEE8O37PW8b+hM0z989+f
YhLT/3qSHeFwEdENYW3l7lybG78cpdcGmdmmnXPJBWlzYbBFewvPv5uccI+Sqd+0U2M+gBx1+yhN
U3/TWhVpi60Cqq/sTVE28lGVrpwivxwTGPZM4mbdYcR1G/XC6CTYxk0VI2HLERNmbJuQR+a6uhsV
5uDGoDpKgDMBsF/idSQwpPLoekAe7Ty5T+bKmaKy95s7dLTPnS0Nh8AodK5Whjp42wrgSGspkN+W
qRt8js1enFP6QhTb0wAh1kyFpKE9ZycjIOiUjXawbC2q5e2ST1/B1nRPvWkACxxl5+9j3fQndnf2
c5NaY3GIfcPKCAgpCORzzHaIsqoxvvTSl1ultH0q6kqdiPsov2WDQkqqHFk8Eeg6sTFsBNa5uKVh
yu9wgHEVXptRTjsxts3esiZr2JX0e5LNMCISQ+qRxjuJi2Dbq/CaAogxt5ZVd0ceNTYhM2ZOOkfn
l5+owtIbuw3Vk+t0LsMZVAB77UlMXB4cJ23SVdkDJyX1YZrMNxsA4A+dIFjdLHZHYie11JDsJwKx
uDnGcTcnQx/s2zpec+wcJIj8VVqwAuagN8gBHrfOc2Pjx3R3/dpFRCq6Mt44FOTy0AJfStCZmg8j
ozGmCK1JH4krqds7HTYlbIT+dIvBlxHzQz82nZQoG8Ght98whNj28hm4zeRLOj0tS3n91Z5l3jmM
mLu+V+ZdV3SymM4Ia5bDEBIHepJtxl4wtxlBmr6BUmV2GP/1nAOUx43JtG9J5drIB9mYbrqyGJud
V4yJuWlLdpPXtAF5UR+L2Sc5bJ7KsLtFm+BwRY0xlqRxg6zGoJeU5vGVHYbjJViRFbJHy6HlvCfE
tA3ZRvHwivF2ZB6zfsypboRYGYtrjS+ZDNWwH+P9WJKJsNMxVcF+hdUumwCf87KpQL+s0+01j2vQ
c0K7gPm/ZKueBT/QjbC125q1jW1XBH1w5wJQis+V43e+S1Nj0s0yHzV+mDal14JIZRfrgYTYsNUV
UXelJ+ejqTUhIK49E/frT+5cHrDpkfzIabVfDSVRiDKfKQgpKKRpoAMwDbIHO4aMuZQhPPw27Mpd
QSLM49J3jrMnHcC2btIxhai6UiTT7hC3g6qeeBg75zxZ7GLfK44AbWS5KhAtvFybIJ/VeJHBzKVt
cKu029iyesCRrltuk9hJeuyS7Hmj7GdCV4WAbvleFlBEtmCuSzo2s0QlY5mZOCaZT/wqoQCNs83q
DAVuHzMmNsZWhfc5rlFB2gFShkiqfDFuQFGJPVbwhKi/NPTVzsLmWJ/Qv7PDL0KRAjri70UW6pSK
yydxVokyttiomzLjS1shb2K0wn1k31kItZHrBijHnGeQqHZ/h3cWIVIVNt3F7SseSUwfCl4QotR2
9nGWWtXnBR19ekbbSQAaE4Ylu7G6pHsWDDrfUBgzfw0sLt59j/bU2cG1Jx5R0mYjAtFpCr0JxniX
WVnzuRxHKouclvKTdr3xXbWpcxz8ESFwUGCBo70U8z5uWefT/mcW9TIpune6c61nq1v7cyPdCxIW
rJktFsKHHBXuZNsjvKiEIO+fQY6V2awXZ54z8fVLtK/3aC2ITzabkdoxHSsOrNYsujc8wcKPTmBy
dUtWyXYbWCGz+k6HsX2fM6UpHu2AzshpEjkRyx1KV4pPJm73mGY95LOj5KPreqGnN9myW5gt++uX
b4nRHlmfOC6FAAtJH98CzSs/VUrSCMGxxcCto8qkyICQ+KtsBWHS228RyZbdVem1scTcIgVU+FdP
6dhO/QU9uYIHh5pnooXBaHIH3g1dBf+uGyJSLRaQKbTWOrmrJAHxTngOhiwLooBYIq6LOfHegKNy
GFObz49ON5n6JqHMzW9qVRX5U8DT4qArkwFcmDSfscR5TZQK+HFnQnDD/iZO62TYzviDcBL7s3NQ
iKiB5fnN/LUoC/d+6rVZHxtzHopX1KSJPkqEDj/mJVzXkKxBgsE+IFj32DPBE4omxKuBow+LhmJv
7guWubkd08cMC8RNKIvc3bo2vm2WPQz7EfgvIl0BCCY70ObcJlC5nPAk4Oc13yUL8nxmwsK9Ma4r
NnINgyVlGjBM8ZAZmxsLlbC3gRvSDTxpnYEZQtvkX9pwCJ+NmTL9vIQdkRSdxqEQgWj3h1NGzBPE
bmmlcL3HhFYQWuF03BiAAPZLjZ7nMs1++ZQPaM0DH8KjxPpxXEaPk1OYll4OCvVTfam8SdwaHXSZ
XYoed7hJ5lGlG9w0Mn2mEiGhlqBwwMF+pokySTX0snAcgoanwNw8lUljZZ+smnbBEC1UYPOL6hwj
5M1wkexS3yiSsxGr8T1NTFpEpU9L5JSFpvUwaYNwo7Ynp3lHEAcXaWZ3uXNPXNji3kkPi0/UqMH0
LmtLg0wKqhu9Q5nBWRsDsr7RMyIjjAKtyx3gv6klCc4O2sMSNFz9hQAwDo16NvUmVtprXkdass/5
T9kOT7qQ1PBE6vsqBO+2720V5vsAvdCIqeYzCtCRyVJRDP4LKbgYPkY36cRFxGUwPDaxXhWcxLXI
nUJX1uzZOMzTbUajtb71W5U69/Zklt4pnmpMEhluoORStMaabYvnBghYJfvuUpYxx9+GBQbDNCjS
LTQn8zQ3gvt+9ryV2E2k2n95v/9fk1LGm6sZ+v89KT2V5Cfip/l1UPr7i/4YlPofkHvb7JZcusmh
t/ZEfu+khNYHuBxesKINQAH93M/9EaVBu8QkSYNsC4/dHqiYf3VSUHMAD8HSGDJlJX/jP8L90qj4
834DABGosdBlDy5W9+hKKf51v5F5mchLS6fnqbG4ekbF9t/NUXLCJqAKoREgcC7lbJ2LBsH4atUk
qW8IXIzLuqubY2tJGAVBTUbFAosv3pVDvYxRZ5rTQ4+uSRysnL35QxHm7WuDnM/dICJO8s0ckxMc
MZBjCRtl0ERljMUq6iXzP6wpvccMkNow0mNLvLi1dAKqdR3ultJ32t2wwqcomWs8PzpWJMhB334H
Qeh//Zk80wUhnYiFoWLE7U+WDRl+tru1klHYt6HNwEaH0ruMYIMjOfSPGoPH3td40qO5HExnS4Rl
9qTyfH6YUrO7axNbPsqcfjHha7WBLjcgxTCqXDMJIi9Xj6WrBhTQLPxozedjAiHnbBM2cWOlwWHK
bDCNac2YkE0ohZNOmfB2o11YWyYVzV50vv1ahthxM6ctnywbO2GYCgiys7q6NZlRGI6c+97O29NQ
z2KbWvZ96i16i5XG3xlz5kWTMsp7xzfKO6caH11zZIRUlpgm1OSnX5FJq4OADrZpEcjdWFKii/am
5nFgM8vPnmbJBe2iuBvTyuHY+qW/NccdUPL6Llat/JEPXshORsx77YIDSfAkPcKq++rGcb2loR4j
0k+byKPVQ8bJ8hoKg1gDX1ZUCO55GBkR+VR3TznalUdnCqcbR/njPSYiXCJF+p5D4Xpza2/cslm8
AQ87b11ErOvwUkStp4yHoZ7kU9kWclMV9HkI3mJLwS/Cg7B4aMu8IyodSQz1qH4pJoLshLanuxkr
11bh0txZLkdqoMjemkOcPC+BjwSRAGieb3lVgyGm3Gp3plLWjcPG5Dyb/beSv39NelE++EPFYx+v
XfjoY1Z7CNC7RUsb53G0WhbvKEe7Ta4G40DyZX1YjL56NG2uaN/ru1t2GYLMOTtirkEpzGV/qeHE
fR5aH/Oz0XXpWeSptcWcxGR+jVveNkUxHhhBsHVs+hsPNt/ZTL3LwPMZLaoHJLMh6pqyfjKOTlUO
RaS5BnHfsbHuY6MDfNp9NIxyn+rlEeu1uY/9GzGwJyNS7tM89vl96rRXo0NrzeCZ8EzxaDVmuasC
9VUr3z+RDk3uyRqqZesv0ic7A9UhiGCZ2TcM5xAxrmdq/mYkxATWFmSOpTdfRR9OG2LO4qMaB+My
BmG4i3uVbHNTfGYx1FdbyWnPAA+WaZG4PL60+CjweWBg9PWWkE20o47NbWWcfRBUa4jdZ1Qcza73
ZXso8W2hLj4vXXbbyY4hcwfgibDOKtY8/zwiWVohoVHlPPUZR+4JkJ42osj1I5V5+aACNwGiyc88
LwWJqaE3PcipXA5VR9YHNgfqgWKihmgHdNbOeGpnMsm3I9vRh1F0H3t6skejmd27kTKD7UZUazGa
T1VuEBm0bazWzpm3jY68Rel5J9vgvW6INve8JXzOnVntIdox4Q6y+J4xYHZ1U/1WCQW4FwxytGTW
m6cGFxRda3ZfdMtXxhumtq0q7RuG03JPm45L2kxKki5EidEuLe9nlt0onVjvaMqhOPfRKix9yBQs
Zn2mc9TdktMxkxYxUQchqmuesMo8VSa1MSBZea3RMdOsDste3SdkNp8cxQaT0lgAmi5dakxN/sFJ
FQPenIwZ2ZZqO3zscv+Hqs1xk9gobcc0KHGSBGyUsNp3QaS8StbxRmQSBcum7t0cf1LmGWtY27Jn
Nif3c4oYmsUdy/HUf0zLWVviOA9Vd5akv/Q8W4zma2Fgp6CIzzF4T+loe1eGWyjhCLgOjgUCg4VZ
U+s9TDywGS7BLSbegkvv1HaD+0lbWXtOF8KhIoYH7nvH1Z9tLDaa6cYyYl+wJVP+Y4Nl2GZXbLZn
sqQCdouxgZgvr5Jj3DDGxFl+Tcu+fMLd5TA7HvA4043iwg2XMf0MBECznxPyaDHUeiMgm+E9RkwA
M+RTidvEaelf+UIxN1tIxT0NCkkeOXzDEDHyM5Cn4OKpCmFCqhT2eOkGre/nyW5MLE0zsYmLVYGU
xnD0f9g7sx47kaxr/yJaEMy3hzPnPDjT6RuU6QGCeQwCfv334KpqudLV9lf3r1pqWSrZ5xwggh17
r/Us2nDwWcZnE9n/a9uZ8oV3MvJEhLlXvb2UNzHDz2+Avkesr0Vs36OFUs8GdfI18acn2AzF17K0
vS8usUT0AYn8G7GLqILAeEciH1Cnkt026qkf5u1cdMEqhuAq0k5Kg6dRzS75uX3xxciY7Z3LUQAD
8Bo53cUIpp54j5DApZc1fXYWRlT7fhOD0rPS5NRR237OJSknbEYJUZZ5pVYaC3Dock6NW5l5CBYF
6VgvzJPza7toIDyreHD8SITlcgrHNv/iDG1+30xI5OmoiUgydDnlFj0UOvAs1gbZ5M3S2qizOX4g
MRT4psvdLELzqinS6cWd5ulrHKTtp8DBzVEZWQgcIgkJdNLtbJzJ2lO3eOvRaNtktX92zBl2Iq4M
6Dj4ro6jj0nx6BtT8ylMdMXkc4nHU2MN9rQlEKmdgcmV2XMbSHSdQW0P9xnoa8jA2m6vvaEpTqw5
dNyjMJs5Ikup3fDNw53td+ZLHA6xA9XcRF5iKYO2YuHI+zhsTIbOsx9V44gMgWEzIa92iqLTtVQZ
2bnwL+dpaM/oObyt1zgm5PSx3xbroBZ5wrKipJxda5LViRFy2GHgDyFo982dNfbDtmdIeFkYasQ6
FoOK0QRanRhScYAvi6p7ybtsQFOajMx+ALzUH/NZNNWOtLWZeXTWLl+hFdhXMRqQrS28NydJww9+
WpWvNTKvvZ0Wqtiyxcd0HVVeGxF4AXZEF7D3ScIMuQoXx/+k3K44Nilj/kgk7oIj2J7tN3/q0osh
tuynkNhbjnClrUnR6iBHV7Woj2jR+WO+jHlwxEcz3wewy1Wk4Yu/qhCNblO5zafEiYc7NxxoMmVa
mC/jQgG5S8xp5Fky+3ETVL71JWxFm+3i0ktQQ9VZ/BF/d/VhXgavJ7051RdjP84HlRkGtqmOpkWJ
0/uUJfmtyaH0Y1v55G6qbZ2WCr+NwdET2F81DyFa3NC8Hv1V6hqWvtwiUBA3+E0Mmk+JfyA01W02
bqecN8iFAk5P3SRPzH18+FrlhMHTMmxrjqxempipkuS6H8SCCnmJSUgo1GFx3GG7NHaxH01zvLQM
gqPGrvyaZmJkJjV6pBNlDN/odFbQsbyh+5C4fvzmOQTbqNrEsM7dXPqooZV/lQqdnxLKLKzisWvS
GOwSvOJJ7mRfGpIFKg6i/F9D0AxbC8k+NXANcpB08ShdMz2Y0jU4H8TjZdcAGucB94ILUiDCKDGp
EcspIWQKpARdsnY8BjJE6QwmMv/Yo7ToNikId2yd0l0jTBvh7Ug2Xi5yw2rOEzaLS35hcSkcKT/H
ixz2pRxI82hatU9Cuzq1RUIOV748N7OewIYLq3ulrejf2m1rfKWJ2Z2+H/3+T2/wG72BsKyVCfO/
T8lX8jOHh9fqx1Pyn3/pr1Oy+I9jCfS/mBNCH8sjU6+/TskmcgM6luDJwEkQO8LY7q9TcvAfixOw
wNuA0NeGq/PfU7KDPplDLekyzvdTNxrlfyEpfj/hh/6INQClM5gp03HIWfn7IbnVhh5IU7RIvXAU
jUmFakUfO1fJQ5yasAxIAJjL+jLLCTP/8J1CoLEgNh16A6R2vlQV07EZNa3SnK69ZcbX7KCrxNff
MncI44qeLCmTWIZ/uNL/IE5Yv9kPM2MRIElYBdHrlB8Z6ftvHvTjRC7Z0l2Qm6jvqVaN6A9XkfLN
a5hPyHJ+/YGovH/6SJTXlu/g86VJwTX7+8UiUtFuDOC7F54XXtaDb2RRoSzLQ6JHKAzmpNZoj1Zn
Ni+EwIOxj0ZH+c4x9EYV70ExWvUpRqLLoE/5XJXKi8flIAYPY3olac1jRtQcXBwiDIVFt9qJq/oC
HBi9w0RWtPGsPO48Xg0tMx5Xj8x7MHpyrQ1P6ftiwYGIhdV9hZ6EhTJDOizB48S0YpEy01WfqH3/
atF73BG29wHDLdNIY76aPSkeO8vmIZjswn3tbFzJs2PQ3AMCZV1Tk+YMecgJoHcrQzq41vrNmXvi
xkMTLh4ti/jlP0csfZe1L8baik88XMEbLWSgifUWzYtQmGojrxZ42NGK8Y3C2bVP82IRPNARo8II
pDWE9Sg4NfYXoobtdw1U12da5s9e81HYuErOAyqyV6YKzBIM4bvqfkGc/WjYhdCQDXF5frLFwJWT
veZaz0PN5KBrAqZmCsvYEsW43gh+a9YUPiLL+XYiU8yFmZCbamMQBZPexsrqvQ2KI3SepALx+wno
dl8zJiJP40yqxx8C1HCyyOFGUnyHWZF/2kR4n+zk7HAXPGcY+o9MNRCcOgu2vx3XkTkA7BAuizRQ
FNAnGdrlYUZqSo43OgXrAoNfkZ5JbRGP/npxwlZSAE6NXV+EsECtrSwGA9GaUtNVmkzLHUCgVG8y
zeK1YTcGW/JZLbjGHRyRDckU/MjO84l+rZUodk7sJ9vCba1sIyY9P3qDoMPghhovTBY7yDWBQ7wm
2eBezcwkngyFX2BSDU0YO09exeSQkW2gJY0wKPqvVUIF3tgmUyFGWDXjO1Pfqkkx1EkzYiKisojz
+UznB78x6XPhE0SgfrgTcjG8rUs3HWBQ53N5J1l63Y05aNemF5MYYLFKnJTWijkGQmNvM55I8Znx
NvdO2o0zfZuzeWxe+GOZfWv0pEE7INzNPBqcEcWZ+9qLijZIWofW4yzWO08yTOsRFzNxb/NpoYOO
lLN54cqwuPysYlHmTc1gtTeNpv/Yx66+R8zEQiCXhwssBa/sQ16Y9YUrFlQ4se67Y4IrnqzFWOhb
x3bbI1ANuuB2NXLpyYzhUzydMw+xWG3hDqs91wV7BLOe0e3qiyrNRffI/NownozRX1o8HJ3RcUYK
+SbkMbL9LiXa+Q/SMcv8PlbAO3UJ7ploats+LQroHDntJdeyA9C/0gcmRhVhmHAhGrPsjrTrmRA6
7CrpmR4oXt7vDzLAGG5cbYSsY0+ti2LoHP4VPdnsoZVTi0c5QuWJAitIvY+a4Flxk1HItxGxIIzS
fXsCYuBhXMaMVfKZjDmgUuFN6RjcWB08LhBTyfDFjoMhf+4YwuLB1fHidhzNqwprl06Ybu98DHLd
js4h/xJJEtmZdhD3fCg66zrjdKufgzFu868u7k3i1dDCM5ksTSXETcn7Z2k3YswSBg0VqngU4LXH
BCEV9tJxjIAgBBcyMT9JjR5ZEpRzXZFt99FVIzSAxXrwVaKnyCrr8cM6k93lQ58SMNX0kT0m6Yl8
l3hrxzEG9BJS0MaiXHVJdyvdo9FP3nRZO1lryOckdcYeiITrcZCpmxWIVDQ0F3DSPtHFEpFdmp8M
ptGboVqd9DPJojKdOOtbuUjeij72v+qEILcKWfHNUHiXGFfaeUd4ir7zaj/55Nqq2pUrjKKuaDgG
bVx9go6IG6Qykzjyl5LEy8HvbsMEiAeUndbGeZ0XV7JJig8i6/FQ49/dL8ZAno3SOqo6RumKCd+N
Kpby0nXUuMNkV9yxrTefsnBMH5RT3E4+mo9DR09rj4hbE4haVwdFU/Ih6b3iw1Q6CI07pvuXIS+w
bQFf/lwYYb7H4kG3BkJUD3meXrxUdv3IS6f5WLllk4KB6as98qD6OYUPwaUtZUhANBPvyINCdN14
2t4kUpUM8/3+m+xgKBWj4xzFkiXoH4S4dhOOc1sSmHES6plyYNt3Ql20+PUPQdHORZQVdn3yYe/s
E9e6y+K6OaxdhC397+ZjlncQPrRQ3qlCUK52cwkXAbpY/AD6zjsYPfR1FwJdZGTGEuwhQhBHmw7t
BRs2Ooiqmk+TYYWnZSCCd+47WL2CEXILGu2YEt/7qKRaviD5zy4YmhAdW3Vw5n9dobxTWFESBbbJ
YIeliw/yp5JoLhNOYd0AE8GreIf5hskrhseWfa5i/k3XGHGhHRml4s+mkbFIf/0F1pHK32sytHL8
Dw1fuOYgrl/wB4lXiwA8yAhxOuuBFgKMvgKevs1b0DG6gCapqi+Y7Ha/+dS17Hr/qS5aXsHRSKB+
e0dWdAge83HFhWdc3DBoyCwlY2AQ6BB+/eve6SG5vL6Pe86jXufqmua78k+ltTf2IRoZJ+/XTd3s
eGlUMBQQWbBj/fsPQz9KXAEVehC+p/pabCJGQhV6Doop3NV16px6+A2RIcdw9+uP+rmSplsXcN14
elASvsfatknoN4Y2vbPtzdZ1NVL7uxPBHTB1YGn4dfCbx/QfPg+TpLB4TNBau8E7W7RF4wGyQ+me
F0JXnv54B1ZElkngaWDqtj2ci99dzp+fkQBSMT8TPivCb/PdZ9aV05oaHPR5HCUm/wlBl7am+uLX
V/IfP8VnIIqM1BWcTP7+/BexmKpY9t45GdLuCDFFHrAETb95NP7pUzhQYp5DS8lz/+5TPERkrWvw
W8K2D7ae9ItIAF3693fJBcMGlJXTDsfNd1csp2EvG0l+tojJGKKzwj2ByYPQYo4H63poEG385kj3
8/bBnr4uMrzqNn9698MqqeKZCG7nbNSx99Eag+S8mIpSZCyYjlbBjFjA6xc2r1/ftp8X9qoXJxfg
u875pwcSUpKEn+KKcz6yuOKabWrwyIci1i34Ddz5H34iDwcRJNTgPkf+d3sVytWOjyrFWXdpGc2l
VV8s/QDm3+GBydcTHG1++Zvr+k+/bw2+tbA3eNDs3n2owj9lpxgPzoXXdqAfgW0VZpAeOOj8dqF9
Rx3/fTcG5AvA0gFRDDD6p5WWBl0AFsqEfdbDecvIqZo2aPWLe4LYu+s6w5e/iWfKZD1R103UWv21
ahXBi47ROxwuave1SECFWCkoALSMDCdvgxwJzG8uy8/7ECQ2JsBI25nmWt+9BD+8rSrpTnLGdngW
q5gukrFsXpg48rpSGcqqDZT6372q3ufj8A4Bo8yq4u2I6SDw1+/0w2cmBf2SmFfM2cDX24HEtDk/
DLhovwSdxRsrbeL1eSdp/hrVe/uilLtqKIHL3Le9aCGlJiMSG6okKGqzxdj210vhn64JOyXPimVz
7977J8wWrqQKWPXlElB0mwCIrMSwz31hV2goWjDzv/7An55NprvraljtJcwj3n9gK/FWGt28nJUD
wquH/JkhrwXEwov1t3lY//Rh9I1skwYNW837ZzNYGJIkbUi6Z6L1LSk54SW4PE45tIA5Jf36l/20
TfPLGISBBLDXWuw9urxc27nom+YzSEgOliQy82SxEDkl/vqD3odFET3Adrm+u11+HEKY9Zv88FAV
dio1Q76JF3iHnNLkDDdGjHKG/ENs1Et/0WSKToiTOMEl0loU9EXj26S+FOtrsG71Pf4A+gTGxGEp
6q2leVn8rjuahkcri64XRNZi7X5MZG4th4m8o9sBWQExYr/+JT/fH3e1BtAwDYmR+qkSkdUcNH7Z
92cBnW47VWN9UeJdOCTm/K+LHg9fIxfOhwi0Eh3evd6GxBQDZP3u3CFEOqGw5Pe3Nch2Q+j6wqlI
VPrNj1vfXj9sjA6vNT/ASrP6W8DCvL9L1VLaVtu5ztlrtfPV84Q6dw5+nu8NEc/v6eq0S+F+qGEX
/2aRifePCPY04cGBgWFhYjHlHfD3RwS2yyCdSWZny6KTtADIDzyg/jNuFFtEk46DN8/KcwhldW/1
1+C2WIF2l8gjqghcX0KgRzXHki7i8l1DC4J+revHju1qWfXxXQld7TDy79/6A8Rh/qWJBJrQSPJ1
PkIo3J0LLu+pWx+vwuBlcICAzsQD7xWqWeH1yHYRhY5RH+f0/XIaRzEwQYVwMUjQE125poEW0GQU
ejfRbbjuvIF8c8jUt/VsGcsBjibwNTVUGDUQUpiXtKWx5Pe+O+I0d7rmcsgd34rWeeG0red24QC9
yPMUSCsCAOoyxByttAUqOIKTItS5NhH3vK6svJo1YxHpEY2NVVhfpi5A3JgZKHsiKGprM3QGnX6L
vYw/+0aLBNyraVEewi6M06Oncg4lBPTyX5fW/7P4hBpM5yUs1rqmbVhraVXAP6VbLqcoX9mwxH51
OmRUFRj6nqlzmd7aZV3Ul3lCwthdb/fcEEHyCAZ8q2zy+3oxeV9042Dh/TA9oI+mCC4B+9bASRur
/6J7k18x2Zm7fLW9anSuuhbFVORPBbcZACV/kZ+Ocnzi6z400EhCyBSZc6m4mjA5G5DsgGuGXO+9
Zubj6YPQuRqWlEZ4UM6evVP2ak4YvTS23pZpnVjpbDQeNKEggPbyhbdWaILqYlJW2MjCqwlNyL0l
DTx1OY9Lestxse4iVOQTEeiGdE5KdQjftwR+GNFCLsG09QRbuLskPEEVKbveRvgTGd6Oiq3plGoD
zfaA90VeY+SipxUAVMVtVHCE3AhAkR3SJ1N3j1bFUPYQSJcHDPifJ64N2fFu+F4H0LPn6VsScu6O
qVfTN0PVCDY/phGCrG+Za/0N2F98G0BjuP2jBUdQIF/GTrX1hwJfximuhH7s4W//sayQfeEqXtfM
5NsZFBRA6SBCV0Eubp1UHun20psXg8M23nkuTxEhdRyMUtxPGJf6tWduZ/34NksAinuN2O32j9GM
FTivsWuvhcR3UEFQ+85raWVrJ7ajPc8sm+OPtkw68N9ffyi4aDKm9K78S8al47LJTamzfQ14s78o
w4RlWjYGk4ZidriwTqwcXBqhSORdX7V8Ecukd7JHwNPfV8Qb6E8jLgND0ehx0ecHdYgw3tUFqQJZ
hnFl7GI5fwUPySObIVBz7maroQucItCebNbf5Je8jxkDQIxM6RbwrDhMc1AVOYPtP1OY52BggL3V
DZgB7FDgUeJ4KenNG4WbnYtupTLMBU3J/WrMD+gIIFA4l6apabXRIR8CGmTLqGBefH99/d+c9Ddz
UmyTgkLyf89JPwyv6Y8z0j//wp8zUssM/4PvehUNrcdm26F++cuTjV2btCvMvJaJS/e7XPivGenq
yaaHQMPiv8NR2ydp2KS+o527yo7FvxqOQmf62xsbkXIIHMqmpqKfRpX6rlhH2ibTeg7mq7BajCXH
KNPM8770JkAj6yGKlAHWkUqS5qJ3YT5b8wzDd12N3yvYDiPrhWhqdpP1XFlKi0ILwvVtyUZs2pu6
0DIGcGZP5qiWY1l6TjzdGz4oxRbUEgmHzoeUHPOyOY6lQC6aTAodgVnExk1YOqo81x2S0xAnp1UH
39CcznI8TtS9Wp0Sf7Qk4Qk+3f0zJUmrHhrFRX4wKvgvu8ZJhbNLMhTIF1xLx75BVaIjk48FRtGY
1KulwO8BT3Ie7rsScyPzVgljueTc6AuCOifml49VKdLHZaht9AkE/BXLaLxRYUq42Q6jiaZMM9g7
7vWgu/a0uFAp0zoeX0NUChsWKkQiokNI5WCAHIUkcRQ+79PFFxVeLyXhNm+Y/IFLnyZTtReC3nZl
sXMF+jpl6GScwIdO8zbPjWR+YC42LljaeIMk+5gOPIxoIWnxHlRsopo6WrTHrZUPkas21/degVTi
qkHuA5VqU7pClOr/lBP/X/4CGxMmy/J/7wiPX/Vr/7ct4Y+/8eeWENrYBDiX42jEEkC84A9bgglv
jaxRumucEwJQbP+VTdgelgS4DmuPlvoabcB/dwbh/ifA7QfVzaQ/vroL/pVswvneM/mhmgfQ68LP
xQDB+e779vD3gtocDEO1NYySqRXdszIcYLbF/DnQorjG+tPuUsPqoZGtddcUXPV9oz7CWm8fmtp4
aM2uPzNARuAbrDyaeiSgN7a9+KBWwgCAKON19HEIhMBm26MTxBiHEUEkOHR8d7bB4sgciBPzUcvH
QdAF4jpkulyTwYPmG4tzvtR4v/Khaa6CpjN9gm1Jt9B6k4dqIE2JFO3MIfYkMeGsN1PXtR+KoCL8
EMZsWVjnNNQeRalgzLfzU9Pp9ym01OY8OCBRaI2QOwTeTYOZC3eyzOCY+fUsnhxcpiCultqq3Yjh
iQ4OsFRm9zTSSTRhk83Szx6BOWE/3Vg+63Cb1m79mlVx8CXxsrXaEj1uuR00AFN5UdDjUn3QS5c1
24Gv0B9gaYqLwLSRco0e+RFxZi3QdjCt9ntKVHB4S51xeqTLfCzhu7/oSlLKF5U9HDE5BLvJDNwX
skIQL9pJShwK4ytyIbhZY3bViqo+ZmJ6ymppH7Jh4uxCFXTE2EsGSlsm6bPUkip+VvLkB/oKUz/z
7nF87hP8AGPRU6CDMAYGE2IBSbzPg44n3IPTy5K5fSTIyMi1fUp0/gRDAwlgaGVnughviay7nR3n
48MSjDQKFgN8OZfUsElKdf0G35+f+uiKqwPH53u1yCevEN/qQg60EGuoWXlyDYCLEf44vNRlfy5V
XR3zQTZbX9pbDg9i088N/pfGtPZdu9ymSVlvcpE/NQyKtmNn1Lu8VF89WXlXpUdZO4W1t8Hojd+U
HIlNT9RTPo/5wVGOtdELMLXM9raIfHWUWAx7HGRtl2hBu6tgmMSO94p58msp95UmQ2A00CQvfRu8
yVEAI1aufEOmqumFzvOuoad9n5A1jxcm+RrbcX3jGsODO0ik3ICLD2ZTAuihJ32scs+DDc5LilhO
eFSVO+4H2tgn9oV033Ui3Cel65AAaIQH5U1fazcvT0M61NuYvWOTQ2sGZq7lWw2eMFIu1rUkIUIm
NMseYJddbvoKM4CLPIHWENJhC67QJhD60XKJfu6K/InzxWlZqmlT9k27cQfj2cWZvbFznZ3T1g0j
o3HkN5vZ/qdx8aPMGjZZDlUN5lBL5BJO9vwSJjPuB29gxY8dJkJyaI1v9eBV8MQI1XXJTAlIQ+sy
RTLPXGKGELk53s+WmvyHwsmbW0qnsiICoZPXDR2AvV3LAKI7Q9LIKsYM+hAspsG0luQgiQ09V+SD
03a2yfbY8mDlyyaehs80Gu3IjJW6zUh1iJTisSDxuLA2gdbzF2JlTHOX+M58HgdZ0RFAYRwesMxL
HRmzB2u55dvmmAWm4ZvVthMJ6VPc7D09jikCjR4pbjCFa2CR2TbTNZnB/QsV06QEVT1ieTS+5gWK
3fIwyYD0UuQ/B1PU/LJ8Ovlz5h38lHTSTKOHrgnj2DECh6XdLOgEmtbexeGydkZjCT59+YixK3zy
ZaOvi8x4ZUk9EzFDTDcWz13ZDufBaB1amyLfdgXO2sqQX+I+6LboOuRT2WVFjd7blVeim4ngKkck
CItVWrdtGX9oC5GTeEN797JxivpshQAIfFtdqlE2944dGg/gePxXUbpym+RhuzLcsPqgIGAZU8kI
5guVxj4/m1dePNe7IR76bTIMwzVe6HrHv1MhxjDnQ7eu2tyJvbtyUXi9W8QzBv5cTNPqtkgdjKJz
f5wsM8VCyfGbd8kSgAfwqrvJnl9onrlHisTwcyf6Ox9c1bTpc1sd7WD46HFwx6hsGjthq5NTIBjK
R5SCm8Fqhm9x7UA8MwbjgvTHdB8AzNxWJkEI1LIQcxKQD7FjsR8E87WcgvxmMQhKniVC2Goe/a1k
2rzRPeAHRRotKmpSndPQQTAwiSACooZRwiLScY27CuzhCtk7WiZQJZt1TBMh/6lOtGrcjTd17iax
pvuR1u0mRzlFTB3sSX5beGy1BtXe4oPA8xTVlsYqTDbJ57mp1c5cLUujZRhbAGrtFlYI/YAwEP1j
KLNwawf5vG1XT0s/tKfQCJFHGc033fofSunXuyWcxr3ZN7Q85xCBmbM6giud7sex1Gcjb7+ofLkq
hni8sDTW3GVCeI4YvboRVCaXQnNjK3PO9pMcTOpe1zsaBIzT5aFFpapKIp3BJmfAiIERmsEShF1/
47bep2UxZ3z2vgVobvgk6jy/cIlK3lgzrqjYnuYNTRfrkmegP/SSFI0pz7+NXhHudbN8Shr+VSIr
2MsyEkSuIE3EgnEGW38eJm/U6FNkFkN3G+cijlLkbTh9AsXLHRS0ZyYvRA58a8L2qzPIYl+4FAxK
O89lh8y7zPv2qViFNUvndGjm9PCtGx0Rwe3It3jo0db3U3oLAj67C0XdnMxALJcc17kMfg7NJKY4
V6wudin1HMw1L4zBfpDSqzhEaRwvOmBf92TxJioyLUox16fRKb19pvw5qkKj2vfk5FwKS0y7YV6c
SNnzW5/GM2ZLjwDkkO8wpTlwrLANnnpTLKTN9bhrVkSnt0nRklRcsIavr4Y8e2HZ58PVMFXBY+uv
caJAhh6IYjt5pLpERhEmdyMmjFt02tmLn3kPjNcmKC/JtSPq/mgzobQjnWbNzu1jLnRKnuOH0M2x
e7keCPwh2DlL7BHL3fsJd1pxVlnact5IT4VWlNQCl4qu3O3Mfd4ITlA3Cjvo0ST08QhPI/g05T1a
flN/zpp4uMH0aWQ7pVJ1zJrBvnFLT2HKzDT0brMZFGD8OQqFCkG+ui5PhFnet0Ho3k8Yv82IXdOg
xEC+FnFcLb71HWCzdaEm3FPECGCO/M474BJ0WTKVN9RHjpcLAAPmG9s5sR+IICe3azAvOctnH3uM
vm9VQgLTlMbLNqtTGCaJ/QX7jPtQIV78bCWZUUYLg9BVfDXqUzMBtuTMl2YjssdZfzYRpeFpGfuH
BZnTCfGhT1irQSRA5d1iBbwgdmbwt4rXgT7S5c14nD3lf4kTH/6J6P2bcHDls4usH/yRdLddORU7
1JVQtutmKbZdC7mkHuz6vrMdjpozl+Ja5yLgJB1jCfaHZkwwOwRDuQWpOt9UgQSzYXUZpsJp2NOC
4LjM9zoMnWccMkCXJSfgQj6zm+XPvOLGjwVe9QdIw/HRzHx5Mt2JijduvXNbKdpTkmzJfDPDCX9K
hMzmC2VgZAwXpg+hAWBmk5KmhHm+CM/QUlXEhIYYEe1UDYK8xNwtZt/dDYsens1gGb+4mA+PQV+H
F5COhhu8KN2H2na7nPVXZ8OWHAkyW1wGi1RXyxOKoLImCMbtp8fEYoeNOCeN4XYJGxsfRtHMaicz
1gPCJGfVp+Je/jDFweJ9THIUvVsVaN6sAeGcLMROD/SkPZ3snNzxYHjmKQZGsB8UK+NDsVSMMXrE
2FdFpeULoOJqD8e5dLbEgBYn3D3mNkMpGGwcJzeCTV9OJVYvHd+Bz6wQNLK9YqN4gJJUUYS141tV
EnZvpH6294YlQTdFSVpUqh02AzqmR4uB1oZZkjhMQZlfZnXf7mesk9s6IUuzMZaip1nYuPvJqqa7
wnFJY3JJzgXrKfOdyqzxsqyWceOIrML6pJNb0dgxJhs/6+obnaTa3WKDMluP/o/vCYoFFGvh3Aeb
EWsYSAjKTRkQ0ZT77eQ81AORajSAx7kO/K4/ZmFahpspm9VyUWjHiJiSWLuCHna3tfuUfVSjyqR0
8uzjkHruswgwFG4ZFDT+sctZi2947+Mtcq04uZRKYT/kEe6ynWAqQhd8VE2UGz5csnTo6ks1GLSL
+tC61+3AWcBqjTXOkghphjLnduqaE+a+jE66LS+bzJVRLEb/W9nVzmcTgx7qUdkN2UGXzWOfh7F8
AakIRYh0lquB9QhhYlncrdcHwdc6aJKjN5aU4NaQGlGLMO9pycgLlR678y4kgH3fw419NSmsL6YZ
4FPB+bj2sXsRcT2eF9EOd00jm4+pdsp7+DOogvDaRYIwqK2bWnazsdIScldOgEiNJxBMDHMrnSsr
6ki5uXacdh1BWM6Hnipyxyg9jJbKynYJ7zqKc5STWpDPOhb+yWgqvEsc3O8JTQ/3HbORV9fRzrFE
/beJc3YmFGTBxifE4CATW2272g0ubUTJ3N4+nd6K0FCHQjg3tk7DL2bV3WA+xAs+mNiwhJiPrUUO
FjKS5BL1W6DB/jjTjuem3TehdnftnHO+4aE0N1YmU+K7y3SHOznlNEJiQk9Nv6mx1x0NSaK6MfEm
qSavAhCzGv3R882RkzGOrWMH3mjoGzeDvcw4vNIjSYfFlc6RTLoJkzsqcOO7fzb92jSec4VwVbLR
tvg9a4O12695uQ2sgiItoqVDntzlg+KlM8136WCG10on+S6rpHfM8W7tRGGyYfZ1fZamdRsEpdr0
fU+uBfbnV2BN2baqSeGhsGuDawTWXQQ/LN9ZBf7XrAjtl2RlEttTz1C/lGn5grT6pbV9+vqgix2X
mQSzJfXFJP0Jw5RJnFSJ/9ji4Il01CWolCiHIppz3NOZn2ACXIpXN7TTHQJU0gsr/RGF7UWaBFtY
gl+qrPjYZ2p93kaz3oGcyuuNtu0djE9U/6DTzplEHJ73Ot6UiUlmDnk9ZmRUmizdjsHLmOBcvKyh
W/O09P6BmQkuTZTRl7jT8lv6D6a5HR09BjvVmAq/GvU2EzKBTZr2jw76Btk+Ee3LRHM3yQLz61Rx
RMuGTB1Lh6jZyWjFHb5DOgINyaKpHs4gXABNB7l/Bj+6TdO5OQWNRzdYGPlZ+KWC4p4m+0S2b5zX
KMUwh89bZ8nKUzViZSAZvp+f1RCTA4g1wEZe/kQp9SiNto38bvAvUsIKo1YvFI51eoqnpe0hkhvd
tlLjp9BqryZYUZs0E0+VwZaXKccBAtQF0eTawTNTrXIDgbhigBcoANSx+7jU4LHcJRcX1ZxeSqN6
GRoYO3OfPnSe9Q0RDPXfTHVUJXC80lq8gFUml1RVzpfeZfJlJp29JR7qSRPz961pSmPZJ1XgDRu6
HhTfuhlTqADlfTAPWGnrJLO2QxMQvWQSKr3RzAZpUMzTfWsBqAB7EMe0nYZp2ru9M0uK/9LijPP/
2Duz5raRNGv/lYm5RwUSO76IuSFIiqIoWpJlWfINQrZK2IHEvvz6eRKq7rZV/uzoue7oCLeryhZI
IJHL+57znMm+yHrTvyuZsIAGmgAZ+HrEn228Ju403gQk+nrWHLE0bMYliSaOOuGWRyXdazBHiKOB
1cFny7RK6akTsXGMJS93gwdmZNfrsTwrtOslv+E/ZaX3akTGnZVWTB5eEh99kpiOs83iKszxW5jJ
vr7I0MrvJqe3Nq5LL9XOpyPRUhmvunjAbA9QXrEHekPVAmUZBbPfQ8cTzqDeCXZ5ibAvCEO1AvBa
TAnO1AzjgST1gzvUXyJvOU4M+ACQun6ZRdp16LfsdXB+7NLaJZd06PbYWtwdyLP8KG3Kf7Wvt0Ao
6D+yMzWC0KpPTTTc+mn7omOt3/bhbO/8qbytLUlUdzG7lyUsUsTGXXzB2YUCIsbHD0QmfU6E1WJs
1YglbUjejpAQXcS6xBlTFeIwYTLdNnbfXpaIMahcdBXIZftFjqF/22tAqoCtJfg25i9ZJKicdbO5
B06fbOD2fQ3tQXwcPVJqnWkemyDtq/FPu1Vx3GaDStCxm8AFHHpsaopRukhJptCsa9zeGnWWJDF2
jZ5lWLPKayiDQJEW0wJRm4x+v3MjUUAj1OPsWLM+CmKvoUPM8rkVVfWEBscstpm2LN8yUIoTXepM
e66covmAyE07pCx4OKtdUum8LG1ObsYRiXyQNEbaB6mRFMQd6ZHzV/ZZvFqRhNiZCu9Dhd3ieuni
/puWOK9RI2bMG7HWHmvK0LfLZIV4hlwCQ2WijyQk2P2NYcTWcm4mryIpy0XoThVUEQ47yNfLAvtK
VIlwt06WTFtpJATVkpQt94k0yBDUQ+2M690eApvF4JCEw/0c2Z/YIdgf6zCq9lE9dwfegxkCais4
XHkPI6KRjYxL42Ok5zJoY9pGog2fC8K/grQIvUCgvk2Ijkf9dDUabGpOoNKJ8+uG+Io9RDftIwc4
RpMmTn+0SuafjdPpMr2IwnFSRaIcQia1MPY0hSPwQCzEV8DCkXZAen3z0EirvqprD8BWjJFI3/Q6
Nb5ZpmEwMy88OdXkm2eEJ/r9wA+A71f3y+c+g8fNaxxSNKJATYcLeNi12cv+5DJ66kCXY3cx1mVy
WiSUjC0Llo8Npo/YMeE73wgDHAfLvNoJMcs8FZnjfrGaGFxj1qfdgawzIsi0qWbT6lleuYm0fAjQ
1U4f7V52FJ/0TDpAQXWPJ6H5D7TLoxebqLtoi/E+mrbU1Oa7ORumDNJtkaASmaATuy0Hb5zeOXmC
ekEopilfR7bXO1oEtzNRrpuldfSjxO+8tWU/XkQJQatTNBif05Qd+Na2mLCXxhY3bV2BaAAo6d21
dM/Z8UL4v8kXbfisWUl/hAtDXaaAg36Naaz7nElNP+s4ji4M7HQ+h9fWvG1tz73zSWMoiBcIfYKQ
Y+Mr8MfsSDD28NEwTIqhE47shPA+plW6al6J+KKNiV23W4A2Lt6xedvD3W+J0fWj9EyFv2M98Rsz
J1fJmO1954w2T7rAqd7hy95OWXuzRC0kd2eWxs6kDHWvL250TEmrCJCHzq85HL+nELceDUMH0DuV
juYc+34SbaI0qT/3jl3tRxXwHlXY1kaG1JbDTrLTI1RLUhs9fUNp9KoBqXo5jHq3k7DZTlKUeFaI
E9BP1VKNn7q0xDPjTEmxjbXRChwUXEwnHYCLrJZnm+CXQxGLaAcpU16MrW4FpgSRCrdl7K5xR5mP
VG81FrFR3uvs705NVY/7vmP3TznTpUqjxXdznA7gswH5TfQygki2xXXf+d80zKY7Jqfw4MS44TUs
k4T58WqYqRHvktq8rGLh3ZSTM12Osz0cHc0FWOWE+dbqOHX07BgD6s3NkdTd/lrDcnfCYvCVdqrY
ob3W90RWPUewMAPDQu4Xwh6JMawV1Mqa+UFLzHDvNgIcKP3fncZAv4gH2WKonEHUtqSVB1VWQm32
Yd/G5iS2jgBC1dkVe1l9aZ6S3MLi38XLAVkTgdGuaPsbz8V5x0Yvz7elbQz53WTH5MfELDYppFYs
UuTTnzS3RiJD+4YaK27luYr3iMqWjV8tZztb+Pd6iB5qmj+MHUpVY8ge/NZ4NCMma6ItdollLgrF
++yXiDH9iIbHOMbRttVyfVu6WrU3RGYdRpLCSVG9Wzx4QxVO4MDvdTJeo+UDKksEJ2n9WbZ1euNE
Pfk9BrScursYFmv4ok20QQxTe0Spqe/1hR3yhCHsQg4s1JPXPxd+Wt+OfX3bV0ZOTG/lsbQLdRCM
c+2DZ/ozQZ1GfFmXuoGOSXuxNLe/royyAe4HEgLjGrwKy7ceuxFGclRMp0HK6bLJ/wK//0fI8jsh
i4MG+Vdt689J+w1TXfKD4998+1t/ta49hwxBxyCL1GAyXDvN/1Cz+MYftG0c2nMWhTVFA/hn69pC
ueKZBrpr/ovh0vH+Z+ua8AF0KK5OhdIydChS/1aImNKs/KtvbUGksqHh6QaKYZSvf9O0GLQLMor6
ztWqRWsKgYhOILde5hkty2qq/u4G3bz96P9iz3xTJWXX/s9//+yCNNWg8KE9Be+uRDbfiZMRflJv
lIV9hfnb29K6Si4WH5+7A57sEEFEOv/6ej9qiN++IM4K7hddGOQB74S9kPWWFpK+deVWsfOMhl+c
CZAW961iGvz6Uj8qetdL8ah51tTvwbkqkcL3X62h9BT1mbCusmK0n+lsw3fvFgywjhHhkGEL9uBm
qTg3ykH860v/5FsykmxGA5tXnw3/j5dGiD3MOjCwqxZp5iVYM5R4ml2y8A2Q7H+jZBc/plKsX5QR
SG0QNKAH6fHdF50qYo/dKbGuxgoOPccyWi7UtHQ080Pn4n0rzVTGx2KaUB7OJCC0j5aokO5NOTBo
3Sj939ho/v71se56joMGBEseQowfv34qYrrMUWhdeaPF1/XxKl2gDuaX/9u1EJoRzMsQZuC8G1BR
aursMGbrymzxOfeYVF7crpju+tSQT79+quo+/vhyOjpOCJYVl3wc/b1lIME1SYZzb10NYfzKOcLf
9YDof/M0f3bvmIQIMuFizFLvHqaOucXtjNy6Wliyr1JvUIViIISBWCj3/kb0LtTdef+VTIMaOSIZ
buF7sxpYOjEsuMevUkMhDMyBa3IUo0KKUFM+eSpxwVK+w9XjMpMPcBkNofmmw/o2/b/oz+onk9BP
RrCD1wc/i3pVLeP9gAlpGcFpz8i49zrjaGal0Gib+95Jai0jtPYpfGeZwdZgXnpK2OvLa8uWqO3f
u4B+9gQs9iks1TxpGis/jt4s98nnowt11Q7hdIegcdysXgdLNr+zOfzsUsj+PQSRLC2wI368FLbA
pmrc2rxKoDvcvcEAtFzJFj2HJ/Hr4fvjVM/0TW8Te5NvsbKgTHh/MYnAIq9rqR3ZSkI6wOAknyBu
4iYZPYAQnLl+Z8ld82v/NbzUJakJuXBrgMbygN97V2W2WOCqiWHU0UBccPLCxgHZBHEfuP+7RFHy
oY4sYFW8lDJYxCtVTNhaXU1pyL3EqQ+LchutM0hH+RUw7AKXAow44YzbhBP/b26SvcpGv/vMLPx4
Wl0GIkY5E+Xsu8fPbjslKde0MFXpEA8VLbBS3ECqHFlPkbuY4QkSak1UQlClcnbAe9rObQPHH84b
/mqgVUXI3BuCYX5ZzKJ7mQjEYlcbcxrcGHB34i0dAkE/EGw6FSvId8917MGIUQZAPFbdy2p7cQFi
NKRNGkjRDYAt3eBWV15kmccm5QYSjpPONwi+cKohyfMfUBnAvIn9sBYH0ZKIs0GT1MBx9mNqhXlD
0VoloZvORV7WXEMZiKGmzjec2JGLIRui8oBQgvDRuGKESEvIp5kG33IB/tp3jivhpO2iAuYz8R/x
Mcvj7oUGef3kyhL9WUEcx50A73KjGZ0G8EJmUfJFzD6PDFaEQxt1hGf/sFrBoV46z3A9Ge2WguHP
wm9fWkG7YeNgrHsu5sz4Rjy9cRhqt75rnK7A+exSKU0iCKjMvxSQR5/ONkUeIYDL1FiDJsK/oGZq
AZg27miYhA+zZcBLMk2aQS2HT5VhgCHC4P4A73Dv2jZaHozBbl+kb/GcVgWxmJr2JSsig2qV2QH/
bUHABR640ode0mEDUDIDfln5SUWKN2Cl8Fi9TmluXeWokKp4OCfHJELIQ3qgYE2ZYwZIOG6t2LHm
TVHOi3ukd9YctNSFxVOTZq+nBraQagaQn+uaArCgIjzXK/o9Q1r97FIwAriS0mIOhsqb6c7roesc
VWjLCRQM3P7WGvAiGpPBhzFtN6N70LEuOhWdW0ZwBP5mNRDGWkGBd7aLzgvCysPD4JIhh+NxDVAU
pclYhjbn06sP+bGkV2KA1czpRgoFL+o6F5vJnCvTRsfh0AzgKy/Xi5svUSASXCpDVdvPTkw4M91C
RVTARdF8jMzFOCz00NytgXnjSzkM5b1HKeua+ke+relbiA12AeHtBaE0xySHChnlM5dpc3gYY7lQ
ftfb0LnP8yUZN7rjIdwgF2M+w1/QKWXF1NyKzPcDyhpoAGzNCuZyme8zX7fJdo6lPGa6SpRjTFK9
1tvytpMtlaE07AsEaU336lm4hGwDzoS/oi7mKaWc2GfMTAFUGhCvOpTlTac4GU6eNe2+tWfnG/Jo
WqyKslG1ehPtcXC7qP96mWzFCuSo+urspwNSj3Jp4y+RqdHlrjoJ4gmSRQ3f4krMnVtfeHBLnmRS
dPu5RDyCvrw6wrVGqTCN1vKlzOtsh+p0wRI48Bg9iq4B5N7ySypTt6NjoPw6euNeqM1ou3EnLKrb
pim0HWFOVKjZvOzJ0uvUxATPhPbdXZ+12mVJreQyxaq4J+tn/pNi44hcNtFuZyyFjwnZCwFBAdTo
S2ArKUj8DXXfZ7ezeD9ABm1DgwpFPzRiX0BWSanpni1Q1kz/qAZRNDY0GLaOC++jC7Lad017A/zI
iyr15OV4YqfrHQh9hN+C53wELK+oLqiBwq2lUC/UU9uAhhsMRAWCMRQShhIbRcmhbPe9nSFGifVv
4PurRz9PIBH5JJlB8De3fc7n8MOuuGVVgjiDHSs+OVZNCkik80TdyEhPFC7LG72DRpu3HYNaw6bY
Pa+2es1IeSXgfiP2qoBYpFfOCpcwTDhtWNmYDaNGZ0KqFsUzwuxlwHoZiFxA2xLtvH6yyU5MYhQh
IMz1YVO4IaYrw9YqymPWdJNTkwhcsKeHrvVZj73eprlPS7O6ejNK6WKSqGwT1A40SSo2ZsrBoE2c
o1qEPkS5DIu4H6TFq9/HgI5ooAISsUUmnyRxBHw0FxPhJsvL/Mmo6oj9XEyoqzCBWdLQi1tZfLFB
rcrXWQ4WekgXCmLudu2uTK3xz8Ib64iatGZ/9p0QdVfst4e8moncLaco6ZUPL/7aDt1zKm1zZ1tJ
FAXhzPTxSDETm1mySOwInhF754E6c+BQntzF41gj/3WW/eyp7E4/osTvu9b4abCb4s6J5KuRIx1E
7v0h64zuwLyquAo+GbpWL40XiA7Ry5Ik48eod3lyvPHprsY/72+syKWMPeChnbHUtu7RsZO22k4j
RcmgdZjHg4zgyfHQ+ZN+ZdXVfA39yrxzFhJgNk2B8m5DIF6SBmx2/AfYQKDYyayknds01gfiWvIP
pI30d0VCflNTifYb1aEcUctifq18Z4BWINHH2aEBK731zCTIYmqvIwxQKL11znThhzZ9MM86zuPw
NaTe+XHsogw4aq9fN0lkf8lGJ1MZHrHPWllSKa5nM0JUPifXDTSuo+aPPgqqIWqf6ZLIK8CgIBkS
GwGco2ugZboWmrNgyttrbGYpXQrDwL8JamxCXlaa9w5ihsNQmpgKkzg86XO/3HaEp2z8IRqf+ryr
+53etlZyxKM12cCR8R9vvBCB4dmZ9FFeEEXYoqMrtVPqLtUn3BuIWbSsRwJraK6eYZPxxvPICv8q
hrq97iXg+omF8KpMW6DwEhheC82b4wVOS5pvFnaQQLKz0GicusMtiVV40Mo0hFVKsjhc2KkzN82c
2yc490yj6MN8AkLlUI5bA1VcSChpZVx37oy+efZr4e283LWYEAWqY8Ppw72PGXQfyci6RKpA8Tp3
lkPbu8kdNr76Uy/m9sHDW7eDX0XmNAQ3ys0IhC09jpXGOnW30Kpd2lBgbmjB0cjedPo8BKE20NC3
uFU3w8I5pczxbAc2AaUfDN2dPunNqBGK2oH9T8za3Hua2bigqEt7jxqNHPcKG2R70TN2X8M8noDm
md03EIHuy+h0TrLXJbiboM2FDTupyt1mE2LifV26pU62DXQzmoydfLVjNDPYUE1WuaTtjuY40Qup
qhJp/5RAC7awkhOhjFZCy0dkK7oTdkhqVHQ6hDREoTRycDf0VgdCtUf9iJdieIyduUJqFi3pBx09
s74JZZl/KKkSd5vSmLTbWDN5am9I7eINsD0hJkdusB5q/lML/V0tlEYmdaD/v4Xn83MbJ2XUVT8W
Q9/+2j+sfYJQD0gS9Fs9X/lvcOT8w9pnWH+4JseG1ab3T/IpVkCKkxZHI8qdqmLwrzqo/Ydt2cIE
1EIVBmLEv5W0+v5gDKOHrhVEFFoQFEPes2aWaql7re0RVw852MUymXqCFtqOsImxbr98d2N+Un54
XyjkYoQegiqlCkqB7P3BOLInK2fpthi0M0dihdSb1aL9tso6hi6fMOJYz76C+v0fLm1SQyBXBezM
+wNyomWC866wbhd86k+l3wAffMP4uL0j7k1aP2x69YZtSBsuv63//FgSsMjXxSFFUZlCJeVY8f7y
hplEpQ957TYvKM8FnjawjWHrs8hjUqnLTWTo/aY4+A528NdFGSoQcgXbrPe8G+a4sI+kb9ySVmTc
l+SRXxr4Weo9LBiSjjo0XVai8Ju96DFXx13fvTiq1pNrDvehdiq6Nq5iGLZaA2JwWRbr2UE8DmuR
tABxNciQGlGywMDctFLgN55Y4czfFOp4N34onal756yFAroJyob6Y+3GGz0TL3VssEpzQsogpV9O
ec+ByGsnELHJXF1NGYfKXw8YqMN/v6rPiKWCQ2lbAZC/L2o7GmaxyW4g5IlB3KNVIw7cLeNX6J60
nMUy3dkWB3jU7Bii5rj/XVH97y8mxLMVjaPjAvXevyuD73M8yCZB1jH4gkS9MIheOLsO9e9aBeJ9
XZs7TFWXN8tTh6S/kbTC2e1KWNvi1lKAHQ1lQ7YfEpxMKO05zE+ZZT2TuaXeTsit7BRGXpb1JJ1m
6B1/feN/9sVN3WK2VMXmv41aw9Iqv9ZD/bbval4Si417dUJ3wCY+UaSaX1/tZy+Jy7THe8n/3L+V
gYVM9UQzB+N2LVkg3eKYYEWwT3oXsCk2GAuJFiVCQLKMcj8nArggYQUJUgoKGvniUl2t3OGotjl5
oKX04GsM/m7FAsfxwGG/nFPeMiQA03j0Y6Dm+19/iXewqfVNd9nNWFTNbRMX87tXJKUH0HtY6G7D
MNXr/UqtWcfN1BXySR1FgxzX9lM5cwPZHPqAlBcqZy17tYOcCyo0SWZRyljgwDZk/egtICZ40r/+
nD+ZBZWHFfMpoUtkj7/7mBqKiMHBMnNrg0ohyEXdZiGpjgo9FPe14pv++oLG+8Hk6DajmjVXV103
8f6KRcc5U8/m9natqK1AjxAB6nPom7Rrep0SS2M6VAspX0FioCkQE7GB2eVj0mfUx0yg/i9mNeBd
15kB2IlDVjThB1lqTKy3qGXVcIjHjf0TZ7jqaqa1eVphHQYigTP7w9+VTvkG7yYnFmud50wvyjKo
o75vRC1e5rs1BOrbioJr4Mt5abYpHO4PtZmjVqIiMYyEMA+o4Dny5k4AMzSM934coavM+dl6ME8S
x3xq4BFSSbzDEmkdcI+2F0EpIrSPEMEwM2AwxRSkx6P2CWli1G11t6qazRjNsR0QjEbpg24Db0ba
jv2OJYDEL+qU1cbyZHnbl1185bVFejIKrzoPaYh8AaQJsbjSyLVHyCbZB1HN+Tc9ayGlctpGwzov
i+TzDfHLTDCWc+xmMKYJsZbVke5wYW5q2mw3NRtmMNUA3Th1UQLa2m4MjGRwXU0+9GWejmBqXfej
T+iAvqkJb3A2jTHU1ALsqEExQT56Ezid4X2lUoyysywgRR2Waelw/Pa91Vwa9ZxolyFAuZMR9dTr
5BAedfY4Hzk+CrblxJs0t9qIp5vIFipzGFwMIquKOJLyxo0o+gUT2afh1kuBJUTU5x5kxhhxcY9G
G4fUr11dxNho2RrA/QV2zqerbPsZqyDbhDVwnC0gE/EA+/XujQg5uy2F7dDktOa1iOc2RLnn7gm1
bNazMgu0LxLtd6+78mhGejpfO2ZVn7TJ98Q+mkkBQryWTN4lHub4PGR+942qnoPX0aBooydps4XH
HJ0bw2r2DflCACDk06jryyNotuRoYITYUnRF8dQRQ2QnKsDUN8I9apjqS+G39mOlam21I+MXBsr0
Z9SHaUdOcFRu9Z7HE8RhV140EeHyhXAHSKxRoXNAC8tpwrqnafPGI4PeqtEjT8AS5L1me0l2NZRe
m1lwbnK/uHdJKdJ9BkBO5XxbuAUwlU03UztAnGfZZKPy/zikDBsRnZVoIt6AuZudYutlwpePWjw4
Jh83S1GezMTGentNV5ufhS41PiQeUKmBQCT+jc0QMzi9A29UybE5/AvE0mH+aYKHO+A1BASJlBFm
0+D6zCuIcUBFrtzz2BMsplZZ8zNQfsMRa1qerCMWHipeVJpuOkzY0SfDEmWw4nRnA1N2YuG5cr2l
C5bZUTCbcQSdxoF21+U0kcgKsZ9BR/sPowEisF3gojo9mEbNYh5yrYL+ThOjaa55Q72AICB+/Fzb
fDhOHNUV2zrQ7QrumBFrcJWVmXFPaoz6Q1Xunzr4QokqSeG4yy2/iLZCdPybaEGWviFBWJwNXJMQ
/F2USXuPsu9zY7BSbzqqje2miUV6RpvHFIOcA/CSKrj7bjXd0VpnUU/ALd+scyR7OO8U2iyibkpP
huJ4+wKZjlvpNxZqhbbnt+unLXATpIiuKd5VbDsJtLMTOirrXiSDltl8KPEvHKKIUNt+4YkMFjvD
2Rip0glMmyu6q084bpg5PbCVUB531EG3s9o9zgb3XhQzX4pXkitltO9fsOtPd6n6HeIuKpJRyu5T
z2iarDxauCk0M3IYcWsOLWVBdr9T0s5360ZhyagyH1HSO8+GapekLU1AHOdwzw0vfbFMgs6CxAVb
XtVKZRjzSjtVqJ9brNXViWHEszPUpy2rmoWnrZrDimHXU9X+qBSnbS04ogJgNaeNQ4cqNOhyveFB
h4rqwWXdNqq9wN8BWwUmZDrVGij/YN3goByHa7Wk3cvb4cdUa/Kc+oiwYXBZWBNxeaZIHZzeuh7t
GXJeYVvPsUuI4QXLDh9QGiSgbzytpKqB/DD8mmsxyLJyfYVEaMP2GqZGbYNYebptM9561ti+5EqS
wgnCY3PHP/o455tdadnMbZU6qmRxkVys/SamAfPS4Umf4Xy7l3yd6goLn3OHCw/jKOE0fFoMwwpo
y4qL0599uWrm6Nju8IFavYIsDTR+LBKy+2s4ZVqMPjHkDCgc6MxkIy5E/ULm4cOENgP4rQXaCeqQ
hI6792nmYWHoaj25oAHIGMEuYj8TcMM9nVBocgRQk0CWm9MdvFvuSp4l/smZCS2gqc4L56jLFyMN
oFS99WSjQ9lUbdVVgMR2vz7UoclTTQxotjjR1X0Y2YL6JZ21NUJiUrnIazMxIwu62L3lBkQ2b3zT
tHySdSRaUwo2jgQBNTbodu1EkzP5kMwBNsOfYPNS2FcPKK0tpiaDSJ9D0Qj/IcFah9qX42i7Qzyq
WqgeTcqNMUbFRzrZ9vMqIDI0jzMAGj5Bt8ET96OpgtVNA0EnoYSpT+st8eUTpWRe9FqME/x1xi0r
0XQHH50ZiFY8fCB14F1Gja44CPl75Dr0pZm69c3IkfZepR3c0yDgsXRql7bQzczfdozrsjkvOiNK
KnKj6cV898WW/qk0PG2T0m/ZklPNSUYFbzRymPxtOop82Tbq48QOMqgsAbMpcX+Z9DAiQrGyEgnC
MoN2cM3F3ON3FaRutRHTUZLxcqFZY3aM28bGFsKQ7xngqBbiJIT0NtINhHNs05i2/T6376ZmRGZe
AjrAuNHQTLQmNbPwp/2HctI5tsJtv8zqCtYEhNQxh1Lh8LfzPjbqj0I3RoZImHGjFzWuknSd+ybw
jBdVJJjk2YpE6kiOan/BKEmDeb0Bb3OROrgPSpazTqxNpCIl1rGLwpplbaWST24yfwVCGN6u49PC
w3KRUgi4GEqyhq/d3mOIeHrfHCw7G45xNDfeXwMCr6L3Kl0sXwER4qqnWvpEFJKDEwGEvl9HxVvI
A+5qcXYsSL6iLuGo2qraQOsrqQKnLAXNGbtkJiKlkWZMbVCEaOyUpiu9OE5VowpRQJqfB4018t9m
NkIA4gh6Ogs0IgeGnLhHw1eNW5FHvFkESLLCgIXHGSYZND1psg+mmYgPNqim2zddgL5iQTtYL/gc
eb8sGH4krYcuNxuXhlq+u5S7ZOIlpBjEAgSdJDLnMUDBykRaRQ0xNrXmEYRRQqhdGHAdr5lJp8Ck
wj1Pd8Ws2tu0ZfwHf5rZ+BHhQZVlHlBXj4bVaVuoUJPKTtXk8nEQHmkaXT+Qpi7aVK/e0tjRlvEp
bK/jCkBRGO06tW8Ig3bPJiQi1PuBZgAFbzmp7+v6442FQeZj703FB+CX32It1AJCeduDnZPK4zbM
7Mgg0tcIL/jGNWqC7mCcZDS3iYM1J8iWaSJZkeYEu1FHydNnhzI7D6gfuM+JZJarbOg5F1qfgkIF
RD1soroixnKYistEyvTatFohyGe1i0tO9tOhFLKcg1zKEg8+VXN/ytkvOIpZiNiTEda0Bu5wBHOd
fqzV5H/E30kh0qfsfy56i5A6gw7a5aolQLeNI63Ow1H7GKWo7IOmkPxa+4KbtOpbVhWRZ45MOI2a
/OuBPU6htnSr8COLOnZ4qvfXKyrZelBeE0xG0+dV9eMa+qPe8PHChXyWDPs+IoJw5JNO62ISxszb
i51UGc1rnykp86W/S9UaLrCmPoSeYuCvB8NIj0p5RMBCoGPTMadVzuSGV9TTiBUkh+WU+HRDRumL
czTZ/oPQuvbFWGD24Ca2LjmD8VxLx2D9pH/HaC0iZqs1DGfgysE6b/ppxuSIAtTcrbA1I1f7zVWi
QCwp+vxQUr4aJ0s+ZZj5NxW5g89NzSvU5QyeJMRQp1X23lHUoc2y4BsmyjKODwbq8z+twQF/iKOC
N67TcAza9JFP2tsOAxFIr7EyF1i8rEvXXYid5MA20TTkfINRum8uKoKV9hCT4F14bWc/A1wU94iD
KdnZPrMSdR5uiYv0gVpTaHCSKBwWFmeYnfuYijWYANe8lNgiz80Sqelg3TLbevHqRMa0oUpW6Pso
K1xv58ydsefK8X3c9NOnifDkU0zj7hPG9mzb8oYwO3PaWfYsiMo+5hTYVWdLajdKbjhhfvJLb2c2
5nQgl1D71kvTfiH1Y/kTq+MAYmhq2W6PObYFZzaoXLT6SbApu8gprqD01J0GXxhNpE1dl2m9q6up
PtrmlJwTFy59lDrJ50J20UeHPT4KhyIH2dba+gXJ1fPZN2X4Kdbc7FtVz/wku9STlp1y6Uc3S6lx
Ys31aATb2qFpUrl8zpvq8j8dnt90eFx2Ed+VlbbP3fN/vdHdzs/Fn//z30FVln9+65Jvffc9qe3t
r/3V4HHFH0rjLhwWl7WXY/6zweOaf7iGTc/jH1l1VJq/YzfCYlvB1XwIfvOvLo/+BwVJ2kV0i1yB
te3f6vJAnf+hYsRFmIF8g5YSSmEKb8a70pttzCgH4Y0cqjISWyNO8l28lDAQuu5xdrKvHqWvjayW
jjUN63iWOoDApjk7egga6FR4997gMVXkXXY99flpIAkXs6NzhtSAHUTXSiKjBj+YsQLz6pfLHnug
vq0jyXbJq/29ZNccEAHnYwI0bmU4AEGJCQVKLQ97dO1OAG64phbpQ5ASgsu5mFDcNGsfh9y/56yH
sUxWRuDY6VdHk/o2B7S8yRT0rBrc5lIOzaNgixYs9mBu0sXWdkXoPmijfpea4iveWE7dtnzMq+S1
ijpzM1V0kyEZ3BLfDne55Ps4cup2elM/OiJVvjeXWqDG1+NcbuDjhtlAHvBl03iXUdl1u7Dl1jAV
76KOotSSZq9GpmGLgm+3qbyGyljND80HboGVRZ/4CtwG3bsskrbdhg1/atD5DGhItF0cGi3HEHJO
2RrIPWyVfOuQFhqQx35LvChGLP4mAFcPlQ1ku8WAQRDN3AKZm+S8dmK5jar81ifbfpe3XDKPFvvK
tmAnl6Np7PqaD2RKJ9vqS/Qpa/1pg+fX2/pV+TqXdXWoMYwGdjiTg03qK7ugPPoW5iS8d41/73Ny
2xFBjtkRthwbzpQH3HkeIjeSVxvEwfesfNmpphoHbSJf9hLJz2H0uHsmDjI8S+6lJ7T7dZAkNYvc
bNXtll2kvsVpTfvRS4JG9+9HT2Cozvil0O3bIeFDRSnLoak1/l6khN1WOH6Ort8ZGM7VKOr4s9DG
z0krsm1dtQDXhjgNnNCZuE0MrD4vZEBQ1Jnx/ApGmhgog4+ej8lX03J59gv/hNgByI8A2M0ZrQ3Q
7vB3Cu4SMgryBF25XJMK4AdN2zyuz7sgU3sz5AyrbuT7RjFDxlWMq6rGWUktJj/qInrlJWdUo5uD
QsLo9FyGSqXehaju5k85UIcNEO+vpuCD8OZ5VPqy5Nxzu1zLvUeF3e1Gkq02rjuGR9gey3Xs8nb4
bvvoZvxAB1UzLxyDyeNtXG8GIjZIgBp/VGbF16ICQccyC56GEgeZdwzaPGvD41xCxyjaVAaGhO83
gvkKTEiJewh5+IKzSt8WjcUt1Qc+QxS3VHK16SKijXwidjkJarSdO8qZLKKjeUrGtFREKkYZ4S/B
NJbZtWfwouLj1LfI6/NdNkf5Dk7yq54Pye0Qk6+uXi8zXZaDLnpjR3/Y2/YVwIiKvftGL3jcFLSy
YxTr5cVEeu1uEOo1hIEVrM9WK/j6WlieHDTkTCEMgVICFzSpp6G24PlRokJYjKT8ooUFTaAVjCiH
pGK4AwzndQCoEc4rfptYS3lhzkxj0CE7mEU+OFr1mLsePUzHZjOAmNMpXEr4LBOyb+2Yr7poXKuE
snWgrcDsBc8vmfnNKLLXSKWO0Z5gXtF4mwskroFRCsrITV+e3ESfzjaOfG9Mv2pRQjEDa/MJKlWG
FIw3ApCrdohs3tNqscVpdmN/7zoMsrIwy5PW+lydoihzb/FctkwOBA9ikLPQCAF80bWJHyZGLLit
6aidg4ku0aYqaLTN5Qi8ZOuW7I/xceoHvUJGpuWRCrckMjEceXTsRvyLsDduYzIeLpb/Ze+8luNG
0m39Lvv6oAMuYSL2PhGnPIvFoqfMTQZFSvAuYRNPfz5I6tkSe0aaue/o6J6RaICCSfP/a33LKvUe
3hIcIHfAL93wseXAKYw9jE9ekeqAzJH/IDn8NjbZIczary/tAOppbUQG6B04f2jNTEzv7q1NbOHe
kxBwRFct0w5kO91M9a71Eu5fhSkxbszyhHppIlY5+4KVgEuDTnP99VqTEZttMjg3N73FfXVLL9si
/203RsA+HcxNQyy2IW/IA0WxV9HhCmTzBZXzyi/6dPtV4RQljCeukSc7S6mXwDTEtjQsouwb/6mo
IJ5lRnxjjP0Z8SgFyJE4Hp2wG1gZJJMjsIRhSFjfWOFungwPZk0+f8woBQwresuut6Xs3hosrVX6
ySbMfkPLMRTrxLQfBPCzTUtjLr0CGNofk9HkFjqmJINcRkjdtnTzUhzeSXcDyNyT9AzY6fo71U4D
zJKsM7fsLxX1GtTE1tprGgN5cv9sUJh/Rbb94hImh0XSmbIvQeMYM0IyHPvImcIJHV6pql1YZFNY
r5QB+7BOFe98iqpuEzEVbWwrkFfhSEVoB7RgbM8ZakJAB6HbFgfAY53xXqMQX8d9NOQnGYcO5nAw
894awEuTnMXg2Xob2aU0wE2wfIh97+GHpdhvJSVf1zWktQUYH3zEx+FbjQMgGnt2K4UGK9GwAuf4
C/LDgCEoeOhV5fBY8da5CU/6r4/7cyvz+3FdC0oK4AgfYcnP8oAQqTsSuLo/WOPXwY530Emy13Kk
CTHV2ZdfH+3nNub3o/n49NFdhkt6189HQ8GNN52WziHXPCDLSiDMpEERgLbX1yP9vQn4zSbAcn2L
Nfu/lnldvD7H1Y/r/+8/8Q+Fl/UHxhv+sdwlV2fRjP2p8LL8Pyg5WQISs4fE4H+X/4vIC6fQ8gyh
CfMWUxg8my7+n/8i3hqHKl4eCjUCq6rp/CecZtxAPy//6YLT0+W0qJciB/pLzEtmyYYlhfTOInaN
i4hGW3NZ+lrb2NfRf8MXJxgxc8rjZIZefo95U4Sf0J99jpl37sELOGJtVYhXPWt6l9G8v0S6AQIt
twOAkjXZpQvIrQ1BlAFi6u6MfKGmx9E4No9m2UjgtMg0neIyC5N2Pwx5mp59Ow6b1djkwS6B5XBR
YPRY+yk9zEJb8CCK3KXtFIhdnKCh3bIRv83qsFMgSUZ5IoO6PrW93e21NzRHFMrj62zlH108Fq9u
2Jof8rHy9yYul49oi821CyXwwnPaZwpDFp83iDV9DVvFl7OOp4NZV+6OG2Wcy9SQ08b3wUEiKVBy
rYh5GEA2UAYpBmA6OdQIxL/ptRHH9juyTk5uD2rESiaWx0ls3um2rO66viH8pTPf5SIJHyeBJX8q
J2jUdviONqe3HUyM7s5Q3Lopedlur+yzKgp10SPfX5tpkgDGrcYLoGXJVWjkz2HXYHcn9GMrWMZf
Ntgu9nllDJ/azJdws8kjwc+Xfy7yhKzqNLA+oyBEKR20qjqEdvIZUJvahmMyvRdWMLJ9SCj5NHUA
rbDIg4+23eNz8AGNQFJ5VyTFu8bg0HTxCJKJx+GD7JgaHTjMcLMSfy3IKGJdSqQzmxwoxhYjYFjc
+3j00VOYcX2xPJGPzdB6u8CSCZiePs8OlPAaKuG+33H2g7+hyTo4e3MgdZF6/jT2MIOs6M7NrOxG
63a+lmNsruPZbU6xYxtk1pqT4CgOlXMfjbGb5op2rOEk96xo8pMoan2KtedckXgGLS+W4w1sE7Ur
4XS9dIGblytkZmBRM1CnIWJ+JsjRtfaFn44nNcvkMBHAeOpA/8HK8sboNUarsBQxxSG2qIuudF/7
lH9CBL5Jt8Ssl9pceQr67kqVNlk7DVzLVUQ2+xMkBkT/jaPtXeZkjSaO2E9w48TDbohtAbKugIxY
FXZ4OQD9S8GzuLDLYKqrXThOp6ThpHxa6cd21u1jxJ60WA3Mw1+qfq5oWeUhU1/mnZQwXr1ZgF6O
45S1iYzAQisDHt40RwX4Dafe+akZvksGDXtV+Ze1LJMbujDxLo+E+WlgabGzE8t7yRo5H+epGOK1
N2CVGRXdfGV14/uwcp0bMkt8ZCCBhNdRhdG6zEZ9WY2G262DQFZHmjhjvSmkEW91D3rUF6yhZuKE
1p43lZtucuwLZBLqLselSijt2D+JWFS3SVLGmn1YZrCPipJLo3b0ShRhUAAB4SN5Ffq1lU3fcF34
I7EzatBQPwcgfZ3U22QM5sdhIo93GBtrF6MH2gAo5JYAYL+Kg1LdeF6DtilQD8R8eXeh0x8UOvzr
sTeRgU/+UfS81mDa7OkikcV4CEavotVuG1trtFrqGnWg7zOauFdFO9gPtt2kH8HAwZD2MvKrR0Vr
TSPqvyjZj95PaWMT5kBuMgDSq8I3tmZZjbeR26iTxjq0ZvCk1QsLcl2JMkZ/kpAZhAd3ExGFcTE3
1qs1Cu8M6qe8sK3BvigQ6q4Sq0X2UtY2KFEZ7ZUtEYMkSCR8QpZX2na6+zmM9efCrCmGEKNxAHLs
3vq6KciasOJhQ05bjG1MZHvMMvUmkQzkMGK7yySmbkqXllzjBbLlBYN3RVoMTEv6xhdhFI8bmYXB
B6cy44NGbA6ULA+3yoWpuElb4X1gEpwPbhgany1SoNEQx0gnPLf/kpLAdnYpgdy1jWetayBdizHn
OZqLaAstMN/Y1TDsgwGp6bqWTfzBnqPupIr8DtheD4gfOq6jVH1p0+qhILpwbKZgvjGtJLwGIJk1
7NLkTLqbp/aFW9Gxc6Zg02bBsOn92P0c6XLAeDSB+Y4X/9aiVpDZGK+VJ4xTbLgN4D0xvqsndjSu
Vc93HkK5TedU3oc+iHk3HA+elAjyC7LDJlKSeqjKeYRpWSTux4xIw1WAKutsybIEAVZZzyNJxJup
mx9lz5Buj9o+sCSuCzZmUgD8teBRmTMFoTC/m03rgtWDuQIAZHnoCPGkovAXIdT6AflaFr0zJlFA
+Crw5nplfJPmrS5XRhONT2bkNcfQgWUWUQILGEFleGDcNNb0VU4tGUt389zf9FHSYc0x88ueC7YW
PHsPqbaLo6xoy7E/3VMSYCs9Y/4KA+Mu0yGP2qgqNiWOjNZuGQUHMvb6XRR0+bZ1+mJtBvKUZnW2
r9COXUgC1aAMm1Bl6sK94IWCFV3Qjow6ilb2lC9EQFmcIrLemYrk+Azfpt4bqEsv56H1Xyw/zz/h
iDfOolWAbApBDoD7aGqX3QeG29M4IgHAZTnvAwxI20b4wyNJR/1ReMVzipDhIoaLuGuypNoPvcYM
M+c+anYjao+JLbExYWq9a6OyupkbNo8QHMWwStNbK6rtD3h2xlPIrAxty5LDOytJjEM+D+JU1KTG
2YnYVU66OE/N68xznyboR4AKi3xLtqhc+eyDHsIgqvd9FzTXddBZ66mtaZY18nOQRQyBURxjOGTH
NcZtfmirfGlSuONljY34/RAuJr92qDYge5uN64n5i2jyh5h4eIpiqX+fSU6hs7JuzfnplZc6VwOj
6raOrY+ydQ3kY258ndbVKR8NfQUC6USOt/uIh7E8Nqnjbl1DDUuObbhLpkx+VL2e9u6UqI+TURJ3
ExLRA4houPDHlNaN136EhAgz3CwQj40Daoroa5v62eiF3ijt0FmEj3QMQ409Mcovpw7kCNAVRHnF
cAYOH63jwKzWsennj1jPynsWVdlliZiqXwlL+qtkzIL0uqo6ax/6UX3OI5d0IafeB5OprkbHBbCH
z2wfpy4+8diOTv7ScVZ22h8imSaCET/1bhpRTxcxEPcdlCEkXWkq1qM7fqSAl64rXwlIVKM1X2Mj
StcZ0u5jBUhoJ4Jxeu4DGaBhb+A8SbC1AtteBMTM0427EdU8vZTU2j56VMhMlrnPRYRHkhP5UvRF
s0uLMqywvRrqQrcmaqs0o2gzq4ySS5MVRGe4WUnAjg3TDFgwaoGiiYGpR69wveyNW84jU5qnupUI
EUlkWXrNunfdJWa+G228eqasmUFHaR0Xn/eaSbjexEFgHqRjmF+g7wiEbznyiw6cV+V1xPAlhSL/
vVeo1bJbgQXTWbVQCS+lBIDdlHZ6YXKrP2Kiiw72JOXWB5yJvkm32VG1GJ4imHubZkSmgIZM+u8R
US4F2N4Xq2Q2b32giTYgN8Bl1thZL1Pt59cEqzAgDHa+Jm3A3skSLKR1Dza5T+VGDsDhXpIeoYOL
I/urhG8CUu4e5VdxXzcFYfUwatJOKLS8TosKMPwqCEwVcjnkgYS8DGgqUrERYZL5sLEQFBowyTsS
RpAZ1l8FhyFnyBpBvOdnqo8GCQw7bQ/1Bd7ISa2sRbxoLjLGfgiaq6bmu4EOVx8c3jwn02rH2ty4
wtHcbPpI2/vEFzXSyHoqX5U0ratqUU5SAp15g9nMnbGPPMxUdleNEt4rGOlWUnKc60spwnErYNDf
qaVGmUJGPBpFXdyaIxQ4JJmaPmI89gc374JlNNAbVn02tC2WMPbYFtC2kuzgqdzd+rmwL82yJdJ+
ERsnwkSthFltIzxNAdk3OB5kvepxSgb3HXVwatltUuPtbC0DNauZZ2uTK3c3gshYJ3mnP+Bwu4bG
ymU183C6n8Yw2gwp3Lw1rhTzStcRRPuORgU8uqlZtSLweopSdXAdMAvTupia/iIlJLXC+lEWx6lI
04cIPu+HjqUne6Z2OOMEj+4LMbc7mkfNFZDfdG+EHbsvgXX5bMhhVADypmHr9ZA5YeE191IWiMRg
2RKiCa0enppayLMhJN/Gap5UrKz3VOSb92UVPcnCN08u5WuUiCWVUseua4Q5oQkrdDAv6fjW90M8
teVG4pvzr/opdm/LuHn2Qf2igp0BW6MfM8GAjCbTfjJHLi73XHrXWa7zdylIxke0u5L4npCSoO4t
e89WqHvMVD++DgBd1rXtRpdtEdWQf6Nyl6qUl3AicW+lvE7oFVsP1jpwBeyNjMX4aWbVx4rfoAyr
qmlRMAZZvMHRl9ypKGQl1swAmAdUTNs2MKwtYV/hxYiC9SKe5/QkYhJ3CsTh5xzrLWZzmNY4Tz/l
QTU/UiSUxEVY2ORXDgEQWxOT9ruMoQKyHDg/jJX+fG3oat7kfS333cKZK5d1kjPzXCnkRCurMaOj
tGnOk89trJMkrA5YQYkbY1tWsf9cFrKWUCfhsLhOSlMsI1i0DXUzYmBsk7Ro3lcdrYprK0tbh2qt
x2asoc1mrnBExwF+aa8F9kJJZH41dGmON1ZopND8SNJNQMXrdx2xx9MD8rCU+dXo2PB2NyAfSLHe
9r1PqZmauprGSy6JCoIdkPPYWzuASfts9X/IhGtjVDbTeY6mvQSZh9yqmJ5+KP/8k8rjW+YKfAMa
qSIQPqsyqjtvPV11M43Itq3xTBlObIwQpodlD9yR4sIIgo2MPtqFs+iw4OyInYGYGpD3NvDlVd3P
WzCBWz7qPpzTDbXS3yC53hQMv50bhjkLAhh69LdwowLfb2ki9TvXtTr7NWtFeUiG37gr/tlBrCXg
nEDC0PTfXgCRdhOb3mE8J7a5Wv71jHxX+tXu75Jk2SWd/k1JEpsiVed/XZEkYKNSz68/FSW//cyf
NUmTbEgQe0uKtAf1KPihJvk1a9JjAbl4n5AnUHr8U5RAIdOi7Bh633yhNrf9e1WSYDn8m6TNeWB7
MJ+Y4X9SlXSXqvUPACCThUngg6fzEdALIFCcw48WO7OIa+i7s3EZdLJJWVyghNT9ezWEbqmOqVn4
QP7ZbwbMBT6W1EScnDAvxm1U0AbyWS5VqHeioxvKIHOuSsOmMksLDUSBmQLzAsSDsZs8iknuIU8L
KmqCJSzd2Zm/lYArm5ljPZqCisEMIbUvmCBO1lAIFImrMfANtAsGCSgD/dvi6PguYvTMIQASwoFE
wvDBLpXs1iy5VK3v02YmTn4buNHo3wbx1MfhdZLQO+1Cl80mvTGjWIu+RFCY92pmfeNrQwIrF1UT
1H/7tf+tyEXuscMT+69fm/Pn4fn1+cdK/vcf+fOtschaxaXmgG73vjqj/7eSb/MI//ma8G7R+PFR
iKBHxmGLrOfP10TwJWwNJsmpKAkEdr3/+98/MdraN3/+ERzJu/fmPcG7uxzGxk0QevZfxlkM09NQ
qtq58mXrP2n00RfasQwFbZ7+qI6LptlMdXXkhW4suA4Nni44wdsRDcK+x657EtLs7fcinjNCJ3JK
3s00OC59/4ZYj165+skZ3OE9Qli16SI9o3DW9kQXPBiiVd1hI2OZUQ57eMXWXY989EM5yOF6JtR7
wsxcspPLZuWTDCjVuEsKlzKvSrEYqIyAMgpT3d4LOUWg2Slk5wj4cAq3F4muq7Xv7eIpGKMD3MGZ
OJwsNT+lJAjqVa6z7LXxjeYaNMdALtFYTNdSVi1la+w39Cpr2FUrYBGZf1Fp5c672aKktW+1zVed
VtT2kXAiFlmxaPRFZJQi3RSAxYxjwAki/pWzQb55g0Hm1g7q6jZ00+gOKc9w3eTAalI/7zZjXFAj
l2017NNR+QfKNSTTpm41R1RDOiTmAbSiDTM8yuorJ7MfUVF07AE247fAVWmJpN8X0o4cfx+IMot2
viLbwdxMaaFKc42Ccjo731JdO02eKzLaZSlTf13XpB5AtzLbJkEOs+5dW5P/6NwNmHZWioGfkU6A
LZ/OWTMwFG6X+n+IlitSxa6mZInPkb6VB0zGiFN5LS1t7PBOWe1IBYhuPhezBz5zak1jiDdRY3p+
dTDb0ZKXdEdyuUHFNCwPjj8f5onA9J0xEZC3gkw+5sOx63oW72dLF2nngOhtWxI2i1WGUrK13kcy
tu35w5TQs1ev3dh0RYGKdJ5zefv3MuHfWSYsVtBfjXf/L3/+9Fz8NOB9+5Hv413g/oHzmbalR1HB
8iBB/GO8C4I/aIvazPSBzSBkLQ3K78Ofs4xxPu52LOMuzfcfMmYd8w8bri6rDg/eBT7V/0y6+PPg
5y7+MEQ4FtpFx8ae/maRkFrsr1rHNQ6hYUA+R5A+H/rQbX+jI3izlv16mAVHSIfWMQNG7Z/XIrPV
In+aB+PQztjOsgrWt9ObwXUxDgwQP1z/f7Jz4IL+uO5ZjhWyECBMm22ah2P752NxL1K0GY48aKsK
r1END1es05wjybUQ3zxiYX5zQHYjfzmkz9yBB5rlngUokpXgj0styPGisXzFJkArVCQS1f4J1QT7
ucrAcEqDBX8q86Fj70zEHA4JHPmizEE7Vu4bEfVrMQxsjQmOgwmxqNHDasLTgPiE6DOqhyj/2nBP
YEK4H2fsPQUK6XUpp/IIwLC4zYF9gpVQ3aNFrucxHNA4GrIgSFt3yRnSuCg3TlTGe92YWAmiVm8b
SEq3tuHOn0NMFk9x5qonv46uzF4n1PFzUmbr3DzMtpNdQeL0gnWcOv2t3fbFl9mZq+vZGdNHGz8r
qQMy3yFXKhdY3rDuq3JE7iThoM2NTc8B+JJq9Li14qle5Z3TXvpWV51VHYwYGjPn2cwjysDe2BCQ
ZoyHhnzuaOVOoSSZ17CrlxZLFGXzYrrFsxf37OFRCa1U4O7M1ob3noGNyjZTrPwW5ZEeo7H9EApb
6PYUl3W680tQaOtR8pyvsTVTvjCdovzUKwyjWH+Cd2mY2XdhZIbk1Zht+JoSq0NdMVwkqks+IL2g
NMEngMOEgk7gxJ+yOF9KPaWbX6O2CxAKulF18vuxJ82yHJ8CPedrqslqY9s5z17KimHlJqm4Thzr
DmSRSRYTlpAYSee2tUz1ofCrYVdNZkc1x6MjOBH28UrHOt7HZfyil2jiiPLSZRQGPUD3WcTFtuXi
xDjsrhroMu9c+re3TpnMJ3OWKGbgd2QXXjmYxiZLUmJjDUKhXdb55N+Z7mEYy3br6CSD1Rj1r5jH
uk+ZBflzO0ezV26NLgmPXIJ2E0vvpelyFHejOtPAwpTn56/4xqD+A7uVBmkFGHofQ6xHPKR1vjeI
qlgx90/rFqUiECjXXJPy5bFY6S5TQ7kIhFkJrT0zSJ9hFFPUM/yPDo0ckpo9wrR8r7mTY26fvLi9
EROV5RW7HZdHm7dnAuDPQsBFtWANnyd6fzuhjO4qs8v5UzdVes2dFZ/qKcuuk7C0N9ncdXcN8bnr
sgvumiZMtr2Y3xu9cs72HNtbTPHtmRiDeQt/bLwvy7AnazgcCHmjokV4nA/zzz4kWTACk+tgzekX
ogdJpJFD31eo1EjkxZoX1PYSlpEOmywqMrElOE1nZP40mCWwoenpIg/hVpIpyEIA2pRhRPNT1o44
3ZGI9O2IScSoqI3qoU0fXJUGEbBNK52CYXzwdUeMl0XII/zJpcPE7obqvGBJgamKNcyeDCjPfz9R
+w6wamS2uIBGgYgpyQ0dkGrZJo0L0b/z8HSMc8QiR/CdTp0M0RlmKwFIFQum8SbyjChwVrXXtPFl
CAOMBlYrR/HBruMeeaSJ5IxYMTWF9lPajwawrwmZzas/xdyomAxk45hR4+zVfVbIsmj2MFGzD4ao
s/twwHiqzJJhuCp8cRjMLn/yCetWyDVsmi5j7zlHMQ0o/sZ5WLoYRhzuBV7C42jTorLAth3sAoLM
aiLpW+M/AlJoxyQ20WJY/holjrzXKANePMRxdMwQvO/cbDEC5xPH7d0Sa8hCuqlbszwmVGe3HQm8
JbErRJavjADzUuMu7EF/8K0dyvlqw3a3RBoCmK2kCzGtDHYG3AEZfpwU/6/pjPJ+BjBKBmJp9ISo
DGNxOzlu/dllgXniRJJol9kuZlX6fvOm96I83io9VhcBNeJrdCzecw5inN5YPlg7NiMF8IOM7JEM
XXIJvxGiHRejK77YgcqfUL0CWsRKMG+CuajuoyLGwdOyi4LoVmVIJWMiOf5eBf57q8ClvPKvd72s
AtvszSJw+Yk/N712+AfmOTa8GEXMb1K0b/I1kor+gGdNrccWCGagYvxjDYjpBdQJ3w6gRIDrWQqA
37fAgi8JKF8BHjWwNDY5Dm+2vL/aAi+0sx9WTMvpYOokowfsvukyfS0rqh/CEwJ/0EXRm+5nSvV1
+oW5RDomwSW20XSbrktt/QQDJ+l2rXZyYJOtFuJlknldnqyK6oq9qw0XD1/WBAZzZRlKU8YUiLJ4
elQmChwGZLf2kMcihogGYz04Q4Ow1cl7Tew19tvWvmaXXkP/i0ywkY/AsjCV50zOgI5duMs2gpSe
cvHeaYmlY3ZkKg3VmkhUA6VMOaQtKcqakF48/j/cyH+ynLR+rqO58LPRvVoAN0hCYAp9e3VoX1n4
7GbxuW7HASNdEfkxDQDmMJZGYSRCDjlZSVl8aTyV6Ad34X+ptc1IyecprTGaHn99Sktd5KcbhvIq
tEDvUB5HnRu+zWXwYSsXVauiVwuRT3ZFBnyUHWe3B2K7jxEasH2kugclAsxCHVA9SBHNLmFjdZU9
V1OrG9ZJPQ2OI5N5a8bbWUbUBuZ84lZsOwDcrAgVwvFp60FZ8M7znBHpsaUwyEp3RZpRT8z0rz+U
+/Nnosi/PIPUIE1hUYcJ7Z8fQhlncErBuX426ax796JMjOquyGU13/z6QLxRP148DuRQD3Vxfy0A
sL+ofTVjbDjDu31l225TUKxxgrson0ze8MnxU/eazqMANKk9kRvdurYif7hjpi3TL78+k5+3De5y
JoLiLO0c6PIYxJZL8sN7ZzmRNsMp9V4HguERj5K53SHxRmznO0fWYzNp0r8+4l8uMqVqKmZfq8sA
ib/WjH84Irp7wwey6bzkGJYqvWl0bQzo1YJZ6vE3x/p5H7Z8OgYuBNVsL+2ArdibG2onZZ7h4rBf
JysiQ/yzzbI+Jgyy7nnuIojaXGKaVz2KiP/0Q/IMgaZC3hvA7vfebDZBZ7QK4277gtqWSHeCPPNg
uJOE6nJ1f32oNzu/5UMCnrTZugmbJwqx8c+3MK0qKxsHu3htcUMU/oHIz/IxtzvGqHUHBSaqr6dw
lmZxqhJVeuZWDHE2P6WtX2Mio5ZEKPHKJOw5vE1Tz6dqGA+lnZ8y0EeBPvSj6xa/gzX+5caIwBIh
fSXuDp7KtwOaFWaBPaGjfIG+Rd0TcwKUni8DhSvQQlXhkaMl0cZ28ncX669PH1hyj70iHRBwjW+H
LWlY5lSjpPyEfdAC+I2WIEEL4Qd1rMy15eCgyg+8Jpn/DCgOVMqmUUqFOMVgmw0PSTGPRFORMDB3
nyLSd8Odg4FbXwqIAL+3IARvX09O0BcUoRmV8I5S1fn53tLMqFWBzeFTHCSAdVbElnXzTUv6JQ/V
rFnHD/uwrVvvbDgy4W1qS9dlMig9opNZqaPl0S88gEX6hYYsV4bpD2LFiA/OrdIv3wZgV9aMLmLq
I+99G4Uh/Y6h8DOe1AE2OHenVJ3HNFw6FoGrK8giyxBtEHXHAW095cGtjOtu+jDrZQmxInSVvPmN
naYOgzxUNa9Jd7bbEBq3amLUyZRA3LT47OEqIlvUIcR1vuH1D8X7ElrB/KQIg+McFxtN2a8sjFfv
SXCpU9IAvSmfn+bO8YeHQSHCvWtT/mZcxWXKCLKKYUVwz+wYtmmzKkgyA2GeOrXBi85+FGYEfsY0
JVkW4phXilU7pjbf6VkkOoCP8vy28PZimOLutiNpkskMs1LKENwq6sZ6m0YhhzaSkUDeFfWH5WhG
pGvvDF4gaT40dKGGgyQ1ILnKXQAK+0VXWl7GjaH7Yz9hAMRiFshl5EsgMOpLBJExk6Upu2XObAKY
7+qA/KHDkVqRjE545/cPQDs25qOWPgr+dGPSWeOCCrPk8WunaBnEctQSRrFt4PnzP3jSKdmu25p0
zj9/R1ODBto6iRRJvOaRqwijdOJZcA16JyGJ+DDVRF8ctVPxmaJvV9WFhc+VE0Hd8w3j2BEYWuaq
N/K1FYfLER20qSmYc1ApgEu0D/p7w0C/PC5V2DFrOVlV8tCk0kuLu5KgPN/fpYulYqFopDbv1FCG
IU9NZKPb0ChqEWZ8gWWJfGzXRR3pWkcDEZt+aYpp4BpW+KM4vmBgtOR9kCNETzczftd8vJBUHFA3
RDOEi2CTWpPD1zTpgMuHSENAa1eNI4cy2laGWu67bw+MAls1Ax0qthUJOpyJgkTFn9iFNs5wRO3i
8lsqjXqn24DHCPiTEXVAUoDOVR2npPn0/OXYp8u5uGFMXRX3ps8rqIn/4UlxZnwlB3qNDqeXQjlf
1m10GfGDtnRxxfukd/nDOnS0z2mlbrhc42YouII9wnku50yKIL8pZwnoHmh8gh3fRaa3PKLL0np4
qIOS/zYWQh1yhRH4eGeWjqAktu6Y8J5rpedl8Ijhej2neIKXV9ql2FdtFNBO7oRoWTdiiawtZ3hA
ek5Tcwu6um71YZjMNi2uBoIq+IUYjiEDrakr9ctTTdqs6jZ1Fs6WOExBLiaYheZDGGOPGDYWnpZl
ZIrzGGuxZ1IwycII5WSHadQ1NzzbAJGiwaznG6H1xOMftFStSVcvKFuULBQI5Tp7QgyZWsVs2RsT
C3DqJNeVBXYHiwI9pWW0Qv9uWjg9kFkaF0lLeBc5D6rpEGpPedsa42XGzpZzJJ2Je9O4ATgTzJUW
mTpUNFMdVffE5Ei3PFdtFU4BNaLEHfMtAzHDzRbSeKqBaNR9FRIXyrp9GlbA6LoYuV7aiwg8SMYw
673Mo1hIPgy2ms8c0hmb2T+reIpjctOruLf8czdRV+XhSdJlSPG7UTf1LtNyeS7Nfmp5hqSTNFl0
STDnzNcae+gV2EnhMFS2DeZQ+CcZ96NcTaBv+uZM2gXC9V1aNj13qQQxyVxQ6WLkd0FeXUZBsh1C
nlwzqWU37MyuHvlOtjANX+sUHaTLIDOHpdzZpcuKMCYvguGpdieP69fFBqPDwFXkXSAytuWBGsAE
wCLj7jdaXAaQrNxDkLczJx5PRs+hXQudGVVhik/M9br2meULCXukpaOeL5MsnaaGx3EiV6CCFxQo
zfigA6Tb15OpFZgVhijhHuoGnG28hTMJqRIz87LEWkJG9UsRIPm9+r4PYdRfLs5YNU4V7jOqveDU
sHGPjnHRY0lWNNbQx20aOZZy65q9RJ3WTHx41Gk5o/3Cj+aMsY0YXCW4ij4vdop6jocnSPrlCn5/
rItkXL4GEdDhwZ1JsOTMvQokI44hI2DSsgyeSmfr+AojEwjMPDJ5P7EE8+a6JI74JA/H8APPNiTp
dNOGGRpoon4s7X2k/5qre7OY0B7TRcbAoxR6s6NX1gOwnWro65e6YI65VFFhuIsOz3egXtRJ85Gy
KwLTzC+r/BUnzazuiiXD+XnESzVez/iOKHJBfaAo5IixRuKO9BaiYoMTDrTLOIpgOKuGAOhqBU+l
wBqeM61uZdAN1rrhHikG+SloZnys5aDciQjfbFiW9LMaEZC5hHDYtCuVobsPoW317r2HPtGN1vDJ
solE89zWks4xhERL8pzKqLvoYmayfO3P+TjPmzDJZ1PtpD1TFaPiJrEQgakYTdOqdwOSYtoZLNDm
B5hBccXE53UEy1N+Q9budra11hYjHGLqqGvDJbUIfbDpYw1DmZFHGJacDq6AOc6XMixNc2+NVoy6
tZ4swlk6QniI55aOMG5q+kbuY982tJZxnvm6brZhZU7TA11ip7sy2q407lzDbeenDmhOvhLK89Tj
7IM/I7G983y1qJ5FNJMHMADd24TTnGd7mXRQgGYMMAU5EVm1GDh8NbdN8Mkq0qDEoVQDqd2Qf6wb
+iXC6ft1jyHbX9l0wTtz38myEXjrM1Pk3l5CIffO/5+981qOW8m27b/cd3TAJczjQfkii0Z0ol4Q
FCnBJbzH19+RpHq3SPXhPv3eETuiQy2RVQWgMleuNeeY8Ci1LNvhSKCsjX9gkcGdbqxKL+sx/xoC
h6+zcazO0hQMlA+TXv2qvvUZiaTxBTBcWbbBCFfkVS5o5ZW4I3G3qux1FY5NCHBQ1yNqlHlwBdVY
qI98YZppVrUmemn6vTtwO4PaVnwWEr7ctafKR5SRA1+H2HbUCpcLXVWYQLBDI9ymsxwjqT5YNXpn
Sx1plKQirge2HmYOKbsMKNbIXHZkQPE7SaopVfUHdUedHNyUgD9aMfYACWDX44pxvuL3Iu10Z1Sv
hndIuPQaqr4WLJOibansPdwRlbmzTUEVPOrUbtrKn8eKtSz1ErVphBpuBvbwvCV5BkiBs1gIGkxJ
SYQlzGJNQSuu80GpS6AQroTIG7Ug5tJkj4ZxblOaAB7uuEBoLNXOSU7UxDttotjltXt3ccvlZsDT
zt+VYIz5ZXpahnyXWlE2vP/WT9U6mdl43gltSQ282+sirFqjefIbX9Wrfjiw2phd3zjfMWcWJTCu
1C3OozKF6L5FuKBqqaJyVckS+526RkQfOJ3xk5wA8NHrURpDj1ae1CrdYFwS4sLBHgC4LT+xhs+q
RHpt9zhtrnapXzsYQZhcR6ASqmPhYG3j3RtWqHEhCQVJ/XI3JzmHDgnkncLVY1/hHfSthkR8/88r
sdR8hYK+shYqUmjs/MaSYUFurzPYBCj4KYjUo5jgLOPMkk+h+ApVmt7T221kwzSMe45/fXfr1eHE
J7ZIeeEe9S19dGZHUTaM8dUypnroPw4ZUVfZPq6cKB8PNuXocLu4wOpRei6Vaj41TT8k8aHScQAa
bJRMKvEDmbM6yHtOzcOS068zphXW/oasKBuiGIWzGapqHsQINAacp1E7eFdk3ptlcu6Ers77mRdb
fQ8sq9H5qAMUieFWtrb6itTofWh4QZjiH4SDrQo1Q3I0TmrGdEXAkAqx8a42XeKC1tHb7hoPQ8Sm
2ZeMh1DKWhVVoGM1qt7s4I/gRMWSS2WtcwXSn8DPCv7A/6/+NVVJs1yN0nPZLo2Y92Wu4thVpSFN
/EgV81al3u3b1yPrmH7dyn4suamQCqwuP7cma4i+Dah8GB0DfifbhVEGz4JcJTM1Qbq1G1s9u7Iw
/eKUj0Y0dOtItp5BJDuaEYuidixn7m2vDWBBNsXS8BH0amA2jAxdldY+vNPhS+T6SfM0NH1i5QFJ
glXH4oJoyjq3R6PLiiAUJs8Z7C91CEwrwYlNNyZ1Q1rbp7zk4Ml97maxzGcWeN35DPnDPBGhY1p1
9jTEBgbXVfhW+bSRPlBrtPB++LQJdBkKg18nYg/AEoXBFEU6p68iqi3+FHFmaTazpmnTszX0NQ42
3E/6CkBvzHFkiJuo1fYEkVr9rbNIq9dW2mhw/ZkxqUM3NHBVhYEPVId8gDOqkI+IehpuwzaMuGtd
TkMXCTqkB2LZmkEwW3J9XCz3XHW14i5GzZn3ULsVTAd1fuBxAo0U84uacFFLZcWa7OzxRkwM9Ap3
4tHfIx5hpjhnHnXU21evGKQqraSWQ2GDLkw8br3uhqFVD0Yxqv4RWWCzeiRd3RuLS92epqLmgizq
xC18reNCjoarvuKclqPq5DCuVcz0MY12YVxM/TXMvKU9eP1kyL3HML1t2Ng0m/qAKLCBpROte8mv
8e2uYa1K60JVomZhsoqvxrdT45RFZIEdasLgWKQo+Htn1dK5MuXGjwZ1Cnw7WMhwUW+6XCaMLSu+
ZTPzqs5bOPHag5fyoHNIYqK/GuOi4JYmRq/eeg/XH1PUFPch1BiYKzb8zIrmCP9wmXmisPKpBavj
NmoxCJkWqyti6aRdmAzEVpE9WeWkTujz28rhT60qdHMjU0/l5w3Bf9MzQrJDCAkDHRf174eekTeV
kFR9OX6fwk6dMweiCmPk6/ZcSz9o+4bP+zcv+bGrRpsKBL+Aw09AoUfh9L5NNVdF4ekdw3vhgDr5
Kd8eDelpqrP7+af786WUVgmlpBoYKSXP+5cyAa8vA92J7wRuqfUJI5oFw3tisWbt+vy1XruB/9Iv
o0mideySU2G6yOf+nEq1ugEKHHnI98nK4bljqsxNnkTR2TFfw7jJDfbCBepM9tQDNkb60Q+y9uSq
6kzO3XQh1GQDUo/q8LRvK/Ov2UfRQO+iRHJFy56A1mDkT5+//T8uFTZf5ECEi8CsQF6l/v63TvvU
hKQjjK546vCh8j7YoNSxkM2VI9TnL/XHM2fRGPYZBTEJgkD3sd9NGZWYBQXUkx+T5TLvwxlPzb2x
uOorAtUG5/bffLiPIxQ0ToaSzApeU5h/yLmaurW8iP79U2XHao3qgHIvV33Cyv4lMgESz+vQp96n
mJj58w9punpzyWqXi8Pnn/3jZWZqKoRBk5YxKTrhj0/kWHTTgLfK+kZPgqMjaE26VB56H1bAz1/p
41U2BfJ2BrFEsLtMkD42rzMKQ88yUuNbX5RuduoqqY7mScpJbQ9rQFWNn7/ge6gIQxM8ArSdGfIK
Jny0j94/QV0KIMEb5+ZbUzAnQipghWqZY1Gcua9hU0sYt3ECThToXyZACG8+fwMfqIa8A4eHWGVk
uZhw+Ojm+3fAKTGWRuUW33AnzlGxYZa1ZBu6HrGf7t7KlgHHGHseIVtq/f7VFNfIp+d4kTsdKo/D
+HZxckRoXCNa/zPf4hI+LaeFRZKTiHcSvpPXrj2rQ3qBBT/rWK3dUajNciDhA8duHOp88QFhM0NP
152Le/DZQIGCN23IaNFtPIp5szskjJa9ZV1mmqqtWmQ0LBaaoufTRiZ9lnuGjoLaxm0ttcXj4Kl4
W+5bg76ltGfVJKNbFU2p171WfKahiuUwzZUuVydjkevvRWlDZ9IcJjjCZzEG1uz4+eX/44FzbWRR
DuYR37T+fLR7ThaxBjP7sYxri5o1qjp1BPKXTlUAv1rWn7+kWr9/X3LVUuu/zmg8tAB/SOEZlM1d
DTHr0Y+Qs1qbPvGd7CQ8F/Lihd7qvIOAANOeQ9REviE3grBo9W4+fxsfP7lloZNl5VQ6Tr5zr+Pv
39bOwqmLkXsZP2Yl7c8jZtsuv4MBZjbnZtv9jc3q4wqCKFW4Fp0ix/KYV4oPD7lj6OR0VG37bahB
MN+L1FWPBbHEqrL6/HOZH77S/HYPRSqJVy6TN8vSP1QH0TjpUhaDeVcADsDDRvuyi7YRbVROukk6
sjsEDLxz/selYcNzOSnKNYc1AR68oq1LC4Yjj5rfVyPOUfoIi60K9STihBK7LALPZF7Hqq01aaoN
4HVwSePDgL+UZxg1Fv9aGSv5cFom2IuiiMBplpWB+BlOVQZKtvqggaaZcZsRsmyfPr8IH64318Bn
XdH5ntoE8/0xMRUi6vzcgYTR56namcOSUQWaqxGv/v3nL2V9eJ7VPWXxchBcOGyL1kcL3VhW9FQN
O7z1bLzAvFaP1fEiG2pV6vcs9SxBb7N3iUiHq1DAEOLh/vWnZuhVh0AbgdZ9Fbar+pmcBStWOjMn
G2Y8aFnaa8t5y1fVYYJV5dm4I12DA9MmK0KOxwnJBxxLfg3+mBapIZJG5gTfncXTF/5uKHN1wxeR
8ira63TcfWtNEO+peryaiNWdTA2qljFwBxb+ct01WAI5Gb2N0PhG8uzCH1CH5zCky0Fct5GPtEA+
v6Te+9uHU4bUIcTiCJbwqCmL5vs9oeYToIKtwmc5WO7XtCEvG6yNKfZO5lU2Pf6420b25J/NXoK5
obLDYp+bmbwfyFcZggJ4LUPTCGojkkSYsHFX34WcX1syg1uQOLE3oLP00+ucUdsz8NaWGPWGqIEV
sxznchBheRaDbj6xI8U4YvJ4yNZam1oPC3Pk4YhDJhVQW33dJsRHZPc44DoOBxJpIly+5spmVyIy
hmiDkzs3w7qr5nrDTFzeQ4ywAYqbTAnSqqOdV2YjI7wO7BWqCXE2T6+c+aXWDVCvjXtrsj8/VXFp
iCBsnJgWRtS2OzMtitvRtfr7xIIWFHi6BmJBo2/3mPVEw0utam4cu20pi3DJpVOfbhkTzEAumRdN
K9SIBPb2dj4ciX3ddCMeUOimafrQew75T17YZ+sObMjtkiI9pfzUCC1Gvr/SHf0aWIz+3Zy79hvJ
0PZd3It+FU8OaDC3TaBzzMnZ50/E+8WaB4KxMouZoFSwTQqFDw9ESfvHRcJevHC/CKMwiZLfOFKx
HJ1Gd+4+f7H3X+i3F3MRyqltnhruY0USLjalXeMXL47u5miEJv0WbafZBnmenQbb6jn/RWV+zYgQ
3eTnr/3Hk//6MdHqMLJhEf8om+gF/DVU8vlLXRQcXC1ZEZKYWwbCt89f6PU3/Wsbfv2UONsQHmAH
ZUP+eIicYMWZA1oZAEUAgKl52C6CkgNPgshdul8KMw+/JG2oIWSXwq/W1lAlcjckwiEiskP2hVjP
uWywDx8LrXbv2G/hL9BX7O7znOLF7Iqc5JHOsK8BUxdwNghVK2jPXg/mbD74KefUwCgNvVpFWXRp
5eQFwE7NHbo3GbM4Y/RprDX+/JICe2aU0DdbIxL6kz51MPS5f39TC30Q4XFJVBlAGcR1sdijP5YE
hua2k42o/gV8Fxc/Tqx4Z5Wp3E/L9FQYvny0NH9a92bE0KMGOL9H44vr4fM7I9TD/O7OEAmrTnWI
ARGOYf5+v/oZWZgzPojdlwjuTUY7rYFHiYfdX7dMSbr1YOfT3s078ksSrcqZ9pT5HqaFfxoqZwDo
50ba5WJE9h6OH42zBvlwntBPXzWZdkrmwj2frXlXWLl1Sw9UXpYaNy1wGIzNq6WbGLukZRuu3Mp3
v1A2DmCa7OTn7KQJBjcSBzI6xfskKqvLXHSY68qw7b/PMu6x4ZrZtVZgXgicyRi3ltmhrbaI5b4d
pQ/ROa4hQ4BzMPxg6CJGAERGpQxC2BNvbKF550k82w8GXe0wYOgAA+Pzi/telsQt5tpCa6cGdTjN
uh9N9T0tYe67G5IIY4sLgKnpfZVYM0ptzPZgUJRi/PNX/JDM+fqS1AYccXBhIcH7aJE2dFNCD6nS
H/DC7CNtM8xIYT9rZzQq0y2DiI6Vnji7l8rS5X0STd05wAb9Wht8a/v5e3H+fLQoNVk+Tc9UebIf
xYDNmIvWi2DlRxMDBs7tZfithLg6rOt8Ju5NN2FwAXvC6twJeoXrNHYg5iGHXdMn8X2irTQiYpsS
B0DSyUG1fmmhF1obnzInafe1ZU0XTh9HhwgipR2Q2GCOQTsbkBWiChg0+DK4z2jNQfkAfq62adZp
J3xP4JpoZWjnThvPV/M0sp1BYa4AFrF7r0p4Xec5Y14qSivHyCBrWSApGVNmuAw97wX4mA21SHvT
mVNxiHOpjIwuchmeRMZFK4eu35XlJ6DQXBR14KlBzm07R8poRbBEdRorQIJBmVQOuloYyMYBccrY
7HRSKh66pky+4rnpftqJmdDqIQfx7xpff64/4MAhhlK7Q4klF/LDLmeZTEKzacx+YN7X3QA/V/od
lcfM1JBbxpnKfVnaPsRuo32fhxT8I9xMUGSfPyT/7oH1lASZrc/zMRWq/fG3kxFKqTZvF1f+CHGA
9evXG+IsfSzPE+l0Wx3D/W3dFP12Bsy4qfAPP8ZeM1Q8JySD/M2b+TdfWM9WvWWWDrSWHxW7S96P
Q4mf+Efk6s4N3Ln2CyRHbe3S2D1jX+wvell3x8ou8oOcLOPUFXAGIEbjW0hIk0SQXIzDeaL11k+U
87UIPMKgbv7mXf5RMgD2RT7PVxzNNIfKD5eMZM4592u7/0HXu47uqCwEOCjTnoOeUK8L0xkyZkrt
4nhrrxHlz5iglSxYQrA3O8st23sBqv9cd8fszmzsngkJuwCRMY3kckepu7Jrxr1vN/q/nODbuSLz
4+klT8gUbTmkPHe/swJ4stWh+X83WjwQoJkU0b/5mX9aLXT4ArSqXEd3aMDir/h//yIFw95QnlqM
/urBpZL9J20Auy2LPbIxzBYOen8ekl9WC1sHyuED46ADjSUXe+d/YrV4X0OKV3CMKukEjVok6Aql
8Pv3N+xHwJBhPV70OYY7uY7l99+uxtVbKfI7zuB9h+HPF/hQoDQTBo1q4gW81EEpmwe9/wSZJvEJ
lXj5/KVeOyP/KoZ4LRzLwmLrtPDc/pk3PButIQVitFMqJAF2VZBriN1BhFA+ZbX4hlwr8mhHIFYh
+JQqXVuArggC/I66pddR/kL0qedGl1FvxyA9d2ETqbSeov+ReLqX5OewE1rNPtOdajlIxu9hc+ul
OhNDUqzD27nutinMwGPbpcZVWpcpjtk0rItupQZUgWc1ogtM3JQjKorB8jt8t7Dhspv6DTlMdBqR
wohPvJxOLpbaloQF89gYVXKHsrY/k3Cd3RUjDzlu8zfCstvBOBCTs1wQ3SLGb1qJ+y7TIuifXoem
BVe3bV3aSDKXM2bssXZD9yCxiw0T2tAnnLV7I6bAiQCf8npH/rtq/M2qYfg2X6T/fdH4nyZhG35v
z3r9kb/WDFDhNqsGvQ2OGK+W8b/o4vj3Me+zbjBc84nC/GvRsFw8+vwUKjVatKw2vIdfi4aFP8sE
+8WvU1J72Fb/gT2Lo+27U4eASK86lCrBiAXNZhr2ftXIa7dtp8wZicMC4VzT1BtRjiAWE06pn5XV
4JmQS2sXXc0uM3OZ6w8d51eDHlSVt7dmbncLbD4WOHMj2bmqMcXYCHnau0lQsWH8XfVpwbh1VY2T
XWxtayQ2EBPsvE+1cWSoSpfHzIdD09PuHdpg6foCFkch5xQI95DQyPEJpAaEkk5HytBBP6R8n06z
HYa3CNErjqHOV00hPkag1NFKJzPSF2l1nirVTE4PxAiEyMzb2AHEv4KUOyJNy8nTI+yNCNWRFuWI
BXPBUu9IspqXjJBY1hQqPbomwykh7ajZmLE609C2I6/OJxJT7qDfyR0KKIJPhF8mByePavfCRziA
NnvWsStrWsnvVAyV7hWnoinVRKwYKxW9pG36Cl5xXyEshZ0CZMkVm8UUYfGIXBSV1iu6hX5Ht47b
lvI3qhTcBXHrwlwD4ksqatgvigITLiXCjCaqIWkyKJ5oSDaCD2q/8mOQiMBfFYbctabTbGwjA9wX
VTBnWqM5H3GaVGuq1HHDQwoQMclGcXBQgd77KYx0TnN+u2McxaJIjKZOpjWPOrx48jOua3I7TAyq
+c7qZMhJQUwMVtIOOGibphr0gXxwUdTYTUmEtE3/zBnyfV3CPsav13tbcxxHQEtpucojc0DAb3aE
jDcR0O6VGtP+dMNEfyJDBYur4Nu4VdZ3gMz2/JTDnTK3fpOLXV9O1Y1RAMhBSSe/YgZQJHO6nKsK
MfdeDpCl1mbjXsKQIevNpIRt0D7Xq4o5FA+NMRnDhpNpvZ2HaNqgkfEvJ1FXeM4bBHm1HQEyDic3
KK08Q+doiSoQcY9VPdXKAyRL89CRZL1m5hJ+49vQ0I9ExfUdt4vB1tF2QwZJtzZvQ5n0h7HJ3a0p
acQAygzbG88ennU0xethZsAE53rOA74ByYETikXKZoQ0fhU5nnGeOzQSs1h4jwr5sMNjQIi6oAI3
1mJgY2pxL1vrNqxvBdLbi5o+8HfZ5eG6r6P5vqeNvA8XbNMrTdN9csO0BXlwpbWXczkVF8RMp4AT
ypTtDul8CGYmU8KhsLxzorpDT+oXhIgk0UMHFgCsdhfKL5ldmSv0wNVu6HIkZx7PoRvamKvtTL9G
3tevZkSU/rYsbE6FnkAKeFZVXopYuasumzz0t62jyx+Fkc1k7rYl0eCEpwwEpARF2D2nqLTXxHhC
vfESxPGSE2lpm09oPR6EbAQc84gGjT+YbkPoEafqSBGACLnpnauxhbXNy2bC6efmv7X0/w3VZbAt
fbYtnsqie3q/LZpvP/PXvkgtzWmTAaSLmhfO3W+1tMOWyfQGaQZtC9pyf+2L9ie5G/Y/aDUKtkUT
iSB2i/+MXfPBuCyYeuiQ9/jPwkeppnfvN8ZqKYnADef4Ejcd0lqkUjA7mTeLlWDJm/duSejGFvFI
zHclsapT9Bo1kETxC2lOsFXdKDdJDdPjGrbxUhO4ULYu1oHGJOG9SDw7sFXeARqTRj4kCyEJZbvo
Lyk53j6T+Iw+H3ZWFwaBNhCzkBB0eed2nQuCvwZVccSW0YynpgKnEXfZRFfAlHOQEQl4qqhqVgaa
JuRz2rnezxX8eJUWYaTFYq5rBv+DSpQwzVgebLwf82pWqRMwgXoRzBYUZ98D/0SUVCHila1yLOQA
SL6XvbvXmr45MFmiKodbMF0PtcZgood/Sz7GqIIyECZ1Ocs5S0owz0v6MImWwK4e+DHM6vOY0FeM
S4vRsGqNJJzguyllOhGG9VpWG6rCNkvZtFDwQ3JHA+48V1lfeuOKPoxQzJP2qqXWcM4QoYlnrsh8
RmaYquIXVdGzJ6rq3m2QrG/SxsDgMDrgxRr8gHKDRXE8laktE1vuGUwzKi62zgJQ3FiNdhx31h4m
S1zW7LVZNfTu2QI+h5QINiQEOdNmjLOebPnAjxrcgwcDm4Y/nNEqozTpgsmg5ZAdIk/Dd76uTGE/
DtiBv7Qtoday9rXpxS+Ur8on7/vnHKJntC5oxIvcuHHz0Ng6XUJ3IKgUvRlWvwI55/5wPtIaxRrQ
V1yoJgtj4B99ekhsv7A2mKuuDaNkY1T8aBzP42WrwNJ6krAJyykr17MiUGumYRy9NCvZ7HSga0mS
7TCsXFL+TV86p7eTdUgEzDrxG6A79Fiio+d1rr2icEsdlMleuNcLnVw5ac0wQCbk+4SttU+lWcln
s6sNa+u/crgbheTuXuncUYegISha3zi2VjcGthXJIzap1KCV3n+DDj50KzTy4krjCoJ1hg35LWps
nchdwOH0xbUd1Lti7fJyJ+kAGDcWY7ouFHic4SsMclvhyPPao0bLTD07M42oVnredlh7mVMchlEX
F4nap6HDSPsc5exyLMJFJ/1RV8SO+In3mG49RUvvJcySuGUW1tsO/Rm3/Ror4nqs2OtlvgyAlOCx
Z4rMjtWnukvbhdx6V1yrJxtOG1wUV7eKjVMbJ8C9M0OFiowNqxJbL6nMhitQ6T9LY9YvS0WPj6pk
OWtqezwvhwy2vGQWNydOtEtT6oaQeQzgp4qM4TFrd3Qq/ZvIhuOD7MA89zL3fgFqX1jQ7V0tdM6z
Beo9FhFtn6bt+CDqcmTsSIvxfEos8xFG5kS04ryUUTBK3frimOSVGUVr/dRcD95Ix9XYZgrI33fy
2fFsshPxYXlrrZ9rP8gGx76prHGKVyZhi8/MTqJbkdqRHpRZI753KjWgoKvK70CsKj1prpAta0GN
iO4w6k55RAdANEiapqigsUdYKp1gElQy+FQGL+jp3W47EZFN5/Zdcmb4cX/bKSyN5PrctlNN5Eha
fvHM+RxzCUWmSk3QXIAEnMzJUvDIDPUDn0zCl0kFLvjSS/aQ84oXcvv8tdRVREOV67qzwfenB0jA
MRemX7qchNDZUn4Mnu4bQyvpsxoq/cFXORAjgRAgoI31zKQGFozKjEhVekTZ69Y3kj/HgDwDbT2N
BpTECQHOo/BIorBUJkX5mk7hNuNDFrfMZ6y0PJkM+tpgINoC7emwGfCrkDtIgnwm6mVTyrjdTbDI
vgIfypntkJcxqOSMWWVoqOD0K1PlamBg0G/QwC/ZCgNLVm+xdkQImwnpwNnZrO2pL7+k9DU64h6J
9UAHzsHA6KKfBMzo+2Io3EdGNou2Xni0NgtLzioGZshhUAWHFCpCxCNKhrgAYkVMgKtoRzRra0eG
eRfVfnXmjSI+ln5TXQGLZu5d6wNXVmWZQC3rbujS1+mqVnknoOwl8VIGSSihOm4aKh1labD0rGyz
/pGrJBVjKv0A8WZ5mhierNCQNOeLCmCRAKyBHvmnejAFcQuviS2Wo2WnWCfLxVCpLlLlu6Qq6cVV
mS/6aBD/ojmx/8X2CbgevG46lFOYMKQI7RERbaJfNiR3PuR+WT8QGdlcFb0M7yuOGWf9BNE9VvE0
BoesTayX6Y7B/rwBflYHulO08drm01KxdqbeHQoCJ6ogcvs7Zn36HCQ2AHMNvAMBtkTp1HqsX9VA
lqwNITzlkcw5oncQduAzT+c8Q/NtmLjfbIvr2I1f7QnGPa5+ZzdPOQKGVMX7YK12nmkB6hpWEnKA
og71gZPq/sO8iHav2wsbvVfoyukBHGELSsohrrKqbkN3aKJAE42TBVFIKb0mQOG8rwksaiuVXfTf
ltH/CehDC/az2vh/mgzT6VP7e6OZApif+VUbe/4/qGSpP33fRqZJ/+ev2ti3/8H8zndYkgE5e0yN
/qqNQTwLfoQZp09h/daD/mfPyKIHTd4audRI0uj1/EdNI+rf900jyiH+Q6GDjhoZl/g4T1REfM58
PSkx0oMJLzSMhEU37JYwno7Eb4j9opU4U8pxnF8EZe+5yOyafothjF/IBNKZj1Tak3SlfspAJGCJ
Ca1bh1MnMZkUtOuotd2LWA7tlzkdklucWXKX4dc55IgHv5VV6AHwcdMjNuJNN7f1d7SY6R5eT0Mt
nuJQQg5fLc96lYHBJ9QATSvxrzfISbOjX8jiLHQtALsW0Y9TV5xKYeLNlmG+1tI8PhpDOx6KJM+p
YTXHWpta5B7zuq+IHZLTZVkB562k55/PbUR6r+tM5jVeHf8CT7V+MuaEEAZr1gZsQla9ZeQnd1io
oq+Gn/gXhpZdGZPTn0LTuF30GZmdg+2xqG1fgz5YWT+ZS8fBmM8QCg2AHasGjeKVj9MRWJuL0dQW
VMoNbYSdkHr1MtLA2lqNBWMgaehK9WV2V9upUweTtNNdRTTZ3m87YLj2mJP+NRvIjsz+ofSS8LLr
4/G6K5PlGevW/LVoeus6yqCDWHPaXDhWOl1D3UhWaO6SbR2K/kyfnPp7bvXTGp+9u60GOexcg/LS
iKgqiEuR+6Egu6zO7P5F860gaQS2fzYJs4gOtrJe9QnW1Ewvi3UrwlOeVQq7T6GQuRkQ2xLaIAiI
XV0P4mfkEybcptQAnWOPO+Yr4YEAivwKCfpC60dLiSadkatsLBRLZxV+7PtoTvxHt3byDdV4dQwr
Z7yp4ITf+qGdnBaUTKex1bF2942VPISd3Z6nvS5vbMpO8qc8PK0jptG9mKQL5Uha1vUyu8kpiqAU
Y0yUMoBBiFQmIUmFFmHtMY6yhnMHh8mV3/CsIFwhTDtdbPncT1N1ETqO3M9Tb505aLt3eeUkBFO5
ydea8B+ca5W4zrES76d4ni4wFVln5ijKfdOX0WVnl+1tulg+MeatPORaf6iKcCTXpxDehVlX5iPR
T86pJiL5kKAgpOiTZHTlpJ0h4IjFpazGMzMmjWEo62avEWjMoL57Ql3PDjVPGUEVVeg+1db4Q9RE
IERzNQQ5fuxDiVd+i/SNyG+3MO8tO3smL7riFBHZ5qPrFbflYOFVb6uZ2KxCvy5jh3DzKQ61o9Cw
SNApJSgtHpB5rUbNqZ/asEmvXKKVsQ8zSntOQi/eFYNKRF8Seecleg7BC5KFjvL6LI24iaNl0Vvt
pbPGdpvfuFbbfWeCPTRBlxm3OBwPtHecYznWO9wqeN4cFW6YyDS7Rvosv4hQ7p157I5OuBQHO8vL
dVtBaO5ZLB+JwUsOrshJmkmses0MeQqI2Ey/VC3MsmWqS4J/UKossaJVk/T0FfvydOciaLquzLxc
cUPRGjRxxrHaMaorrZm2o3Tqs7rBd7Ty/a3o0nwXtqN+wmojd7W8HgDQf9WU4DpzLOM61SNrXwB5
aFdyZGzM6ap5trqZdwI+YdQnd1ca47QZpNETN89c4GtHJlwVkEAmk2B05xJP3RxdLm2Z7TRSy2g4
kgy6aobJ8cGcjqTgELPXFwtKh6XsyaT2/eEuWmawvDJD5CVpHLPMITQK/Krh2FXV1WkuQn1jGNrX
lMg/j0wbWoWJ9EEjOhAafJBDdEWSB7iV+kHqrb6h6VoHJmfL79KJsVyXsX8tcs85tK2Y8mDB13Wd
dFpGQmexwtvWPjmpO+1S5iBXeuvk8LByS78YvFJfETVGJqPpSWeDg9C/99k1LshKjh9gs5KvuQzf
UKs7e3bEheZFO1yQEc6xA2nIeZuSOEewnX+e93Zz1TG3O5E8Wt9rYSIvaJxXG5WeRGpBGa0XMyaW
s62tBxSZ5t7p+JRN6JXbeErNH4sb9acRHdyTTRXK5tIv9ldUJskd7vNBBhRXPkZUPyLyJs7wuEdk
DhhhfGUYSIpGJkUEHNXTjd5z6YtYLOt57qpNO5neGecq5n2T5PQNGmzkQaNb7WuYQbizPR7oyOp3
RTJ1B9gL1Z3sw10COmeDTX65yjgPb6oBqkYwd/qSYq4s7EBE09apy+HCGCLzSO5N9m2szWw9Ak6C
VsF2m/AVP2tRIOyxY+H8z+rGf8wcJ1nnxah/lSGkYVYmWFqduZ5NR1wtfao9V7arH6vO07bwSVq6
BYU8CFsLt7Bp22s5j94dXqBwa+i1fkPOjc7LuaG2mmfN2Vp00y+auf5ekIT5TBeH5R8V4ALZY7Kj
3WSNxnpBRBUwxj0ThW6iZiuahOwiTK/4/xUpSE9Y0RL9WrXW2fvTNLrtBYVIkPa1nFcFE9jrOqrl
voz5ShPk7GYoLdoGtYwbevVPzibZYZAx4WbTqJ0nZr5hGpxfDUOR7TvRP4pGAAYuWzImPFC737PO
eYSl86SH/U9AAY9eOX0pjIXG+TIip7Xq/NCQw7uB13Br1lF1rAhGveUgYd6ThV48A3WeHjBlPnpD
4Wg86glErOxY4WfU+2NVt/VAjKoz1YtzotQqIidYTDz+mwTojL1RyvrzifiPdT9OvXdVd/UMxckJ
f/Yk1HsMNEZuHKBQE/AG+OtVWOq7nnjTZUc4R3lK4AGVjxULKLWXorRMYbatIbLkR0/LmrUSd68p
8rIzg3jFY98k7qOYRf0NlVyUXoWIQc/cWBjNbR8vcbiTSyaZnk3tuNCZiphUv5CT0Wp3AjO2gL88
hByDtSQrcacm1rrQdEK9/bLYDk77wJFnxPgaybXOYAzIrf0waea4JyreXc1511/wL6etL13KSRkf
k8Y+730TErOulSLIInYZzYXxTS1yVyy08GKkVEd2EO0m1pLoHGiwsYLbNV8w6KkvGu7mcaHT1MXJ
+GRn/nxsfEfDJqz1O6OYZobxqtyyFrMP/j9757XcuHZ221c5LwAXcrglmEVSEhVa0g1KLakRFtJC
Xnj6M6Btn7+9/R+He1/YVS6rFUhihfnNOSbadHOTpgesN8Rs6fKqog7CCbw0oJNE81FFQQDZ98Wc
tGu6MePDbEOy6KMoOjaFmR47PT5RwZozoDfqE0Tjbq1iT771lgsKYHLULpVDugXZE2y0WGfylObV
ZozsGjtaAvSmi+o2hNPl73vmjhjKzWLn6JH+y+6h1oQ1rLspZQxqGZ/Umbj+j1bv8Tt99DYtdc5T
JO3FKksCKS3y/044/q0JB5P3f3qJW3/l7+N78/X7Je6Pf/PXS5yH74dmHIKsxE1d6PTMS/46+Of/
IvTmOn8tKVmG+39j8wd/YXjOUw3Z0EEhXIrN/3aHg+hP2pMrnuvAPDT/s15x8q5/f4fjkuiQs/Kx
HMOp5Ir5J9ehyIYEf2Qg98pVyQsj5rJeE11HP50g/oaT1xTdtpbqLq+gs4RL8yoepgCOko57c0hL
YNTWbLxE9AKSESipTMS+On5Nnautfb45Wzh3kkWkKskLr5jvv9laQ18ZQ8htGTNRVpYebwA9Y+vh
RUz3UeE4D1k3lqeJQ8wlzxyeYL/X570H+cxeUnLN0TV0ZNkqQtTxcgTmhMo11trmZoLdAsjG4nQ+
Odlu5Jcz8SC79cGb0+gAEay7lkFMEV+bvmWe1F7SvNAeY0l3pi2ncseCE2/qmHhLDaP9dp5QPIup
vR/8+NPRBH8k+J0VAJl721RiGwSUvynH0lZZXHY7YCm/ai4UlNAFHewO8jcbB1l3a8oOttPMT08G
894FgLZKve5Mhy60JtO8Tw3/EdL32QBRs0owRNNoZJwm8taczcqBM9C4/BeUR1WcbL9+If0Licjo
JjjY8Vvg4gxly18t9xShxJt0ljtpVdFirM2vUE/1dU1WZE2Gpt/2OkWYZNhDPoKPkxVtIo9BuYjc
5VcAl+fwrQPJCAdkiX5rCU3bMrkGAN0G+XOlevvZmKxyZ5U5IKE4srZk/SbuQKhhiV78auf6Tncp
Eo5s7dgRTH+vII891ngikMAj0wqtOt+Mvlnf5SOcLn9GsHU6eaugJ7zYwn9027TaVRM9BEarWFYj
4W1m3Jf7QLo+Uw7/KUdUltwexicq86iQglbrhV68VA4EUf+h6ZhUQ0/q1n1n5talSGXClAlyoM9i
i6qaJ+WDpRnThpxak1BebF3phWcE7Uc0GVi00UU8OasMih8eOm2AmTjJYNdIixNEXBsGCQhVEZly
fMYbg1tdTGPqb8i6dVCVKNx+8mAN3NiFq7/Z/OHrlqKEkGGHmTKiFxXKrd9EDcqD0m+AgjndoeII
jEcl69Qvem5mbec3VRX9UoE3nnOzwVYfQybY5GyseG1wLtdFZjz8V637d9Q6yMAG+tb/3+F1Theu
eZP+vtL/9R/9j15HZI3MIcfhb6vWX9f5gHUeozsBwd/9oDoKnmFgava+V/Hfl3jm3jrMNo8vwBKK
kfQ/8XY51p8Nm6CcTezk6ITYyLAp/8me3Bgu6RkZJ8fZ0TlMY3lfciIYjUy1gtQ5vOpx4V00x6mu
aa3KyzxyJpJ+oRshJQXZxmBYwnosZk655iRuE7/LBPQLlv7Aa3bMM6xjB8RzhX+xlmvHnzjDgzci
S009t7dViZPcDORKTzTWGlhngM+CYxV3ZCP9XUElxi5ixLmzRY4MDuAsWjNzc7/j3weBV+3ctypa
z3PLiAezUdesCtaOG2+qxjc6jBTFHJxWQyvp6XfSTNT9soquFXh9kt7aOB16/acQc/Xuidw/06Qb
LfgVv9vwBfFmHNwJM9Hk3o6QkOINumuuwwOr9AO9yfZeNKb2MVaN/EX6JbgFN+QfqqhoSFHQFYCP
q2YajcdkR31Ac7Vbezxmgk19pQRifmhxfcx0rrKZk5EFh2AoAfvHMIQg9dy09ax9lG68hKHqyrxo
M1XxKpUvQzDJa8aFbSfIKz7BX+0e8JRxf861ufkJFjJ+aYB/BeiuGM1dN856KlSDGUGj5B4uPKw7
etocEicQXmiaEKQkwYo+NO3xBwRdkxe5zH/mgI72wQx53bDT9GNmXnBKISloc+wcRdPVRy4v800d
5TT3Ol679SYgLuuGewz8QoV9gPczFi9omlyZeJV6vluhtVuztfIbZXhR2AD85Q+d8Bm1RtRjMXQY
STp6sptklD9iB0p+iC5NBLSX2jLRoqqKZL/DgI2WdW62CQ0xLf2UkzjIxu7Pvc2kGRIS1xYiqEO0
TWaabAD6IZ2MbZms89laKmqDafzFetvTR89ulWKlamdGtkl5l7pki2ypvFPcUKUKKKhfmY1fnOtO
y06mZhmKIPNIG3dlK+a2TlXTVYvUSA1GH9s/JQmVeiVqx93hsuWrCLfs53qOvfXg2fG68ksgOIUT
3KO40Pjia/R7U1yTqGHtNkyg82D4KD1LHPSGCogxIw1NTLhXO7tMppsZSaPdZpBVn4Iqi160wo21
YyQZbG2wDBifctTbnq127K8DzLxoMyhhvHZo1yXXH9nfG30p3xqls43Xo/EuGqthB1OdurY07/h7
2xI4lhsKm/epqfBWFtZkr6IOuMWqjwzr2QKKdMOgyv7ZI/NA+rL50C7Iunxfx6XPyUn3EO3ZvA4g
k4LHmS2Ne37mRcXKRrLP10Cxqq2flMU7cbbgqUntn5o+LqfLxjobvau+nBo1gM+EUZXgBqPyhZKY
Fo9Ns9gGkeebVxwHpMiVl9UHBmXd4oHp6eJ1nOCUmBMw0q65N1pyLIjePM+N7shQ+Y1Nt3I9E8Hw
uE0Pfbue7Dpd20nQb+axk0dRGd7R0TkwzFaS+bwOKOQIYqxoQC69UAtqfQcENb2ag+bsqlQXE/2w
XWRvbK+hNFIkzEdtFtPB1GsVQk9KabhE1EU1teRF2BFjt6CyumvDfI0X1iuyHzTkSGonjc4aWcyi
/hDFU+kvwlz9Nniqbva25hOi0oMYL5+u2lu7bbSPyvGwcrRGNtwpqTQWlzkJuGNnNCoHJPO3mp/I
N3dU45cERPOq7NI4U4YdFQR7W18xQgXhSDeOJW8TFURizbkLh2IyRofE1EYzJIT5EIu2xiIRjDdk
Ojmn5EKu3dI72thWkfjL/D4gvLwmYh0dMsGyWRm23E168RiXTr9DYYmwP9ko4W2TNh7Jf1WGHHtc
pp3T/Al5dyo2g+HKdWX1xUavOAWvcrp5IH8a+dDf2DTYYKu3m7FOf8xanJd75dml0F98JVxqcJLG
Mrrupe9Vm93CNNdWkDLdW4NyZ0oD8+bqFrl+pQUtvmNZnHa0Ms+HIR6fHbssr5J52LU3kLzwwmTR
89i45QsKM9UFpVeOTA9i8cylmnKdduSxwp9R3sFnLe4CT5fbNi6grafCvgRx0YbVMNMM5DQxyza7
HZq8Si+9GfRb6Xsyo7iwKC5ZoPPrukLb4l/FJdQSy+ZRp+t3ZTSte5IGv/7MxPjsOFhQKG/uogcb
TD/OZjE+xr3mc5weouTLmjV1W2pxj69Sk9VJ6SpCKqnrB+Co3iHmD//A6DGDH2yc3dTJfjtRjfom
7GyqQph78z4G7LfNbIXvxej6DXSqfiM6h/WoT435hrG/d0jSBPftmN1J2k1XjjSt2wgkmM0iK6Lr
OHN7cjPz3ExVXIXlbKPZ+H11F89eultez0egj8YpwM+8Z7nwQHk12q0Q2NawmI3OfR7MySeDlpTS
RQ1TciNhtfNJ79RRzZ66R18ed4EKgsNg9O1zE1UIcwa8bZ4nLoeMtDgu13SC8xbFA43hQNDXXVYy
+O6tQN6Plk5GgqA+ajd5mw1gYn2fydy+7aFSnLk/TIeWjTFd1eZ4KQP/Q6/S4MNoLbPCPOtI+Mx5
8qaPkTi0lVYTkk00f5UOLDV8/BI2aRvHb7ikeLbpkIm7KOAIUnveuBad4b6C//NvTVXy5BF1LRF+
ifrvZhirM6BB06weShW8gFKKWbETP6lv0P96A2afDw90KMbgNcXp9kB9RSvvXG6o7Z5JrtRWM1w1
J+S4L/WTiS+MfSwwSl2i+uIpCtn4eeW5oauHRsbriXmLQm91GcwFrhcCO1sGUfF4z2W4ym4ArbXF
vu+05MWpLSd9J6JWliFuGITHZpwbVEjxhyZp0IWEQln9oVfykTVRL3H2L1omNoRXjr3TDyG08iMb
JvM56Hrv0Vh0UIkgKhdltFg0Um7udej1QxF6CKguQioLIGlK7FYIrEup2U/rW3S1F/21RYj1vgvF
PT/HA8Fd0S60E2+OiVmf+1cpOvnLmh08N10tkXhHafmLLJ/me9Dr3T2oW6HCntQPKnoTxPGj7/bN
ppjN+T7BqIb4+Iem/N/b0795e9L/5e2JCxT2kj9foJZ/97cLlP8XQydySt7rjzYixKq/3aEMvBCk
ZozfVbLf0jD6XwwaLBefvx1A/nb+I2fD3+c5MRo4RLbZqzxmH/o/4u56vfOTDgH5gBw0n4F5qp0F
IjpdwETKWOtx0nxM/SA/aqOJ/gWGAGrMnxU5Ti9QiRAA0a25tvH6/B7gS+nMdkTdikORVfOZISl1
rWZr9iHQHiImXaLvO0kMYmVi3aJCUCqxzHTN8lTZlXriuYIyU8Ut5lkquhrOIYaqGpoCTXpuU5ux
m9Lq17kWzWyyWDLKuolST/Wbsq3NDXvsfIa4zNw74Di5Uok9CdT0cvjyMthvoUwRs5rEClr49ZZ7
lRoHpobUys4fx+lu9vh9EZrUzhvs6EgMhNfNJeB/4td0YHdyxn+3gnLGYhmIddlr1kH1KjPgtNha
We/zP0rdjGju6fj9bntTGu/S5xBbsbsdA08zn/UhitNN0ccTYp9INOc10QNFhRyp6S65qQAjcgcd
SZiPd9L0aJ3zYtClF3DYib+thDJi2Me6u9VzUUh7lcaFTgSlHTp9rSW65RzYwPjKmP4D2u4aUZc7
jsHuKtaWPjykUkyI+DvpyTOwhVl+aAjXiJmbFm7ExX4FxPJnsQxjOdhVTESXCW37Pa3FkOq/4CPu
NMjtjHPHUnq7noa1jv8FbZmhr5PJ4eIRQ2xDsQyFcboa9zMDIeqIGRk3nMWWEXLRFNhMWlwofrCt
v+fMwzJybopxK22JCW8ZR5OtYDLd9WkVapz+7gdXTU/cXMSLvgyzqeFMQsvpq+V043xpy9DbX8bf
kgvougy0YJuURnroljF5Rg4E83tSrVOvKQ8UH3ZHitH35jJgT5ZR+4CPhlEbTpmwZBKvGYzkW2bz
U6AevbJhWq9RA/HTqYzoWojEW0/LWF8wn9roJM5uPD1vN7jQqC9cjADVYgmQmpHsAKIGH+63YwDV
LLsbFhtBzOnACKda6ZeAxAwycGZox/LbfaAWI0KzWBJGKedny8wfMw2XBDdlnAsmHobUdBeUMA+V
PVr2Nsoj+xCLYli5i/2hwQex9ES8z4s1IqgrXBKsCd17M9NzMeNcNxLMFAJXxfBtr1iMFtYww6x1
4wjXxmLEqBZLRlR5xutk9v7F4KQZrcyxO1AelB/ILnF9X4wd7WLxsBazh4DLcTMuBhAMs/O+WEwh
9WIP6Yc6e4GLl73yjhI4W2wkfcV1rC/L+iIWk0n97Tch4uoxObPmOzTF4VQsxpTi26MSLXYVCqCY
DmmaxbJiTenZV411H2CHIdbAI7HP4UpqSN9pekSXsG57v29Pw2KRmb7dMgRw9HMthvRMTYh87EU/
PqSLwcYS8Pu0CdMNd+bsuRnc7oYikEDbTD0eLf3bqWMsph3iiNGhhtG662Y9XutZ4G+bxebjLIYf
m+HbD4bumIACjZ0eW1CHPyhfjEJRn0CzD5wJn3J8MHETKS5KYYS/qF6MRjAaEPsX85G+2JBKp8aQ
ZLTDjoQCSatEn9bzYlyqvy1MckzhcKk0dEt7vM8qR16SxfREr651T1uVeukXSxRBpeGeFyS6naq6
/8FJ1Qip0i3WPCfgTxZj1fhtsfp2WxWL8apeLFi87Twt2ii3gSfqT0tzux3hAlxbU6Rbm8nlxi0X
U5f37e8aFqtXZkLC8FvH/IUhYRlNLqYwjvtA+fCJUTc6nJOouKuHLriYi5mMjGi+m50AKO+310xf
bGfYEfRz0IngolWFeQ/6uGejaFVwIuKX7wLca/m3j83gQT32KBrr2Q7wuUUjtthUGPGxrshdxr4L
vby3yjO9DYh9mOX8xTanIc4cTWkbDy7+IDPUOy3Cc+xChvt23Y3fDrx+MeO1iy1PuN5m0vFosZcE
G7qLzbdssfHli6FPojs9GpDkr7HXeRdzcbxoYJVhgSshn1pGtJfJ8ebzsJgF68U2yPY5XvO0wkvI
0+OdysVgqL69hmKxHZalMx4JTA8YbozhMnSNdTRzs8R1L+Xz6DjtHePYiDqHYd5ZRDzwE/T1qxv0
1U8fhMQvKmspRXU7euqDIP4cqV4FbDUHKCT1FpBkD6mrddaeoXehVi0FrIHWagfy2uTm9DYf3uvC
N/JwINIBaGXhD+eJLZ8jQq0bwnwUcjrFkqtzM/GrtA0umMEgfwBncd0NU9zipxXH/q6UU3Tujci/
GXzIJfk0o+cFPi50YVIFa7K/rdBM80sH7PA284v2TL0uxi6qkI6yoq826jR3ndnCuYy5N6y0oex/
+Fg5V2YdDG3IIJx5SMu47x65xj/NoNu/dIt8DzoXfmU0DBkTaOm0xyRx3FeZViw9QquwTbcahU0s
2jUayxxFG3CD1a0nSuuS6hDZ+nIgTwG/hBlK5PioIxXGmb4dUys0A02GhcFtc6o8/13QCbnVU+vd
7tvqrCEoPPgxZcaGPlmnsQtslkFlon7MehhHJUYcpz3K3DJ2pIRRtcp0HWTSPPcI07jAKtTdpKzu
qti0njy/G+j61fKtlJWz09ysrFeBa218NIV1LtKWvgirPqhZb+89J7Y/GCXCQzK6mgJV2hgfDELE
21K2FGsnjfFIADmxMYTW9p2IJCWU5jAF93lcersxYZMddetE/xPeeaj2+lnqQElsdzoGnelvjFST
X0mfmh0a8Bjsweh5e0/LKBHJW+wrkWrv6jmv76i2lfssMc39ZGEbn51UC8eRi8suMhrvB2cBk7kd
sVzCk5b3y8cP+FpUvrONRP3iyNzboA/dW2bTAtCs9I465xFtyWTJi1dZlyXHkcIOWDJmm4YAK+j4
8DQ5f6R1UyDJpdF4NPF2onuONxDDYz6adrstMuHcYVIQWyNls0bbsGEY+Y2H4iFnfG4Ti/DFinu5
JoHwXOpNcTuMgw3ZdNbtHfsdPhCbPE3eaWqrpYa3J9/l33qGN7EreOkrBzS3DbWMaaJU0b6vsyiM
ExGYK4INdE1T50EpSaXld5AXscJTRwKLz9Mrjq8DneNCE+PVbRpMV/DID66uyttOyJHnxHIbPhyB
98nBN0H6FyYoK5YVOFEcpidOqlwmTX18GCgLf9JFlT/ZJmdAnE2zHYLUkLe16IKbGZsUtVFOdNC9
GjUy1jMLHyvS97Dyh+iQ9kMzE2q2siN0hkCiHxgpsK4YrbWQZtx+WUXm0f+yEp0yfDBv0j9Fg8MU
o/Obo5Mn8p7btXW27UZdAtkYa6rH4rDDQHZMynHexBz8X2bXv8ls9zF205Egc3opU8fgr7SPhfCM
t9SzzVWjcKPIyGWiDFntxZgJWSiNxnEqEqy17LV2QxPDe5Oon6mn3UNXJNSeDC4CupGsWkmFeNWV
4063QP8JB1YoV4SbNDcKvFfxE2+Lte2Vb4dUHPVrK+dwo+Xp7WCn1rkl7ma0NoUgQ9cvNK98LYSP
FF/kvDBIHau8UKAGLauGE2WXxxgG7bYkCZ7EpTr66YBaaeM2bSh5xD5TFcAHSyBwnsnYmzKYMBJ0
ec/c9hHpC+Q+usLnNLNelWbiJkxnSv0Cn74Mx7udXKYLOMrFueTj96613ga2evRYgEPc11qkjo7Z
6ufF0YfEOdrh7Ddsc22SHrAm+VuC23NYt5FD60hPprjq4guoYXZ2Zjy3js4fl/n5Jp1JPruybijI
qL129du88X8Br/zjtZSpIiSUBSwDj/3PjIYkshVubz89QDTgWqcx9Do2s88q7TAue7D1khspZ6mS
LRtzxD//4dytf8PSLXdidyEw4TcByOIawZ8AEXNaNq6a6/RAKqf5mKFyEi3Lk1skY3H95z9qidT+
Bn1ZfhSwXP6z3H7/ERGcyjRzp6TgR9WmLDc8IwD3Slq7cOH8v/nt//J6LvPdf/hBNjkJBAdIM+6f
qeaiUspuhBcf+jpSWyhWNgbjCYBFmXZ3JKhEcBoCSKC86cV77cXcqKk0T241MrFcrqOE3+77V/ov
XuVf4VVMJt6/vXvr9+79//xh0Lq8F+Ccdl9VE6d/z1f549/8TTvS/7KYmJi+Q45dHhGenr9qR77z
FwIBy0Ddc+HYgxT6H6PV30lIgHxtF+isTzkcYZf/AKiCVvHnz9Zi9eKb6S44FdNxl+fpN4xaYFYl
Eys/34Oxfx1FMq26lrQtaLeXUnMfGkyMZLPki18YLyANCJt6attOw7FTnr+ZNWkeLMIfhxbRfIVQ
4Bw49OU7RnogOjSJsXkIGkLDLNZV4gGS9Vv9xNSkfsPwpV81IJs7sLTfqzJLF9e5LVU9hC5i74pt
y78b55TjGbs4IOyR78bAyuKmvGk1E8fvaDdHvWtCORS3sODBdXR2t8ry6dC03nzvsBSuK2/0QkON
/aOZBiKM1cRAiUn4ytaMe7ZfZ9d28Q/XRpMH7pHvvCJPzp2eGjeZNc7YyEitGW7bbBzu8nd4Fzhi
5889rszeAh6iJPDBwhveaZuHAmEN47rBKvkzxb11I0a2KisgX18zN9o5+Oo3jd1wBisVQ2A7nwgm
W5+UbpFP7M1oTfptGcP17+ag8GZ3wzELBJniFOhLNpeo9B19kRBh0Te88lrIdtt9s/e020hldANq
ctrXVjCuJq8yrkFt5i/d4NQ/sFlti2BR1rviKvBgwMnzm36V+ViPQ+aAZPOteNyY/qCHspTipZ+r
9F5YiX2wWijalkX7yKqOh+ZBWlr0YNLVcmMLJiIrrXCAslPOeqKANb00VT6+gLBsP1lCg+ep4Ka7
Ikc1rl2O0adkCIpNOwr7IHs6W70RHHWZcy1f5ebg7DvLr1+9NIMPk3lD/lyK0rnhtBHsYFQaF7uE
SrdikFYJCifr5uRJ01+DxzR48QITe0eyCIutWZdY56II31+ll0dmSxjGJH0IHHRyMqtAXYv0ondV
BZ/Zoqdx9LI3jzkq4NgIhYCMVfScmXn14FuMKKcirR7IDRkXy52qG5v52Imre/ZW0/iBnof5JN6m
hP85fJIZ6nRrulPOwLStQ29YcXWdNoxJlikLAHtS5cArHRoi14307XfsX/mzSuEVN71nHTTL6rMw
Bhq3Z+7P1yTDRCMaDT1ARhagD4iKx6FyyuPU8S09Eyf1GpuGujPR9p6dPlJi77QDf7xUsboSXON3
LCp9utKjVN1Q6u2K0FK8D4TD+Ia48xIJECllG+N+zwmvqF8Tnr9dCrecCAVm33VEtYW78pIuf66N
Mr0oabefTPOGnQEq4Yuazeku6uGtfv9mWZTV/nagWpfiHlCn9/GMLSbF6UwrVJT49/bEZ9DWuuJX
XiT2sXTK/rHNyLhWrnJxZy5/eGcV6qp6p3vypoIvzBdwjTOwiNCQUKmNTh3qLhvt7O37k4YDk582
x8FAXa8yAclPY7AhuFDdjvUC7k1wn4TOLPNnOxhN6A9aCla6sL17xjn2ocJeczUmki5Ng7PQjHuP
kseBN5UJTXnUipl3zYxGsOhj0X12XsJxVq/cW3ZtdSMjw7xGeuZfR7lUlfKJxNMfONFbYOL6JBqA
aaGMJr7R4PMTPQV9O4/holWzJI3oZtUDmYBgV+Hv23y/W8VYVA/0WrQ+ZIeIsbPRDX5YZbxyDJ2d
kyGXk6vrM7Zdu/HiiVj6hDzK67nr8l+pD3iHKHBoyioN22y+YDu5DFLdcaZ+HCQMqcGp3sB7rGIM
SmHgn82uv9XH+C6hDpaiwGRPz90vZwxuaKmAt6phqTW969RaiIjJrnPn55gh8RrLln9Cs2Shi5yN
aJl61wqEqllW1459DN+KVWFmJw18tevsCZ+AcXEH1nBh+PHa9WorRHa0w7RQFyjB63GifJLQsVV6
0Z3RadOtMZnZ1q9ihQLou8nOrUS2Illlb0BFFBTEERcbBpyenS9kstYa47OMp3CQ5pcs6eaRTCBv
snmp9DILuKmm89EY3b70nXtoaHkoht66JRsRvWqx+UJb5gd9G+SAyrbYYhTpCJkRetcKC+BsC/MY
J445cFp3q4fesm2y2dn8WQxOaM4JZ13s99u6mx7KrK+PKGvMZrqENr6ZNzh1je0k+2iVjUqckOSf
XDwwK0aoBzGp4qD7prVHcRdr3e/rzVQKai4CchgxCgSUrlepQ9mYKCVgXKF7R+h+6S5Tro5lM3rV
jUKGYGtXvaGIZ9bXOvW9r9TEs2yPUn/zXA25UYjHzmizdzIv9B9msMyIlPkhVv12FbUBijkBRJwj
88x6YA35PibWB5uMehbgF2vcqw+yaD8T1UXgrXx1mZJmrDcWE+8OfruJDk11Gk6WYRn5GO4lZ82/
52NFWs6NjDuwz/ZmNOmQCYtey/YCCXUNBgUDgmHWX2iLYoNt4KCKSjBOr997rN1r6dOcmRnDi06B
WKhX7PaBKRfBpP8AUfcqE2unKxk9jUaNpcQSA+iCUQBgcrRzY5M+UCV9vTyGWGbL+IXmuTYsW4ux
hu6fRr+PNxwS/E/yzMPVc1LjSeB55QyBBx4ZylXHke4RYlJm5NMwOmRPmUc6Dztd8dXiTv7qmiY/
wvjCGRS30boatGHLnj5uRcu/jQtro+ZOv3hRVt0Ti57W3Cc5WVnwMZA6/Es91ONbCXbgbTQN6+IS
qAwdTlgrrGzzOucpYiXvUmCMSYmLKBKFHyzw4PjETENALDEjAwgAFNeLGWCw8GNZ6DwS8XPnTtqt
azR+KCxzkryJuP1Q4bXNQHfDyXMam09MGXFlkA65Dnse2QaBMVwqHx+STewQTdQpNlEro+dApt11
pEg428z04KBJBKV26WLfOXBSEDtDr+QmnWCsYZ2u7E3STL/KwjRvDdo1nsYmHfdEkOQPl0JkYOAU
K8dzgAXNG1G6sEGRTpkpreQUVgyDdtQrFrDaMOW+iqDWcnXNwixS0bbCkM6vlcudsvOfXpujEzbR
eCtcTT83ETfx3KqanTRJBPSjiELODOepogdQ03ZclUgF+vNr1jRVvc4omqN0QDb41YWxSnESbRHH
urBqhL2j9vg8Qf7eNeg6K7PHTu6Ab7ibBWc8MVDrXLmDf6tGmT9ISCZ76rW1VwsFHDB/+zUyMF1J
V3XboHZjoC1RDSUaabhp0nTdNzOPuIWtkE6JKztodUsdXk8bba9WLbC1Z6uedtM4xevWmh+Ua3mX
KTUNPN0+kIfS2JHnJZFpNBs6guIvKOkQ7tjyBtryNkOa9Sjb03RE5MGSmLXRYZTRKY3l1Y4cFOLI
z9AW3ekmynzaONcZdZjGxrXmayBYXY0br9fcdNhkC4Cu3mE6zOJ7am8kXvUem8uKP9gG+RdoWsyW
EEsdrSnQ6VgOvTFX02Hi/DufHI4qAodHIZwN/qhhPfk1ViaEgSljAjz01DgUjAWY+MYDLYDMOdDl
IMdElblnN/wxFfY9KLhhW+D5DWNUjgf8jvPGUHN7iTNAI9ng2OfOmV/kbKXQQdxrGmD5y+aOSENQ
IqaSY7ylk9D52U6VYpRRzj8BJXXnsfC0bWoMXw0y7mZ0zOHsYwpak46xGQlw+4Gh194FY26eRs+V
15ijyobmCmuNWvUGMXvpzOyz97GLVZhqjQ1FiNRVoaVMZDO6F4VsyxBK5BQy46KhPlomZBiNdrof
PNJSOK0gD9zMFgftPM8+PZMshc3s5eIaC0zG/khys11HXRocVTyD0sqM5dAfQy35qdtj90n7VXYa
x7LlHN+C1ndT59BkwYM+9IG+kpxltLUYOnFACgdVOc+2OtlpQzo4L+YfObDEc5sUH1xA6RmsTIYv
Kygyzg3hWoapZfIhi4JdX5PFpwdNljWLJsItRQTDtqET9JXji4uJygLOFJF05Qx0tdLMwY1MO/vK
IOFwJIZEclnNPGmMwZ5dPDU3cATK05wPPjEN1eW3gmGzg7hlJT9RtPV4FQG42i5KPK1TQbMog6lf
cQ7IA//Tj7Fmh0PsGNe0j/0fXePhG7CK8uecVNhyh8iyNZZ8LyjDXh/Lx5JD/8YxZp/Mb1dtWxbG
jW/Mh1QRCqyh67NBz+KSxv34is3AWLsSC+zKKROmTBAHK/ItFR+hmENJVvl0r5Rp0D0SgmowTJGU
KWeLxAX74KxC+j7xnOK0Q11sZDv8SvDc7T2rS/cNei8UiPJLTBh98I57XB/bk2hQa+u48XEK6sNd
nHT1lczuvBZEbeA/4fZ14op0yf9l77y24zaytn0r3w1ACyjk0250bqamRIo6waIoGTlVIV/9/6At
2ZL+GXt87hOP18ikOgCFvd9IH3sAjhbCJCcfWPzCwPXjaksohHfIHS36Nz7wG3bzN6gPZRtLvcof
mN3/h/rcfh3+7+brmLxVP7kufv+xb8AP5tTFLuHYpk/yM61ef6ak0CC0BHU7aIpousNpxx99d9gt
ybrmkoJCHqHrMkb+6bBbknXh5VlOkXYuYNI/QYLsX9BMnWB+FnaPfBQb54D9a6x/k1r5PND4fpYC
y+4r6RI2FnDLxdyrw/CWRBwNFApN+wQBXKEdKozotlyjUSr31ZDoO7iA6YuEVMFzrBOGOtLpO5/G
0nG/NjJ3g4QOETk3+7KNHBLXSKoYJusR7Hpm6KKRRQgSw3LEF/mKQiPw1k02z2ns3+mJ1roPfdX1
dEnVTivr6dEsZQh4PSCEecnNgabV1WxpiI9ISdVLitJQK69Hz2UN6QkQm0kQmu1sjM8ICJew31i4
c0X2L74WkoCN32OBodwKNA4g2sbGQzSU68/J71HC9NsvwcJKL0r9lNDywFirN2+xpuTWberp3hZ5
iUqbYH1+1Jm0+VNdwhP9Xhj2L+z6NzegYV7vif9+A+4xtyY/Kfa+/cj3m88mu1p39cVXZNLStGRX
f0NdsTa9E5azyPkglPlP8NF+u/mEeMetj8YOSs+yHKKN/rj5DO+dj4mKjhITlzR/8o/iO5H9/Yjw
U6IDW/GNuqC71vJ+QWFJhcjnlCb5R7JJaoa+uVCoeAxe53rOC/9cW5F8iJNcvhEUIOC4M+3CdD9B
VWq0ZeWJZ69zRXYcZYj5EGgOoTkkrDO99/WL0nV+D88DyACtr5L7VI41NXO1bR4qggK3nSXEpjZA
tIRGcRVD0hAklEXuKoyjlzk1571PjAIxaFr3tZzx9axia7DuENHEd2OZIyeLVTu8+lE9vbpo6hKW
Gj62dRz14E4SInMLBNUcifesPxNmnL5SCDvdo703AsEG9jLJmaOEsAEXVGpuvxL8ZQAg5AidCAJ/
iGLnAQgAQTQyb/FhgV3/jjdaDvQfSJbrVwCz4vKt6qSM0zH9MxBeUB6YaqFyHmdp+gfb7OxNLUaJ
kaYaKbUw8cWSES0K/x5dhEDKIXhrteNV9hoVC/BNTMkLFWHVwZ+7/mYO7fiWzKnqC6eF9lw2trrE
SwuNnaTpDYgWxCXqzfwJTMvbodSst50yqzvPkx9axNt7ux7OxBCI9yIWOzf2v6QNgqAfnlL/gVny
f7bc8aYt3V0uYALadWSrv5ao1J7jRRikaTWqivDFWL79COnNR0NY471GU+2B+jCJwnPAhIZFRlBs
0M5bxTh3M3aj/rnOjAX9tIfxbvF8HofKtB/DiX9rTCG+iroyThHRCXdx5xhnE2r43vbCJ9BQsfMT
sErqu/u1k+X6PimHkihWqe0IC3ECtKAth2zBNW22en/SZ/NL6XTnQQpj33ahvcdAQ4eKFZpBMk7Z
ZrQHsdGB+bZ28pLXPlXaVjW84RUwwbHM4a1mYDq4Uy73ssX/EcZshKSlbttkGC/clNktkQ3cTCpL
kLd9QaOfSvqmpKOCLGUG9piJiefyxi5IEtXABqdg0gTkrgV0Z+CW5XihdZwkK8pe05siNpvz5OXi
ecKs/tXLmeNX5QBYhncWI/s4uwal3Ert/bFOTtSx6jchgrp7rzT6G5tVgcYGJC7FponndD/JOPXX
RDmIi5a0451qDT5QsaDOszfvB3u5N7Vsfij6QT1bMXImn8ayM+y8v15UZn9TFvrLmUXdIclSuNdN
phyf7/Lq2P+BORIRuUBR72qXmECXh9anzVDDQPI0jYMXSLfz17R+cO1gXHsbhDevVYvKcW0NU/wl
ravxtnZEeGxavXl2G4tQnzjXdw2G8dFH/Nt0TvGBEDMfWE7aOdM0Pu6c7/5chYhZ9DaaN4r8mA3w
kLiQs4q42J14q1OnTTdWHCZrjqsJGQcrJwdqlQGS1a2xsVtNbMg0IdIpHfvxVmbV/HC9bOu0ocY+
caYbiW75bNR4mlF9YOzRCvW8hN8+l/geb0HxUfMWGOViDNhl8rnUsx2phFqx7kYfDa/Zdc7OYuhw
N5kXe3ee3oBV//Wte615+4F95uNHZO5ROUS43kIFLrf2Dx//0BiKTVuGFyFrIgxawzVWk2y0x3T2
eQcYIIC5GqW9T6cErZ491n59M0psezuP0kiwMe5BUNm8CY9e1tevWe/IaeWzk2DYRjD+Am7Mm1lI
l0OTdNr2n78BskB5WZTTmFQ8L4kPP7yBcs6UNGJovtwhe2BMjfG2qaNo2zhhjo+s5JwJG5TatnA4
Yggj0jakidQk3Oj2Cb1u+Bv3nsnBPFWv5ugaBJqNpKuJugu3Te6F73O3oZAwLiMgob9+7dfn8S8f
PoQ8eYIQF0j5f33tUDiJnK3BvlQdnqjVoFT4G1dz6O0lkgcKx5P5Jh0V8kUsKLu28HgHAnPLwauT
/lgVXrIeIAUOuT1IQvMb7X3rFP7OHyy897LpyrvZU9SxC97/UODOgZUd1G+kDgBq+jgUVTh0B32e
vR5MYR7vO2vISqTsLsKV1J5X48I4tF0XPovYSPfk1XlHOp+JyCbpY5srM9rWeTy+4Iaad3JY5EBo
xTczHjNv3QoxfqXAk/OKwgwiBVDTGJvZrMmOqrLPBgSWis2SIIusrg+5BeSMR1QemAnG++utR71L
9AV9bkxvQ8b/2QFgH+dRigv4BVxVkZr9Gtw2/qLXat6mVFa8cOX1X4lMW06Q5aPBonnsEowNlr7Y
Zi3qFgCyJem3osje67WYUVU2TvIRz+KbWRUk+UTxeKAbWa0xMfVrzQKniUfwRBtG5Jb4EJ4lf30h
MCT+NDZwCmLAYGYgrdK+joO/jA2c1UWnsr5BVm60GM10brDV9WzOhxFMMmzoDSRgLlmRSxRtGcXq
VwcXGzwsZ9ImKtQhppeS6IY0PzYJGPlqKvQkW/damiDaispt2wAdr7iT9M9omvMPHP/tZwHa9rVD
PaUFvmMXbqBib8kxZhy76cvW3tApN3EdWCUJI7mZh/k2N/CKr3A9d3sP6CJAJuMeRqv4AOFlmLxK
ErjXGkYwsiu0B6DIaQhUp3df8HlwRGYYliU1RfvRmNXO4q4li5zSlJW+fK/1kLTPVLPsiR6B1RxF
Mm98c3o26pqYigqXA68nxhGXckMQa8LFmgplrREQuW/0ERaB7PvsWBmpvp/9fNLA/OZmN4PbVjdi
DAl1JgUvfuI5kDwh6STVkOBfk5CMBMuqguODZswaJ9rHzC1Uk5icBisV1/EXDUPOReuHZcDBE3jU
PdJTNFU4gQSZiVb48dsNBGih83bJkl7lleKDUoPk38O24zaYYjGHa89RlrVozsr3UdSqQ6hbPHVm
IzU/x2aYTOvIcOrspLXtMv7400PUJpW2mQFDPxc51ux12xResNDN+loriU2JsH/hKawy+DdqTU6a
NSE2tQ3T/GhUc+JxPXXzQ1qSFLIy3HS8SGbLPfUlPuYzNc+/CbqGD143a5u8KzISkGFWSKGS87Cx
eko4POUk8RrZpLsi64OrMGmYMldjJIPWtzOQpDrUg8Sc899wB17ArvJkbTO2km2dEXuXD1lx67pF
fC8Kd1jzMABGVP40P1xvpH8327/ZbAWPQKKM/vtme4cW9ydQ6fcf+FNNZBucPzqiIcyW+M7+2Gu9
pa1pSbwlt4P2+Cve9G2vtYx3vstj0+fMQC3Hj/2x15reOxM0iVXYxFVy1SD9A3mRseytPzwnLdfn
ZGQ8cQ3anwRyp5+f8eGggeKXtn2gtKEOA5HOGQdlHR5tDOGsejZzFbvEtl6KcvAVMYrkbf3i4+D4
YJfoQCwnVc9E06vnaASo+eGT/A/rz89bNy3l2PBYrW1eoDAd56q7+2EC8TuCbQxCDw9pb1WvNg6y
e5IEynN5NYNxGE87DPbL44+24795clBV+ctng2J0KVAG2aBLz7kKwX6cf9Dm5bXTJQ32+vBj0YQm
9FSX+DeZLyuH9AHbPSMHJLXSnBz3NFp+8sFIZfJpnMv5i9uppg/qeTKPUR6pDbKOfNfmsstI+Kuc
BzolmbUxtNiHEKkCw6xZby295riSC+08FpSEWL0q7mKBVGuNtQN7r9dg/B8AIoOum6EcvY5nE+uX
M1KR5IiXyCszBPVpvJqVV51cZeEXrvLuEpeq3FY4+pHuo99BmdP4YPJ+SK6WmVj6syaltiH6/32H
NyBfW3PDwes6dXkrrTHaaLEG0yErs99PWhGuM202VzA2cF+zO/QNgaBOTPcRHrBCjAT/4iGwVxoN
DWd7SEOyKqb22RtCQIpEJ5V0pRsxibl8Ac7Cwk3bIc4dEmCIBtYsMagVHWbNxYd2ftBVkhhByhn9
klNgF1SUd8uAsECqtjo6gbe9ORJOgAbcuYyhFxFz2jQOTx8rbt8bXRVvytZlGFusblFQirK9jKyD
8dowB3oQYPp1iIss9JZuoAwRse3Uhraxotk8laPUB57xyVL4Q+rDKmWq5GtNNWtvo43ASoHkHeWI
/dFNJw+juFPeZyWZrSpqSDTpbLgHCyqUPFp9NLZ6msqtbAf7fsqFtptJJPzSxAICWk+2hBz0TEKG
fyCLsLjMYupN3MVdepxTLw3ItXJfY7Ih9nOh8+zO63Y/IcKZt61g2aKOVuD7aXprbNd9U6odJgaD
LH8Py4BnhE/kxzBXDPEiYXft+Ks16P0dxdmjvcLTVHwlCDyDOJmJEWvspCyQTEUNya/9bJsrx5VO
GnDvPcaRlpq3XZZ0do0hoyAM2ZBFMtarxi0rciPNsInW6RiWxsqr2+xLmbLrEW0l053Qq+ELPv7C
WPUZMSYQbAC3+g11KzJ5pbSQtGG/7C1xp6CIj3M3myTQmGn/0RmRvZ8nW1Svs2Zi1gj9bpTcFY3W
vpVhl+aB9FtGOaetrGTTdrLUNrQ5Tjf9ZJQTwLDLatn12pw8TgiTpv2E7KRba1RXhauqlEUUME1E
9Sd0RwDc+NAX0wq13HIdDRkjD7Mrj4K2PMt4SOoAQVj1SuGveTAQx3Opj3p1mDKVXQyXQzMaY94/
5Ht5h6AFM1JXsbtqwudvYwMJj1Mc2o8k4hjDBuQpBLvrLfXcJk5q0YLT8+rHyJ3pNRvnfVINgISh
Xb0MvcAu69t93QfxwI28UURLaKtOH7vPeopc+yYlHxsXYzhgsa2Bd14lyk87qLV83l6Pcp93TgcP
BTubNl32ngwR40JVz0+sHeit1hlZd/SCjKEIczJtLMuYXu2uk3p99Ihi5X/ox/LJrcGTExH5Wxnz
0H9EypMnCkOgXb6SrVRw6chZneiFdm4bZfCKe4hvbTt0bZIi7ZQ1YILI76YS8dyKfFIqLREdjQ9d
Eok7q6q4sQBz8jvQBdo9CDSt7MCb+p4+OrclfaNv4+JcaJhGOBIJr2EXqq1DiSO6v7UauUisTDvs
glJJ9xOGpWFCUSIJOsqjuTQQuiLpWXUxKNUqbtzhpaKe4zZ2EN0FHlKvVYiQBngTHXc2qOozBPQH
eF/n0Pt+au+MFq1mR3FbHmjESvQ7gAQMwAZdoMTrVX64tuyUAFsU9Dex2YeENWlTeY7zQb4XWTcu
Qr3OfiN5AMNkbxrxthqoFhIVzaO5YY9nK0+rUxj38blzZ6lW2C/zwwj+Ym+8URonk1Kkgy8E8k4u
IO19xnMG9pGxNoDAzauV0RSuWDu2UjSgVAIWf2rdEkh6MCdOv95JZcA5Hq3tyLbI+eDAV4Wpnv8d
HP+XJAPoPqTffzE4HsovyS+VZt9+5vvsaL2jxxu5sgWJgVWD2e27EN17h97Ax11m0pvGo5A/+nN0
dKEoCQ5h3oQ1WSa674mfLvFx7MP8GM86QkH/ER9pWT9j02DRBu4KfhvjqXA8QQnET/hQJ3C1zPGo
HUJzHvFt5fkrVzzqpC7RBWFb6Mp6mgongMWO7W6dRYCDTiyLm9kJrXFtGGW2CfWkZ1gyqKNBePnJ
11OyECM/i+DbO60IRsJzkZLM5afCBh1GJS/ukCY5aMh7ad4gMwa4zNICNQSRkg5yWO+RMqv8IglW
uNP716KS3N8qzp5alG0vVZb0GjW5ObBKptfjK1mNFA8mSmMZ18wIhfdI/9XIUEViAmxmk32Otcxk
C+UZwS0kZIjuYsJrPjY4cMPc724WxToGJhRvVmBL4VmbvPJccw1RQR4BD29z1/jAC0uSfXw2UU17
G+KhEoTZJZ58pqmseqthll4qoNpbUup0gmhydSLVdHjzir58AXfCNtV70XRKhqx5mOo0eoV5EPRT
EDoDEIuUt6jXTgesOCbecDvbY3VvmxPdN4NHmCmwxeDu8jHJbj2zGB9IoGGuJ5RpUtWB3RKOt8lw
QZZE9jgWbneRuPfoV7HMpWbxNqrcIGOy8O4d26iJ807bRyzciq4CpTaAxiZFkLWBwUajxcpuSTBL
p7k74aYi6WlWRnPs5zxGHhLZLMeJ3bhnyrEEJiNtyp/Mou4eOyuTBHAbA+FzWW98TNws/NhqVJDW
g91sSlIEzsPMQQZ+76wq9IlrVpL5PEdG95wvVse17RfyPISyOcWe1xPT7c/pKpqWlHiVWzGWsjLf
1I1fpkE5+A15ZIbb3+QaJypuTixdzVWvo0Yki1FSIC8V6aA+0YGAA25gsiStrTEjMmj90tizaiWX
uM7MZ0GrMu53m78NPkc+YjlKt10TWydDpL2O5r2K90wukVpNCNlE2zd7Kln7S4RXbO1QK/uilZE8
kjzkf4XHd+XW0YuIB4o5eMkGQ4V/IaWK5Fy8EBUZ+pHp3MdWwrzfexgyVj6NmW9WXZk+zzSUmZE+
F4EPjbVuCvAQvscMyaWK790xVTfKmOKjCwjnbwyaDgiZLilgdaaowH+WVu89s9HvCBOs0Po1/LlR
RRYtSVZXbeKqqG/T0q142A8Fd/nHsTTSJfn/96EgI4ueEcH/fVKoSiNqqbDz+yl1LqryRz0/l7o+
lpAnuBZIJhgwwoX9rIeXaejN6UjKY7pvBufeoFcuICl+xtqA2xSPlf84Ajv2GzV2+UsY+hPppSER
cW5n+WRc1II4qULZj11nI4yaEqNdL6mxKDET/daiuuTc2giTrQavp6oUkmIibzd+2GcbjNtcitwv
l1CNKOoTlMofRsao4ux0rZ7euwmaYj+w6rnTH61ZgTHnbEilTV5ro+2HTj5ZxKY9aJlHHskocY2a
sj/2WLFvSNiSu6JdjMJjTuRSV0wPVHkL2Dvaq7DbRgdvUvnDIEl+zId0XFtZitHG9PMN7dxFAIKw
KkKV8FCPbwvyH7uiXUiW5NynR6A9fpOpNbvODZuNn4gXJ4xJgE0JeUvFikYmncHEUPyaRXWBJv0p
tkzrECpZrQ0+li36FnWX6NaL39VRgOfG31RDr92ksxHuo+W0njr9ucTMvGIb5h5ASaL6UzvzGYat
fkpxIk9rw8/0ra7iD6OJwJr55clzJ/dQePUbMtV8w5B50eGAEMjlT5Ep75whTe/bpvyIxnFcienk
YrHYFnr12CfkXxSj2+KDnoqVPmR9IMq8p2djrL29G6O3m5wSb3+vGuwmsXPTJIY6SlOdKGig9tf3
+p0weyswFPb/lSVcSvTIWD4Sa8GKwEw9v5A4r278cbC2DtpBwWV0cvi2yReVDJhaV14IOq12jLTa
whdxNU3VfEsKXhpy/cBReoldPzTT5F/MWZLfHCVt/pBp43Dn+PKLW8X6EcutcZoLv9loavCKdW2P
tFejctGKlcfl9551NgrQRFRBM9piMyeqCCInmm6x6ZOb0xvyw5xF7Cq2pZAMJw+2xPWOchrXct+r
20JmBaU+dJn0eRg+2CKkCrSDAbOJGkHX1p/8UCdYTJjxaz6Gr7HSmwdRu8O9GP3xlEhFZR8RLI/d
gDe2NQlaofEEbIJLJ9X0Z1uRfWVr/CNmrVuDZiMuz9y3YaRPyQO8XZNCQ0rYNPvbjlDI3xwVLuGv
G9XN0MEtOh3SupV1yxmjnenecWnziYvmgmcoD9gas5PpVibOaFHv/FHFb1aec2/5lVJrN+suXIQ5
KXV6fp/aIaE5KJY2iTOrwDD0exdld9CKFCJzNs37nBzcgF7B+s4ejE92L8kNpCLpsfCRrLJBi2cW
RFISBpEZXBlxhmWi1521YbklnS2CDE6EYDsDwOuk9Y5/tNUwYUFIxoPT8ogcs9k5aLnhGMG/c/L/
MiebUDZMjv8dYH2sujb+v+A1q9rXH4HWbz/4bVj2HeLscfHYxAfRIQYr8ce0TBTYO0LCPSLwv2Uq
/zkt2++I1BfIe5Z05OuI/W1YtsQ7VD4kgDEso0BCkfRPxHtXzPhHoBXRimHjMyWo2QDTtI1f2GBf
hy8Nw0Y7sU33D4iNCnI/JYWnFGFwxBMtqjMvX8zcYZOsgO2MfvLJAfE4U7JqeE90ZXEyaeNeG03r
7Sn96G1Et2m5LqFk1jyHYmIYo0tUm3srIx49tBYYzyqfhi67HwQ2DMI2vbWWCTLnHZ4wobJ84lo5
QhW92gx/sHGPbUn4bl2LJdA0Km6toVfv6ULBw++2VjB1koJyjSAZz/yQVulvZk1Quxt2D5M/tZe0
cuxdMxCTuTLTrrgkQB/Hqvaa0+TGJEVT0pntKHhCFJuX43kaHJ4NEXGeKUji0ZL0dreqM9c0/sxO
gLBIv5WOJsbVYJGx0tN8hYlobIgvh8Wb9rMudfQkVsiR2thnXdJikkN06URDI+o3aAIzTvhIGGlg
/VeR17LJxxnJqQ3NMq1eF0yLtChCEcpVQ03mKhmadZSZcs2XVZzm1sq2rq3R1ZampLiT1byiIaPe
jiIay/1YmgblzQp0lCqTx8YukdpP8RPJbuLDUNgO1J3bv5RGJdg/Gp+qErMKb2s5CZ39IE7QQjRa
bOinnra6+bGUZoZsMSEVRnvL8tFwZ9RUnTZvO0chdMGHozC7YtUAw6UksiW+Np0ujVl6ZIn6ukYO
fsPiIsF3hl0hlNwL1x53nOWYPxIOuLuxAPzU3FZvmY20Im5X3qzMnv6UxD67mSRb2mA/2KBSQVGF
MZiAp5Sh/FajzarWAq0Yx2jeVbWcpaTwOE+0GKysgiJknjJ7RZ9D3ZN1Vx5dzHAO65YIbTgxJpSM
CbVK6FdbMVXKdHgAbC0IpmFRIrHKnft+2AJHL0VF1ox75OKrCUDzw6B3Sn/U+gkl1IY6X9R2+P4K
7PVbTP/eiLYtAxnSx5shKdkAtlQ7lN2abiLjufLq8QGWdy5WU1o2YisSIwXf0qIxSAwbjEbrFCUq
ydRrT3FmJ1kAnAKuDtk/koCDxmNV+s0XG4ZwDqpGhJcyj5EgcZKwCKRZHT+FdgkDp6WTMNb0b+t3
cz84/TbX3CFcswBUrBhEmR1Jpov3VZlrhDu4ZrTGyUTGZhi7bJawnoT65iR52I1jfmJrYFCMiuiu
iafmziGSeNP2NctdbBCiwQvQqZ1TUMiA4njPiPdKprK+xwJdPpG2hivFbQw8L8RnqXxl+IY8iDTF
VA37iMLB1QYgo9ZFc9uOdmBoaOgB5EuXr3zGqJfaZstk3VPYHeuqvXS9W94DPEU7F4QrNnr7zk/7
6H2Y1+OJIHJc3bTYzC//PhD/lweiwaPqLxnHE3kG3Vs2/fgw/PZD35GjhT/0v2vVF3ToO3Dkv4NA
sIi2JOTSW3S2fzwKTf+dYSFX15Gzo1hC8v4ncMSzFcTI9EGU/vmz0PhFyG55KELR6to+D13gmqtw
6gdWj7jKWHozVRs9Te1kBkKCPgxGNG/Ngd4TBN3+sdc/p0veft0s0ftYOHwcV327ly5RXGZjNDtW
H+w6P8wV/4FutAXv8cenNC+Nj4RiA11QiGrov0JaRHFNdiZomHNx5Fd3PvvMnTfjgGEQDu1sBZ30
yEmqWZuEoKM2YtnWauKvCh4w4RevLI0HhYa/kZt6cgv3mWqR6HaKm4E86lgZL0Uccypu8r6mKh17
jhfkNjqwO3ZWT2mB5bSat8cDNweWnpVtHBj5YBEZXlmczh8IfY/2iF1ReyLrz5uLF6octNdV7Eqg
Lj491Z2xoFPpZpT++wZ6EH+nP3jm/Ww4HRnwVI4OsgGhRrKUg9QNKeWb6FkwmZnYdXpLUpCMIhNv
qEcou7HtQxHnxxZrcUZSMTFAPBBM6wHTD26XaNgi83/Cjq/tIIjlsYlSY9d1pnpLyLi68wt7DCCI
6QSrCIJzFNGNyXhv+HjfXNW1J5SC/XHUeo0cyBmIKgfiuG0sczqXUbzV0DiDI3ZGddEs/wUiCHoh
UVUVUB4Wf0TOVbsrvbMHor4q7WHuSOtGJTOpzZD04xn+5FHvIgiEqaPBbfY54NRAuubWyzTrs1QF
vRN1TIoeA+UM4KYnzkX3svpCG5G5LkKvuLf7mdFlbRIZdUNJjWLsiciEGhHV3s1zs2EwEdvGzxnQ
wDQQwZlEVEIN7/K8KLe1S7Th2pBOt1Z4Thb1lkEOV1hvXPKpViYWBUx/hLhZczsw2EXOA596cyJS
TG5TFNnHCG0nvXuOd2RQgL4MSz3/iEpSva9c5q8GLtheZ51WPzYqmW/NUoxns9fdL5EbO1uLWLAN
0CASbzrw1vnUy41IqtZBW9tb27nh2UjeYR2/Zlz2KPXkuOaxIGGPo+Giu/1wi7iuP9mD6ja5lfgg
J3SltdpcksRBs/Zctiby0kICfs5iFckk5pLGWxtuhx5RFJHhlvPR5pestTHXoFRIzrd9igRERAtm
kU7T18XQfdOQMBB440h0fW2BFbdMXC9KTKjOQ3b9g7iyFdWVuZivLAZBtQCBcG2wG+LKdKDZhfXQ
FwIkv3Ih7KHae3uE+4NuWsiShTbxa7uyeWjq+aG/8iqFkcfnKHPKExmxfHp0pM0w7+kmVX28zSdh
pysiWKw3ahwGh2yKQb6nsq88+/kSylXDlJO7DtVjLqSPuPI//pULivKFF+qvHJFY6CK31BN752aV
c8ha+cGPh/mz28/jJhyUdfAX0gl1K/xTvVBRnITDCx5L+Cl04HBVxZW3yq4cVjQsfFa1UFtl6BKa
ZV8Zr+rKfgGmWgdUYHBiJFfBjxlXrmy68mbwf/2hurJppCbCrKULyWZf+bZ+od7ASYcHR+JDxVq/
cHNTqfI75Nc1mLAXw7ZdeTypFk6PUdC5dTgOTkXsk03bhXnxFLJGYPUz22ozYoi+QSbanDV8xCpw
F2AxWSBGtxJaHhgdteHQws3ZuaKRcgEmoZzlDRVL8T3EOyGYC4AJ/U0j39QVQVFDlHE8c/gSI5u9
pRF6q1VyxUI1Uzr3Kply7SNhKaCl4wKciiuG6l7x1KiWjkRpAcwqZ7M5ToUxoJuIAdcXONZYgFni
OYNZczS5ihbYVr8iuLDL1in2SWlB8CAfbbMC6w0NJ35g8xPPVV8kF5dedWOvpIruLcuqsTZObZav
BdK9TxVLC5UWWI1t0ncwhYYL3Bw3foNr1Rj7mxagH+7DGGwWHDQaDLaEsmPiWMBru1f8dbSf9b9x
voMFazHhvK6jPjmaz1/BAjCfIXXNbTqZ6UFmYtywijUbzobxkC5Aer9A6vDuoOv9ArRnQEhsUsyk
K8pGtbV/RePTBZg3rhi9O4kFr1dA92BkoPh923SnFsHz9WtDtBqfCl1q8QqyYi16w92o2HlLTdCm
wSOsL2tG8wkQtj6kteve+2YMJw6XIJqFVUDeZt6NWn2mT5Ujx87P0eSFEA04NFwclo6tYeA3Curf
9LLe1LWV3k52Rb9PpRH3T36GuEM7DEY+LHyHvTAfQnQiKOIJ0JM9i3gNXfuULnyJFOZ4smyWXNRC
MXyKTXFKv3AsGWlOgSyqcbfMJZ/zhYvhKrXNNY0tUDTWla6Br4/PqurRLPA4lSfTW9gfmypSYjHU
7FqbbtImKwAV9s3tJOHRgxGk+MlJ27bcNAuPZF0ppelKL0X4BEJiKhbaqb1SUF7sDvS8E9a7q68k
VbfwVcnCXMH98XXFr5qV9ncaosbLpDuP2Rjau/RKfZkkFs2kJMTE5V3JMWAIcRdmJRhvG1efpoVF
axc+DYKJ74sQFGg2jQqiT6bdFPxOWDix8HEkPwD2ugtL5zXKOCvobO6ihcWLroQecxfkXu61EH2u
K7JXzI8vSjNIGJkMOi7J3amPKZQES/jgadbKhByLaeEksHujVU1xGWK9va3SdHqwHCMB0e91M3CU
AccmUcVgsyHB1R94WOOGvIntKoYF5BajZNUx7ACEEFxwIBqQDI/CAr5fwlXotQSRTMfms+c3NVIl
EkiPYIPDMmDagsT+tPKJgGOpX8lBzgcvddwKjLFzzi16GmtFCl1HqYU2E0DkpmlPrcaMxGXgHEnX
srQcHFx+Kp9FSu75Q29ahbXreOjj56hmwlq5BsKNX+XOsU/lQv9Ti9fsMyqvx2Acwjjk0Woxf1W5
6T2Oo2GxULqa4vqanJMnMw7a2Ddr0B8nT2+IUsxGcjxd6j9Kb3ySuMkucEHup4YkgF11bXrKcC69
WQbt2B4a9XLXKDli7iSD3GRNm3lkNIgMdsnSLIURJS6OyNv9O1Jz6t/8UreSda5H+qH2UoqqEO9Q
aGp2ZJSM7K1me3K8SVTO70P2v0LSvxGSogL1AP3+O855qIaf8M1vP/Ad36SYwHbZ3b7BlN8WOmBP
x+KyRxHGfSZ+dCZb5rslNI7oA9rLFyHAn0oAS39Hft0ihwcnta5+5n8gIrXMX9YmJPambdEzaqJ0
Fa5pLkrKHza6qWjbvnQT76g3xXjSUhqAhkxkFyJnsy9F2f8/9s5kOW4ky9qv0tZ7lGEe2qw3MQ+M
4ExR2sBISsTkmCcHnv7/PDJlv8TMkjr3tcksKykJBsLh8HvvOeeDJxN2NlRF4UQRb7UwO1tW3nzm
kNcyUPJa7caIPHqQcTUNN7bVhU/ZzBjjWCdSvsXohSLY8VYdLmntWNqyljP5HAAu16EU3tPkdEhx
msoCRDXlIjyAYhJfh2Fyroa6959i0kR4Xwi4XKRxGOa0Kkqek44JXRzYyX5wBrFOcYP1zBYCBy9L
brlfaTaLb3iE95EQMwweOSDPqu27LNR6En2HKnzvrDm/jrThlImegRf5wSk4Eqt+ASQ5fJIRhyuY
WPE7cWEVyRuRQ+5ZI72byqW1tpKT1TLRiCRAmcYYFwF+nncv17TbskhRW3pDHp0HzYTHaVegAKLW
N8Czl5Z9hUMzwxvNYCRYgGKLX2ZYWsT7h+2afKH4szFZBCtZfu5vW8+xPPq8rrifjDi+ZjK6d0pi
4nfJKKItmS4+maX2sNVLWRGDmufufR5HM0FoRSw8yO8xHdjSMPt5EWdMc1eFXQZfJ0OXlUJkeSDu
FHaJeVe3NMOsPvRhpg7Phjujg2L/ELUMjkrJz0CSkR35EJV/ttElMOAcvP5u8PJ6F6Gr32Wa3qK2
CP1uGYAeLpGhulQ2xEYfDM/XlqUpuTmBIOpJqwpxDRTO0xd+NKfXnJtL4kYcb3gWPdWr29udfySP
wiNUbJ4kqtCIxgJVWNitIsJR1qItmusiBuoGDBlZreXCHLRHGVNDJG136NKcTrMby+jG76p3bPBT
v9O7uU5WGtlm72MEZpB33CxoHFPAvdHAdbUdHiNBPLdM9xji6jVer9TaV4VLkrcRIJ4Ym2FVVoWz
CTirekgrCKs1yoCXn0yM8XomKjx9qnWCzobbWfPJyV4b5C92WxTAyd1IJ/0mN+kxi698u5hM4Aai
F8yUkQS3+xWWK/AVZ9318vAcqbZzrhrQht0Nn0cH9Zqv2tORzzVICaIRP9/bqoU9XrrZWBaHYod0
U4VY0e4uVON7oJt0mFQzvM2znMebBrkCgeAGHheeap6TjFqiRKShXndGuElVk502MzY+1XhvIisn
INs4UgMZp1K152Vp3xEzskMJ7FzNqoU/qWa+VG19cEHc9/7S7R9U47/wG1agXdQ6bMlycletGhJY
alzAhKE7mPAr1gnv/70lg/GqVwOGUY0aakSLZPrmc310wSMdTDWUQA7KfCJRowoivGmHB+3tHPNg
ZtTTBJo84qFeuMLPvvpNaa9S14VGmKTtg9ab4oxnyGM6wJAkkY5x31wmJ74aogRqnAL8gMGKGrGk
atgyqLHLwPzFYg4TqIEMJQnd+9LapcxqXDW0ydX4JiSfaZleZjrobDCpzW5OBjYjHy1l+KNbVrzS
1UDIU6Mh8zIkMlPzzq0YHLE9ZWvEEc7eU2MlFx+UXER2258gNurrWqbMWnJn/mQJ28aM5aSrOGO+
KqsYDUjfeQ9oyfpjNbpCskm17CmMY9krEyfU3vSZaognP5qvdYpktMJRekPvSnzLIgbxJbbsXU9f
/mo0tECuozaSm9Cc+2VX6PlyxAK6jJKsPufk9G+BQPvHrDFfUP2TzhmRSiPDfF5QunfrvFWJdhY3
5XZEKLQOZzouSzcS3G2TgVID4S4I3pJk4iXiWwNpTYnsJIRNrbhKCP65Tlt//DroGBGHIgNc3zFp
0X38Tant9Zum9fNn5g3+TdxhhF9GfP3PKVHnptNrZ8Inimtj6JPVJCL9wQxM8d5OdvfZQ+N670Hw
ua3rOOIIWesbUUGPHObO36e6DcpEoOBaEwUr2HTjpL9PbKs8+HFrvVgtS9qy6vFKmnVx8o2qJVHG
MVA4O9nyQlhr83G6p85xfczbRnJm7oICAVHKFfV5uNNjJ10OaZvRBfTZMkV0DdUr3SV41nDo955P
tpXvURtb0YoIOyRhnPnngy6qeJMjjTsnpggf42IeY0yxTvuFMTfjmFkbkiuTLs2ORLKaWt+Qr3nX
Z0z+qvnBGixzWYWpR1MOtCdn/bp9rLG7X81xOF7RWiBLSrh6ynqr4zvH7Y17HMfmZi7TitjXGjkI
UVrxp6quWqLkXGIL2pKagY2p3vFGly9xVosH0kvxBOA9l+txtDIMTLTiUlblwWm6W/wFMPqixlLA
Pr121RB/QqoBzG+6kP1KuOLJJyzEKnuxK92eN1GmYIDzhQtYKERgbwALnKyBQWOlEIK+ggmGGVhB
gr3YgmMIThQMCjwYxVO/HWERjhJvIPC8iJxbCl++SrGCjyJuLaWYc+AZ9pGGClwhDv8z9vi/jT0M
E3PUvz8fHyl+X9qfhx6X/+T7Cdn+F8N/tiqd6TkTDoNT6p+nZDr5/9Id2+S4a+PoudiBv+tlGbV8
18e6/yJjh5E6cluX0x1W0n9wKkZs+/MwgVMxQUKYuxAlWL7pulzpx1NxHXY+4fbSPeZm5RtLtAYG
AbsGfM162bfaZXSOa5HhQparyXBZTAyUUe9rKKTmjlV5L8pa1/JD27pWI9caBl073PkhK5p29UD+
j1eDLz9nMYIIb5M3Q26P507PEjyuk+lxOiCv0e0i5uoid68Gu27fMuh9JJrB0zVMzWMuAdxP2EFA
ajTEP1y7073mz3gf5wsRsA4ueED2w3TemkZDOnQhDeEs05bWz8JrFFtQMGqob5iRZPdNHQafW8C5
qJN46Ro8ZENaHUncjxHOQi3ULNcuucTkzmvJGCLZ0huCcWgp3CHhif51VhcQQpCkrjSFRUwGmzcO
2p0NgBTCPC78xPTCUiwvXMWOftA2m3OxTyH7fXFbp342W8ViNBSWsYTPKOR09vUmTTCeEIbNP8LT
0LvWdeIk+i7AgIoZAtyjRH/J31EQyD5VPEj9goa8UCI5hAf5gqMzW+KFIzkaICVJHMhveqNvnzCo
hnuzmcbtPHvTbUD7+sCLkd4WGy4mjZANexeLNPnKenBu0wvPkja2dh3nhb+VjottW4EvKZaKh3gG
hknyEvgRBcgcZITx1EbDcLJxHn3SLjxNtwatWdpRvwoqjss5CVX7QWE4RaeInElv92vDLHr8W1BS
Ry2UDNlIi4EyJMsl3uf5izblFTgboW1rBf60MdK+0QgE4kl/935WgNBeoULLCzXUVgBR2c/uYBCQ
Otgd/tbF93+jb7SH+KQ5Jhk5y0TPL4GKQ2AXzSGtGCkUBzSMoyhXXhfWabBBbYWAzPBHfTGMOKtn
kqxCQ3/7z476f9pRA9OnEv/3O+pV2ROF8dGD8Md/9X2S7GNSdU3cPNYfjQJ+4PfWA6oq2/N1fAQu
8Wu4Af7/LJkkNZMxbwCUUOUvqFibPzdZkx8YMOCmWWFii0Vc9U82WevDLNkwaCnSdqA1wmzao079
eY9NpmYErYW+AfAt4fVpqhl3elwDYwEhvynr1O9wUGPMbzUvfCClpyGutggPWpOEh5aJAz0Jkinw
FRZbUkIH1cUW6DKZED74hI2tvLhyEIvqXbA0kD9eGwUxLqmKOZFxJJ5sUofWIJoS4DJsKaVuxxKP
oTcQG06ZZEQ6JNouh5tL59O974te/ibm5cNbhjugkq+IBjLxBZuWmuj/+JbBddgwGifmgeGWvKED
EGyZkqCR6Tr1ufi9f1gifzck//mtdrke7zXLxrAM30D/4PowNQp/ICzVftQI95CReFU1jYrd+fMk
9Cb/J/rGriUAbRT/VfT5TZkUXfu///3BX6Ku5FkmhT3ZDYgZPmJKZg6FM/MEQfOIaTMCFpI1Jkfb
Evee3A+msLdTnIZ3//jjAfLAYO2ymAhdQjvx0+3UTYTdzLv2vUsHFn4YOtqWppez6qVD/Mo/v5qD
psJX2Waup0SLP14tCnxES3kq9oY+OjBlmnzeSJdm0HUvgodfX8tQ540fvN7qfuIq5yKeBcWCTuLP
F5MYxOIco+m+jqWggI5RD6zqOi9XfmPQ3Jlied0jILgaycvYzQKr6ZpA+d/RZ9Qd/PnXUNFEHq4m
NCge3ceffw1htN6U98yoamDKtPYBuxGNHoYPgVuhU//1h/7rGnLQXDIc8NGC2ZwAf75Yw2je6rCu
7itjnm9Lv2lXncYTXGHaiPdTm1AMewV50r+57t99SM81kFa5LoGR+od9KYtS+Fhule6BVw6MAfk2
MWSOI0GkEPR+/Rk/XMsmOZ9eiVLu8PUidv1wLTvRRrRaAYQhFARoyCeEXZXeTMeI1OrHX19L/awf
vrzLtRxijdDaerpNEOXP9zPNO6aiTIv28zSPeCiZTxxEYg1/qqH/7bP/oaP8x3U4hQcq8o3lav58
HXyVbeOWMiHCAy4G8xMmmMjZCmrbwXLu4yTJ0ZOiJATejWSFgPM8iv8Ic/y3v8OHtaN+BzpybHSG
S2dd/7h2GAdnEHQ7foeh5WBsYBgmpFKLTqE15Ycy8p0V5/LpN/v55RZ+uMVYrfngFqGDBAh8+DqH
yGWeFHoJar3Q+tSkbn5wLXs6V5xHt41Vkf7eaaUk1GjCIgxpsZ+G/QgZ9ysN65oAQnrLB1gE+DZU
7RAmIf+YU+321yvh735Phy+GszGnA0yIHx6tzLHCcfY0bUd4lPs6Tb3dLIdaMNgNhTu6HIwZ+qK7
1DwYcnhbT/pgwl+yCFze91lpH4MOeidWNeusWG3exh3iMgVCE3jD9te/619XrQ9uyqK2cziR/KUS
0wMChVsxJvs80Em3ziJfZkxL22796+v89UnEEsxXxtzT558f342JRohWqLUJox4yy4JExSIVWekc
RWs797++1sftnOXp656HYk0lG/mB0gz++O6Y/NZpgdaxnRN+DmEzHFa0fPolBqmMDpwKCZPjdDR6
6X3W8iLaMkTtfnNjDd1RT+LPyxXxPMmduED5ov2PkjnRVJrJkxHuvH5spr0nTDbTLpCgEKO+mm8p
9/RXR8W9JUmvknqqOI3431njL4hPdo7kiIeHoO+nGxpfBJ61dVrBCxKQhpdmls8nEbeMdMjGupuF
Fb4POImeIHnNJyY65HAHdeOq/lxGI9h3jkOjs+HSUzPvLjQzN67gXON+uorBBkJhqRLtAXHufDtF
odUvwBYP13mjdy8iBO8yk25xojhnLB/IInzPfc2pDkVe06UsmPnscDICMEyZq5Ij5zXqjED4iL5A
Xmy/xEFovHHksR5HRj41fNYh15Yt6UjvYujscZV3WKPWrZ/GJwx8OZn9bC1GMySvfczmXbaR846W
zTfxsXFsZACs+2iFkyDqoUa69na0dQ5DhSfbr76Hhb9Ia++zX4+EUdNIZr3x9EfZJisDLo/rDBif
2bJ36m3vfZ6xWa1kFkQnT/23LaN1vKuOZa/rZGxp5lMGPgSlNZ14z4inup7G68vtDV3yJc0i1m8r
Cxj0oZw9Ee9JMnLhoep5fCIQIO/XNRmbaNsuu1VvTMemm9mhfENqX4oyY0UCuCFZSQhj3vVJxb2b
HJ9Q/EbX4wdbJvannoBzDX23XtxYmempzi0/Z4QGdXI7nGl4vZLXRg9GAOBNM0XbgCwqhM6Eyt5j
ibQe/WJozIVmcm9zwhdfkVGbG4NO/gvCFqgAPDSE14VJDntqRFqz7DKoOPpQy+tkonpdebaRfBFu
x9aE7ejJmHRbrC21DvOxJP6mp7O/nGK/S1azhEK8MnIiOOASsJa8HOZ5NE7gzkNKL3Tk7UDeo6Mh
VSWupV31sUpYTPkA7QIVJ5FVLQtsjWWueokVNLmUPquXjHkQ6yFzy10fUzHguNIeIA9yw/TInk6R
BvoQJOo6QKeP1dCW1xAP6k2Xoi+MxrlcI4IHMaiVDRFXsAd1RSFErqnoLZAJXbMF+G0V86GvdXeH
mj18iDpvXSqmYa3ohpPiHIaKeJjP3jZTDMQaK8VWV1xEVPdwpkAl6oqZSAvaWumKo2hS8y0NxVYM
FGXRvgAXuavmUwCEMVE0xtQAAx4z8mJoWR6YKzNa0LBqgisIFnXOxxKK7RgryuM0kMhuKn5OBwKy
QeV6wmR73cjOXwwDYI5hghjJCwfMQ508uiE0zamFKylwSut95iyrDrl8FoDXgPuk5oDExwSKTZkE
8V0bT6/Qt16qHnplCjVmNblMhkxULntN959rZWOjFVSJ5SR93mp9ZX7JwWLORCktBkCZsSJmZrb7
MAzhkVia6LmjfbaO7Qm+psjZgG11RsrN6ewmlnXCLVnfGoloD5qidM6ze5V59QS50/4T5MkmErXf
mP5Vu8ko055IGpUcMSkGqFHapbEIAS1f9Y7gFyqFbdE4mcz50ZltayNHEfYYBczgyByvvuagZMer
0VVSXXDoj0QTRo+IpMb7qXQ4P5Rt5UcLiAPTKfNma02Wi7fBO+R/TfOkgQfhyn1cB4S1hJyiT02k
3/nOON554zStrbnv1+r94zDMUwDVpKrzm7ZDhuTxpIk9ImmOAmZWhssGAGuU+chjswIoq0vuNltR
QbCOHfJG8KLA21UppQ/tqmyVK7grHHHUNZAlqmVTmfl1q3dPnpjrlYG0l3SPGUZshMk+XXUXdiwq
amZlCihbKLQsoSjtxvX66FOXRuPR6uWqUyjadOzxvpj+GHyxiH8MQQaYcGsH9sl9ETTxgUENTmNz
BHE7DzkLM+XsQIkgtFsxNd46n5rnQuFx9ZyBKswp/72DRc28uTDMBzN3vE/yQtfVFWh36kfmzmXP
eayQ9a6aZwjUWu3eNgrSa5VltdS62ttRQQeEzBrQfCujb75Vpu+vK7LcSV+1Tl4O/je4kIBt8pRQ
rhUcYcAE954IbsWFHUzqjkXxr4jCRtwYDxpwi6XRieDAl4pr2kGywEuYwXmhDfabvECKcdYTKFKA
6sLaQuYJS+BCNZ7CyNmOCnXsMivBVpTYjxkpATdR11rYkI10H6ZgkrmDycrKB0KHQmM7OA4LOyhO
xJqBrckD8yaqBTnJtWddBQrD3FQz2cNObaxyfyy3QtGaBUFVLz1omiUbTb0cLlhn/4J4zhTtOR4K
k0yBETEqtJ7oqQDlfO51CNG6YkXThC/dRXVBSE+Zwkkn6SC2Iiu8z07m0sRR3GkGbn65CkNb7CcF
pu4ox6+Qf/Q0wjW41QRnIuJHQc87XeX/KC2Uc6ZiVxwVWqrhYJQHoYDY3dBVpzHNBRoOp7v2Wyl3
Vt3G5NKC084VV3v0IWxjbfCPpaJupz29XTsa8lfFzHDXWRXUn2ykIBtXMbuDC767UiRv7Mb0klLR
PHlt9SXnR6uoMASLgTObyBbhKb1gd0txy2swwqNKkVp8A/pNTYTbysZtdzRCKPR6if7f6ZN1lptv
oxZUNIIrUGc4MkBrRdF0QjBcvnpGMZD5maKvDHgHIvmat5OimSP17W4MfWhf0yZjzyZyECNYGDRZ
RLSU7dWZ89jpfeG1b4iTfHuh24WM32MNp32XtCLmwe4KyqROe6/duDhJpzLPyej0j1oUDq92k/if
oz5oioWKdBArqUOf5bWHeMcjwbnIi53m2tMBhXcQrXN3IKGZwaie5TXai4EgirRWWukxM5acorBY
mJO36kRNV8OsQ/QtQlr8Vp3c2UWqn+wxESgQRt4ZiGch3ggCgF1Ol2VMbGNay50BsP5AjlXVrzrb
LNnOpjm698nMIqSNgOK9E0heIwbdoUVG5oeC/83aA54tHXRvyffGS2Fr6VV3qOakf6uojZQeU6wK
LecuNH7yJTTVUqajBB+YhHJQymYjd65uhU8EW1kvmllp5EX24xW5VdGDU8zp0oDstJW2DB4B+pEr
1DvNl7CyE46TOvbBNnnkYAzSJHSJmMjqO9cC7YM6f5rZXkMRsqjyJ90pCFzztTtvIHIz9QpshLCI
6eW7i6ZgUIuKIV9IDicrz4NIZBQNA3Zq7EVhAbcKZPKaCTMulhp1MukSXcmrMtox0zDxJo7fOuIC
ttTy9rJGpriBF+cts9w9mG3uLA2ARovcUZyrgKgh39RgGbGc9VQax8nJt/1sIF/iB8dl72/Nqc4W
eT6JLYkn8r52zXhp9n50Av30jvGNcLI5LxbuMJiHhMbuuqWbdUjI4NoFOu0BUw5Ieaqm31bEXr9m
HWoGanzeOhyEDuRX2OTEJPUmHzvEMp1MrzJDbjPYfAugh3JJUe2uOtLSR0zBpOhLd+c05GXp+QC3
qiYFm+g4XhBleCONVke7C9Td79pvXaOV60or563hJiqQJfjSEJW3aabKPXYVvYMZqSVZIrco2F4S
197A/Z04pwRnIitAENWfx3y+7snhZY79SBb6iS2XhhHT9yNcjve0jp6MILjzzGJL3mG1LFLxEugJ
46aMJqXXBa+Go7fLuVHjIM1wHkuRgHIrzVcZGBys4AsQm2dCnmm6FSblTdpXeB68ESGG+5YPQUWC
Fl1tvP5UBNHY959ma36TQ7J30x6bC2my4xKnb/RJZ5ozMzL3M2y7qG2niQC+MrG2xrwe6uRZDrLd
Yeu+cupH3R96rEh1sI7b5B7rY7zzxiAjRXnonzWz8ddyxNo1UMNcETKm7UjuUo/5pB8cK/GeyXQt
kLDWrk+ELmnMSe3SHh1TVU6A05HbEuXJWscVoaJeQVhBU9WaTZzLOxWx+RUp1KQdtErQ0IF41fr6
1hzM0Tqit29bAJxYHG6E2aifZ9YZvD2aziONC9xp+wgNSYDgP6uaBV1NO+0WeiqMjdEyjltknId2
ntV7cNXQ0SSrVitTgr4CmqZuO1JyZgFx0WBjP/tRFr63ocsDyFUZMTjoxBqOIhRSIBZKyqKIZd+v
QFySJh2pmQaKtvAzwCRtHWo1NUYJMBMcOTHcvOOe/DqcTprtUCXDXF93YG71c6o5MMA6lf+a9x7b
0tim1rIwVHViJHL4ls5k/afuZFzpRkakZ9QQyZ0RvRvlGk3uyPaMO6N1OmQdDZUImm/9tSxH1zl1
8aBK3qADyRU7VfsJZiNHB6G5+rYySJfmbM+P1lyy6+KSAh1BOKY+z/Corwhs+uKK3FwlDce/hR1X
N05DcBNys31RIbCeeeXvzazlRdpa4cGKHZoCjJFPfu/RI1CTmsv1hsrW1hPZcPvQJXCeOgHlIunE
z5e/Evg5CSNu5t5fsv89YI47kxDslzbvqMFkY9Il8K3xegQaudIoNpn1zIV7H2TcTCbLzkKPu3pz
aRRXQjJGkaW/6jP6xiJPKn2RJHButYBfMY+JBnah/W7dnMS/Mun4AAn+ZMxVcr5tabzcOCDun3PS
+QDoZsAawlE2+8Yp5E0mOe/OWkyyYNbDaqimqVtKnc9l5/TCK4eyrx7iirDhKa23HNWo7fteeM1q
yMIxWyQzXRGal2wGvUF1oiMawBruAKgM9Txn/ZPKfRWUUfVC8w+AWZbSUfTnY9A0LYJAEZBkzruD
GJkimstNl42jfSWI+z87WFCOZTozIZsdmlfhnB0u604j7XszpHwD1kyCCyEd823ctajCBqmyi/sY
UayGXF3BS+z5VvTqnoieKRt25Fu+K3kuPVKkXZqUS9uo5pNZGMWWoI9u3fZEiXsTZEAUlXCoQXxt
XJhHp85WcFwwovxAkbr3kRlo6yAegAoTBL3qvMpfSUJBn4nlnjd4Hpq9V6g/LTvulgENmGQay5tO
Az8IuGNDHGI9avpzbDh2usq6LNgmLes+1jhek+JMjval8WSgvX2fDZumUgpJwpr5oanUyhdaiYVF
HI05PHYmA/vAGMPDEIflCwZ2eTPhrgMdGPMI21bPbBIi5SGsjPIl81psaLXULILRBqEjOxKhcUdx
wCcsMKX2yFRJIFj6uCW2QZGYV9QtzSdYMfyFXBfZoS+5TUMLU2HMOqKt1ANrtln8NZ/z6qX2Ey4t
+3Y4iG4K9x0tV1ILfK19mQHPRjodOaIDMD42SXZk833tnXaAxJBQenTVW6H7AdpbiCftQEql3vHt
dF3Iwy55AsN+CuhYFMG2a4ZuHZXudLJogZ+qnIj5ZsQ9u5zd2TgKot6uC8slR1gQKbnoqHycVcF2
uNUth+YHY1F/5ahVMKKNuXIqh5YCsh7S8kGJk6ga9KwSb9ZfIz0FKeD6WokrpQq2Xtk4UDupTvEc
sj8GNneKuBztAWJe+O5B7CO6tFNrsNEnVh4B2gdsbQRv+kTU7DRPoUB8j7IPRu3wzXepk5cUGPKZ
fAL5RQ6+yhbnQN7QSq0iLPAFhhcT+MSV0Q7FmdzN/iHRR/9rNdjhe1JK/MpOLCYSwnkz2YRIbCbH
mxB8o40lLbIOP6euohC0pDuBgCtpcK9ElXxHTvzHWvEba4XpgWv7oXv+F/zbXVx+/fZf+1a8FF9/
FJD9+R/+qXXwjH8ZJpw213IDxZLSGW79qXXgjzi+2mAEPDQNKonxu3wMYZnJYNW/CMb+SGL8niDD
j7OZPtIYx4n/j1QO+ofRLVGSPuMLjBfM3QLa7B/GYTVHuiYPgpLV2xaLFK08byyzS9aRDyI8MZ3n
EQgrMXZVgj+7ehaRo+31kdzZshcZpXVMkFpr57fBkBc3COSfnFAnYhHmfbopbZ7FudesfWNAWbZB
ZWIi5Hn0W+/MsQmOsjRuUjk2L4GVn9xRnCxt3IYdgeFd4wTLnrSTBR4A2nJN8s5TmZxz7uOy9irA
6kVZE6XlgzpwTJTy+nwsA/3GNWglBM34UoJMpeHZoGCmvdl0yXsriH3LrQhaU+mfPUtux8SrkJsX
70FWnBh23oUSj6Sd9BvbzE79NN9gojrqEX+rSTVSFpOXqaJKKev5zSHrXwzGW+m5z/XUbkpIC6Rl
xdansLZ3SeO7i1EnA6SkvqY54p+NznrOBvHi6WDF9Wi8A11zUnegy9k57Ey8p1VBUz/q0o0lppIO
CK/jHsM1IqbhIbLGO7+Q7hJJYLRvRPA2hmx7RmzvqLyPWW+W+xlJ7VIbQRTpnEo4wh3MuDcRfEu6
vNPdWNnPsZUdCNR9aer0pZydsxdbjbtwbaIW+UC4397LbrqxiRnZTFaHBZ12v2Znhxn78kKSjMvr
hLhKs+RGmTFhBSF6WkjMerxOsqBb9oDGKEuSaR1p6l7G+Qsde2xsCsXXjbwy1bWoNKc1Z8+bsdVv
OnPc9vF8BAeOyWzQj5UHthVD6bsF3g9eZ3LKMnk0+XJ2fhm4pO3yCUt7eprDLgTx5IpVEljwTVsu
BB8UHXpgz1eNkx7KaX5q7BoajCMfmAphjinGZRFTqYQlEqYBTLww5ZtfzsfBjJJlGjfJOau950Tq
r+TeXAdjYsAbNDaT2e1mp292tRwe5trZJUnVsVCtXZTzHdHaJfaPPg6nqfnollO8BseK+xWMEhRw
VoKcCSyszdyir6Q/FZHxFlgjcHHYPEQ+CKwow0Pd9AwsxHuOkXKpu2W36nP5YIV0mbOko61FAvB6
djVydo0kgaTCfTcK98wo9Rn8aMrJxjlXju1tSB9FBM13E0s8PqPlPidMlXBBsBw1kDuVqVVf0lAL
6KvG06rRwuHWwuyyEjLCNlHb9PlJDt/V3jQc6tIZ9oAz/L0cNO06iyfBUKbKrwsmWgyQxMCxtW6X
OK+tN1IEvpAI4F4ZWLsjVk2JvWlFil2VroK8tlZeNo8vIS9cbRFVmA62qV0XAMHCp1yC817NNqX0
IieznVzTs11kXxqLN24mSfojRxkhebKquqlZ17aMjVXDZBbivWwi7IocQVyvPgstvilobK9HzX4q
NSNatgB71kPvvMhiat6KgiMRk+R4LcB2kSaYYrgP3E2e5P0KsJAizzvdIipY/nNqvpUGZoW2zhkr
DOCVpGlsyJbjeyOzD5czy7BGYAj9xPavEaj0W1T5ZOxl3rOnueferEeafc27NjZH280OP7x0bv4Y
iv4oaFLiiB9HpT6puwQp4sVD60sOywfxRJK6NtOjrNzZgwLW9XW3BFZ2JgoVGp3h/kNZiLoasinO
UzbgUP/jfJ5zUV+4E/BPDGrlqjCofIQyNFls6L/+XEo49OFzYQBEDGbCuVDZw/z5D/a/0fOklYZV
uTO77IXkcZQabMcpSuclljzs3PwvffPra34UiPDpLOQRxLP5iDT498/XjKwiiH0GNLupc+I1Z9gH
RmfQcSx7N2rMf9TnxRhzbFp2t19f+mJn/MvnJeaQ8btBkttHIVWFgnpGd1fs2ryxVim0KI782ITY
Lo6komU7PZBvYyuJ9R+H4ZAOLc8tru9Fo4DZLjaDYj72EdUEAeWIj5nz4m5ZM5Y4ji7bN6JKvPPM
veoyPRWkFeTOcCfziEZenK9caZ97yu6lLMtg6zhl9TlyHBdtMNvDrz/pRz2DuskqBgedj5r8f1TA
mCIJgLfZxS42241d6jd6MN/kM+Sq31wHqehfVpBtoPfxHPytSLV+/jYJBPElf8haDUBK0vm+mYwE
rq1gEy7cIF21fnbq8Mjc0sW5IcAsv0V9meAPjN7rgX1ZHVUAYpLQY0p4hkx2grF/oBFztpphG/ts
906V5MsIUuWWWkY+R445bUFWVaSSTsmx15v2rsjkk2x47fdmYh+6xM/XNC7Ko10k72HiuBTxgm9R
+uVWaul7WM5PPoN5PHu8vAneiydnF5M1SyuH5E6LdKyMKQr9y/nGm2prQVi7sQl87UvjZBM1MWes
X9/Iv9lhLDS5yNWRn5gIRH6+j8hxytrWrGKHOOtynJDsbDTf3YU2WrtfX+ujqEYtDgzGNt+Wh5f4
o/S2IQPbE8zqdk423NltcshB+P3mEn+zs6CiM21UggYOg49aqCSus07oOgDjYKg2bSLNpR3Ob2qn
T2ZrogwND4jOd4FmnscwiNdeIQ6aDD+1afpKZcc4Nx+aBT4MazekvMTjgN2pmvKTYUTvsztaay9M
sp2wMKsSe0YrVJ/bK6hZa1Dnj37H/+22frS3J+hRwuHcgiKZgQsZA6jX8fnhFDC3RNLSFzSTd6dg
CdZJdqLRfsicaKLGBCY64e7FLkjLVhHKB727KwszXtvWfPzNDfubJ5bv4g+BNUrAi1rnh62YSrWj
3cH8xMDeuhjinB5P13OC1zI+M6XrAjxEuhKTfyahsCIEEl7bTPp6l7KWCYxY07/rN2NIokHnGiWK
Bf2ZXqtFBgd5hP+PvfNajlzJsuyvzA+gDFqYtc1DSDCoyaC4+QIjmUxo5XDIr58FluhkMIbReZ+7
zKqsbhUzQSjH8XP2Xjvt7KugdXCfBNZVhCUE3DkrUYXeaUUAyqOq928TXfHYgetgUB16NScsFDrs
kfo4UogtqiCqtkbWk9zT34X4xhaoqe2FSSrgorE79DxQLlY5M5atbk2PXiW6E7q+Iy8J34z5X8CT
2L3pn1+SPqSRLXt8rkzqVpQ4w8Lp+XVMleZLFZ64I6hsv65tyPgA+Fsawskv7+RMszJ0sy18oTfF
WrMb9LZBsiPz3vc07s+ENm4xjWyQOp1lCsftcxxmlzYUMGIbAjjnhVeh2+ggO9uQDNEPMMUd3dcm
1S6Uzr3OvLxZRh7V/lCUxsqomjcI0XdDNp7ndK4X82MWGukLIy6q1F5fJpN6SYQhvaxSX1KurjuC
QDaSW/qxvZzMgcRWix9k4rezFcmfqPpuUwW4aTNcQWeDO9x8bIKCYihXvUzLXdH2+1iykXRnVPFU
s9Wzpn4vZEge4AwaNTpiL7QbGl27D2mU5pDSWqTjav4vSk79FnTzA1m13UYzRYMkKb1sBouGYb9n
eMMGgjg03qdKWWY11ZIaJJdDndLMqfhpoVjPUL15xbCWXOCAfRNSrvqWCwym8jKGZjoPsvhkZOZz
EnV3vWGS3FRafkcauQJFe8pnd37ICyxltmNTvM0Dviwx8jRC8aZHu5eXBHP8iBp8LKlmXXVNtwKZ
NS7njRGT33jb16Ikhda6yqT5rIv41PfYPvJ6U+tYlqdaaD4RNH5+dDPQPsjMrNxvnPGtaLo72FZX
1BdcPBBUq7n++thql9LTNtKj0vt454tIbsZZ4FUn/LEaqUsqi2Ttpd7KJUXBWWUyrGHnuMXaG9rR
R6PNCDtm3Ep/MV7XRRa+IZ7yLivhRasp5Lsop8i7KKialtAsr3SFNSaR4yO9NLDkqFRRecTtcggl
5liXyjpkY8j3MMLgtSTLqT9zknaPViUCTSbvhMuW1GtJRmzbO5PR9RaOygBkLzVo1U6wpfo9WUMu
ZnYFt3A5vtkN4gFRyTuH3QE4XPuKwbTNJrPdG3hN52peOv/+vv5vh+1Eh40S26SW+P9biS5f4uL9
99bav/7Ev1prNtZKwwbLbOgocOnwUkz8d2sN3iKCZ5ZHh8kwj/y/e2vOPygukNKS+c1QhjX0Py4i
2Cb4jrB6YtTwkNxiMPoDq+aXt4r6BY05Inrg4LBU5krnt4/mSBEM8HT26ATr0Vtb4yUG4t+uxpGt
39dDYKOyiJNDLg0JWjs4BCLtefzqTX4XGMRCuQuygKjzuaT/ueZ/4yjzb/HbiUBEGGiMcRSn+NEo
P8rhXVp/Zv9B9v/5RA72XU5cmohjOEQ73TrqLUny9fT6/Vl8/T7jDHMsmypmDic83NrZIOOKTnGF
35tuvegUZANxVd7meb0lAjA/IWH+cmdIycaJorGYQs+xD90TzmANEqiY8McyZPqHAHcR586wzsIq
W31/YscOhY+JFoBFoiHKmM+3R23sip2HxolFbrgf6KYswqTTLlV5ckt+6F0ge4i9P34wnNAeRzy4
TVpqqWNmcKhCFO1FmsnUtwWtqmCYBljXQ77Fvz/+6bPBQXVCgdiYU3mSDPT5/Kw4wFFMLIg/plxF
HZHTwhbIg8igO5XO+HX7z6F0toSzj8g27YNLmRpKNVWVIvx8JNl1kQV8BJTaTc5SHQwn8QH1TTVq
wwIyd3TZZsNwYqM1v6+fWwAcn/QlfBp05nX14H0eQ7OK1DRsfDdXhrVdcIJ23T98/7x83f0Q2g5K
3p0NUzQbDgrVQaPFKz1d+FLW2tYhui9ehI4RXGW6OvnTCBWla2FulAIA5/eHPvb8GOCkdJVswDmc
9POt9Cxz0ELdED79qhFxkwUBIlFGEE6KSmIJIg6LzF0ZrL8/rAZr+MuVBVFpcrI6HwUq5oMr2zDD
SMKuFuQUF2Lu2qs9afC9vkY0MvlWQLQTHm1Gk1nL/LtR283QGNwC5ETbcej6bVwJ8ahHk6EtmZEn
KyGdW93KO2uF0KO/8IQdI70R6sqQdGi0LgjuY1VvI9TbbbIfZ52qkzjJOZsRtOslSjy3IhTHbYC2
a53fJmIJriRSkXkAvUsVJ7rMqmokFqgtFzaBjKh1Wmbtauacq8CDMV8AyaGxPUaXaq3YDEfnqklF
dRwpFhkqM8x8kQ4yYwiTthetl08PJEhnK7KRKb2d+s0m2xcjT26sXYVU0caZ8q2pNxcmM6AH+qTm
bQ8TYKsgCF2XhkjQEEBSyVrN3DQpa6gzVNqli3xunRjmsGAR6u4MR/KXMG29cGhmrcvJ1UfExI12
GUCj90uUd8uwbKPbIOn6N0+SWNNNRouQKgCB43SAfpV4eu8LO3iOKmySK2LQpwecP5ZBgIz2LsRA
78NqTPlLmRvAyyHJ5CMJn26Ex1Gat12n8hfNFxiL5GU5WshfMT1QOo6WDeUzkBcQrQy2rCbpXnDW
Ge/w+6XoIaUDUDBRrpLQfJcNkMF+lO3PZBoezEl/94B4/TXokGfMVomfZQqMSR1RVdOA40UqevN9
lpt4i6ivJz+pWTESnDOMoYJJPrYqf18+8Hskg5Pucs9qHuP50c+G2jnP3TZi3N0Ha8MSsI4BDEKr
0ZOzsDC6lScqsQGSqm5Lej0oLm07JGR1DIjsG1VULpkb7iwU8T5KJQ6gT0zJ6kRu+9xN/cRKunuy
D9p7Rmv8sPAaHgwiZm6zEFyjmgXpzmXthWZbtmtiCM1r1+NyLmpDC1Y5QukV0RPOley9JDlL8ECQ
IY+rfzEQjQOMnjDdO8ZDIc6XWL1PijYdFpD5rWs905JtFIbqlp1X8BqADIMrpivBld57CLjTyHHa
GV3KZh0V7fUYCX01hsSNAmIzd2Ml6otamZVD+dSd2V5l3wSKoWwhbRo3jpaHF71pPQZ5jfgAFCo8
SatTsTag7jurhYQ/2g6gc8BWBK8Sew9Y5r6UC0NplS0DGveXmaTuL7SjctkQonMugOG9RkRurMO2
Ngnucl11rTTSQ2ztzdcjAFW00qbhZ4YRIlk2HSMJwj1VX2u00c/pnF9kYWjuEeZM62B04b8YiqVt
aUGKrQXn99nVgw6yrhXdqnmt+h0MHXtltgP9FCcmlzWn5f6mpXDC6rzNr1qSIV+EYRSXRRt617B3
jT0KGzaT8InJ8qw167zXw/GG7vu0CSvh3pBFWbyMkdXfinEcboYkkldDUzOOGdCqQO6yztMKiZNW
W90S6ox9X0GFXUmclz7yFbdbWqo+t5tAsxGJrgfyVkyqUyxI0kod2qa2tcJcV4Lw7tVfZmzLfBGR
O3FfA+Qg0sBufK1jEUqVvNnyaDBzI+pvU41Vs5VlTxJYU8XNioIStqlq1udZb4Ogjco62k/IKcJF
2AEu5aWJ7FXiwRPBrzPt+G3DvU44+m5Mx/ocYf7cOAviepnYhUooUZ6Qa8JmYQMC1MZuE3pnVuMh
QEKoA6BnRolHacz80jZ4JpDgoiHzVLlWRyHO/inZimp33EDUVOjetQGdczXzlh1J8JC5SwocHQnS
TUER8AqHSLKMdeltBj1pGyUq23VWgR9x7E3rsnMcn+yg7h0AybTRsXSefwiS+jLO3IWLg/GlSUvt
FeI0bp4MYcyvhm3q49iQ8IQjl5nKrF/SC9sCmofwaBzwG8GydWaJGbiAxkU03rkpWg+e4Y+8PWbI
WjjbHuZDYqxBtojEsVu2o44wxshm1WoqmydnkM0KYQk/agqD2AgQd5cfWjm9CfU7JNfoSsyofOzi
PN9Kry0YBkwB8RKayrd6hm/VaIRJhqWJU7YvtHPlmevYLrEPbUKUapCq8+c9ZfEU3ZWHohspWAQ8
S2heTP8JJLGmyNBbYEUZ/BLhvE6ir4ZMgFgtMuzdLt+B+UNo45S2bGcB+uTLouIXVgd78r0YHZ4G
fvv5wwYVm7Ps8YOVYFVuQT1jowyaqpbDQloKdsPkNgtNoBYDZqrsq9jGL02uriSbDRwNWbvirGWE
9fNDbpXOUrBc2NZ5AD4PBVADI6AmzZy3X3G3bETFmVEp6WPvwS0vihqRX20ra4sUuaUrke2FH+LM
+WNHTDVk+QShYm8jpTQ0dEmlh0AhQrB5Y4jRfNHyOlsXFQ84gFzG7DzRSxzSUMtMtXhP+IafYapq
9k1qT488SOGNHSkhbdXWuy8SPBKM05GZiarYuoIhr2Qvygg61oOLrC8oxT9kVXqgDDdSptPtpKjd
O8EwykPuVAHySMKcVy5djX/ep1QOwa9R5ZcdTKPfqGalXSE2VPYhYKsbwM7I9jMd7os1xH8VbePe
emU3bBRo+U9GO5pPnVDMJ/pl4xVfKnsT1ZGyGuOYjJfKRKAbBOXlFCriroRNs9YFaB5CMIerj6su
LWxvZeO61/qc91YUJR++Jjm3BAaluoRTU7RTvyx5EDcDIWTnDgaFdeEl8iwfpbGuSCREi6mavMSO
N+5aRGrXgauFZ/jp8DR8PMuTq2GhVUx6PjQnzicSuK4QvwRrPAIhcV1wuheIqtJrtU7yMxvZ9rMX
gFuXAb51ctn4GEL15fZP0EDSppwuNajThDmjYYHqg2DOmrRZ84efMB2HKxaF8UyvguLaEdO0ikuL
tC/sZDS1Mc5aC/BpyXqCR4aiNfUuMriOhFQ6yTU5bDCLDZSlZpsj0O0nEg6cHtGuqIbr2mn4dDtR
AcCxLtH9DVPuEDOjiSBeuFrkrfk2dWeewANEZlODu0RmhbYsCNPet9i8Ny0LDjUQbotzzdTldY0m
F02x3YEcQR059lq1qzFobmBpKIQbpYWyb1QV+Zqbd1TMJjPYrENiq4bMK/HSVQQjf4AP3I6ZFLBk
JH5akT2q6JjXeYXs0/Bi7fXDaWjmuMfMvldfydNjFD/EpYHOZDbkYslaE6Kj7yYcT7cidZyd3Zvj
2mXWDmVSR4eIGoC+bu7ZsI1lh012UTTGdKvaeA2gT2eoTAL+YW8qdYg4BdnkRSsVcIj86E1iwKMm
5LMOfGKhzW2sGtMZYGmbNmu8nc/o2okYCKEsjK60KdabZRvn9/qAlghjWLGeqkjZsreXYmFYo/5j
pGmOIqao74Hb4URPY+UcO8pNS1YHMhVE/n2ivLs1oCnNLJ6NFp9JlozBBaeRrjK1ZOW0wkZsXFf0
6xKN4zYIMGUU1CXnOGsF3utaddZUiBEuEAvCbDTe6Aj9lmlj5290Kt8Q1F4PsKk2+tDnc91Wn8H9
1hfOFO/7MpqWwlVCn9Vqy4XoltAeilWISW4DouJZKUDKgKkqsb40dbBy+5mma6CRUV2Jgc2qCJ51
Ks4XxrxJVaXbJis2/psquKyKKFympFGu7TgDm1AaXQuoKol+hG1n+SlMr2kxtkO3HtypvK+Azkzw
5tUap6oenUeJXd0URVo9K2GKBE0fc6jfFU6XzsF+rQlzWGVulZ613Tjt9NhLt6Rhtr5CrBKum7A2
b0xXTDdJaIv7CiLkGnudg7lmEIy0J9teD46A7yuiaJuR2brp6pRunJrFOzJFRtTrsn71xJSfa4BT
EU1nlidWfYncCv9FO6TpeVO8Ut5rfw1sxy81r5XqUuhWedvVCQoWlHD9TTCN5ZkckXAnStRspIvf
UM9zFQMqQH3444K7uIKr/mpGZt0vO6Cv16Ymk9vCkuWmhTf0ly2orxaDFulXI23rv4gicXYp6QNP
weioDO1BFD+q8xfS1tChqJEbkRVWtOdR7JqXUd7IJ1IzLB/2Y7/LrLA775UxfZNmEmBR1bi5BOIF
N51T5T/zBrxuZ2vmC06FEmQ+iSc7jYnnhZDswG1gPCiJu8Jkr9vA+hoVaT4YhZOvMc9piMTh1V+V
yviedo77rJdOgWNuchmDkwaPEzpZJh1xV9R4E2O6KMcO1SoDlLpRsJIlWeInVZctKttRub18bXcj
uwoYDca0YGa/CptqWoGI3ysZpo9C0tBilV/Qs3VXhYcpJNWqJ2EkDBxsRNMLgFI1URVUxlsEYvm+
TPPyQk6ZfiYE9ijq+RzzIeT9tHJbxTeaXsl9tku28j7KDDtmD+VUa233USpk97LvdLfsYnrmm3Hw
gNRYXvBRzG4oFZOXQTPKh6RO6+eqrQZnWykWDpA4YLC07co5SZL0V53NlCxuTUPri+WHADgVNrnV
reiTXae372HvMhWms3sxeG5xblDZvhWVakNPcwDXKOnVVHbkjjTksW8lft4llovyIu2qPoJNUMkr
GoHhVUIxtEjIdG/WrovgR4Q25m8Bw5X3/yesVJC3fNO8RQtTHyuSnHbkX7Y3KaSilQm5B2FCY/Dh
glSnFXlw21RG+Uob7IeZNP0PLMf3U4tZeuMgal4p6Jm3ST2xsleKseRVy+5RDRBDhPla3Flq1uTL
wMYjG7XqZuq6FvE1CkWF6MFtBBHwQk8JA16kogUER3amnyR6+Iq+u8GQpJYLy1CI0QkHZ89Wh+8J
9v8fQU7CahV6T+Zg9udqpelb/hYdIk0t783Y/OlkrrjuaGqBjAq6TZf2Linfxphcet7UbzuBPM+D
z7olRmgQ9Fe4KEbgPDldZO7jriQTp50j2hhCLfqCmmqMbG9jKdZWGpF+wx7kkQU5vR6qyd7VNSYc
2Ut7XWVF8FJ66bTMUJ3TJjSSq1leR3yAwi5GF1S3Q2MR/df1xV1B9g0VrkK/OZdn0h3z2yBW7Bun
VkOyjGz9Sos645cWQuwtk75aizYOdwEg6evCGqILppTWvVnhGwYTMMEK/yspYP9FabPNWW7XXWUQ
LiIH9TYIWhsCMsiOkgnqduyM7F6y4i7agbgLz+vUrcjafdiiJRkc1d4ZYYnkoRc/Iq9w/CSM+GJR
CO5YSBU/N7zuglLOQRyKI7IJ65T6tyx+tTLpYiZ81asBWeOvxpUtFrsQjMNrqSaJeq4xej93+yBZ
0S3pedgafd/qyjAuFVLkvas4E6G+LIu6HhaGKCtrUxe0kZduJPCujSLbF7lXLHJr9LZRPKNyaGHt
YQy8DwMOfhVYIGYvQ+zUqX9zLHYNVkaOJUUVm6Qau96k4U3JY0+bqeG+gutzx/tvgSq2H3NEs2g+
wJVTFWYr2h1vjR5jk1LHAA8h39ex7/12sF8ctiBDMl1YQr2lhrLpnNEmUlpXezO9rD83S8tY27VB
IyWF/B0Gmt95SvArsg3rBuimftsM3q96MJXHkFfvQdcdEa2spqwxn4ghQIOkzYHtVrlF39USpFQX
K9iahABD/DhBAfraBaX1a6p8oGlxw/efBVO/TXKMxrNLJ6b/6tQJitO8ewCYPPmhze7WQ2nxNzr3
oPig15gzIdU46DSHolY1HHccrpHWvtbrLTsAAmTAq58Yt2hz5/iwc06SnI4o0WLicigW9KbpX01t
e2r7t+ajST8G7U9IzsNCIWQeIgmOMtud1JcomHeUSEP/RveewFfbsU2kF2j3P1/d1DHkBG1DQL4I
zVuLjJ/LKqRP+n0z+9i4h1s497BVBp+H/DoT6ktr5sxgPsYhHaHUS9MbB1jsSXXi/h0bR5hYc2bx
nMGIcf5Vfntc0qEtyGbrmSz1dbbCnfrDdssf35/OqWMcTHdiC9Ynb6vwNV1eTrbYmm5+iil17OHg
+UOXw6NofVGSel7i9kKXwq/4gF2GrarvdLC4y6nr4+dIYdSCCVCdgdAkTxn4aUFknRrtfH31DLB/
9FF5/zz2LwcDCNOqMOiWHpEEGpB0SVraEuB0fZEpCd66yitWf3pdOR6aPY/FFNrh4btXU1u5I1gd
Py8GVil7vCXwzDmxnnx9Fg1m6BacTNvVkcwevOBeSMSnSLPaB+VNGF2FCgNqx4WT0ND8/nSOHImT
cC3HJIwHMeLBY+I1cTyNo1v6LG0o0JTm3BidfSWSx++Pc+Q2Ib0lSpJ7xcplzhOs3x55u8pTwxNO
6U+xuhbZi4L6N0mL2dJ4QoX4NRXSJYLyt0MdLBdsVO2ZjQKMp/Po3hVmuMh7B5PA4HVAj7piehgh
728tmqBiVZvSXakC15dN3YpQRpfrhBHQVm/YS6MYpguWm1gqLTepdtIYQDn00XQZZBSDCOwNvCS0
jCmuJJYHmcid02XDVV+2tLFGyHhL9tqEsNnxdOJEAVwfrs2MMmnu4zqxtFk3/vmaopdWDK9ouaZN
JJ/IhlavtM69G207fsmnFuh5ljFEyfD6QZPcOOnIxmmwz2zIO7HFeEarqxS560MeUB1JOwKkkd9V
vYu+nd0lAtF63YBhQCJJJkkgEgOnc1/iguyImFASBcWQWZqom6Z+JaWrLzlOsmIf71ykJlqGJCVY
aWC9Xnlhj/KIHF+Tr4/H1dKJtfLQHr46AYbAP37WdIiZKDj4ZvHdP3jWArR3jGFHrktCxEanecYZ
d33ww0SAoRgCo/e/P+DXya9hAAE0LRg5MHIPJ79QP7qur/LS91xJkl9c5us6FPLCNiq5DdxQXkT0
X/YkMp7SKx55fRlrqzYJsEg9vogv0L91StTaBXyucXzuMNT8qGn67pGIJ+9/fJJMeVmN2PDw78MZ
OsMRis4RYSQSXVqjIFMEPRsCLZSkEGd2k8busmHKNi56nc7d9wc/cp7UVWQWqR+w+ENpu4NKkb1n
gYYff9G27ot9ONMU3WQUf1wGmPMipYHIQ2eCEv/zS8VGsAlBs2U+UJ+nEVvTSndJaBaZYfzxY0q5
gWAKYRQyjC9ExopkVFwFbcZwse1Xk033xUiu+96yN+w+f/7pBTRVgxPTNRPGqXX42QrjrCrMrOa0
rNzwsRcVJYMEGrtNZqSnmLFfF3sORmlDaWAx1Tr8fNUMiCO7zTkzxdxHhvIEAOpnMhj7sLdP1CDz
u/y5PuVQ6HNwPOis+YcKajJ/yNJWmMYC/lobNEy80soWTtZNpGHCy8n0U9Xo8SNC2EbGNr90h58X
s3JckH+pX2vdLvWql3LU9oZI60UL/Zj8W/3iz28dhfccToAGmpHP5yfSgmcM385JfaVtd2PW+aaZ
EqCknjjM14LRVC3MqqYxI1wR8X8+TOeq6G35q30yrGbkImGE1cAX8fuT+bpUchRNpdhAZW1/wWDC
oBlIKdJSXxhsa9nu4dpufzmFfZvUkqmaOy2NsTyh6p6TKb48JfPCgRYXMe4XoiiZNTA2IlRVngUp
ss889uJFlQJywOBILC6TrGYk3GABkiqNlsT9VvS+VWcrhzo8yxgmbYhy2k+jVd9hdYffWVUUB3NZ
UM+YD7Qx9oOng1GFuWWd+O2P3hjQujxx2mxrPrgxzCWjjPZm5tOiKtbJ6CV4Jmh2fH9jvq6w3Bh0
lWjrsL19KTlzs+YzEpaZX0iH1MOy89VU27uOPFW1HLsVuLFQVWIgZA/7+TGznMzA/VewEGHBYZod
oE+31WHz/dkcW4FIBEGPiHkP1deXa6bqQ9gqKQoCmDGdw2cKxBbUiiZ7hYjx51U0e0ZkonwyZgr5
4Q4VuqSNsZZXdEyDn/O1E7F9m4vg6fuzOvbyEHdiO0hy2RgcegSHhkC3qeTlyWLLvUlHjT57YP2k
41puRGi5b30GwxoVS3PiU3VszfuIWEFBd2TTQ/9EjQyzS/FE69eyUGCUhJsqeayS6Z4X8cTRjj3w
bHvw9GOhB9t2sMKCG0VHBhzQr8Iq3ea25dz2Otyz7y/mh3/z8NMxWzt1Pkd42Q43/F6rD61F3813
2159jCO13JAUhyglMbqMBr3TPySaWy7bUnbX9VikV1bmGLjTEHZNYKKYLpGdpNVQHCGgMJRt2+TU
7lY7euUddti8maQFHBY+ImhUq89zvjaDSa9Q1i+a9MgCMdzmLHbcJ5LrqqVDNNhFVhjxY9p3zVng
lT8ixrqTPfPN+tw8o4vkLexRqRZexHl8fyGPvGsMtihBHcdAZXn4Qcwcfod4oNzui+lnNWlyo1Yo
qoKMIfb48v2xjlwO7UNoaM2KVaruz6uHDt9VJVWF0j7Qfqo0HFa5pb40Y1b4jodHAs2wPFFhHHnp
NI22PRUNX6wvJXYnshEPdMnpJdZzFIfwbhnd08wU08KAf/ZQi75eMZLt/D8/V/xJ3tyRokA8XClN
wmjgHTSlz17tCoqWQJ6b3SJLJngzDR9H1wpP1L7H7iQlG20AXWP3e+iU5V0Bs2bWcCtUDCbkazOa
LAx524MV9XObjfT3Z3jkm8MJUkMZfNgoFuff57emAIYdM4pLLu3QhUi4TdGv1LqsVwayuL9zKA++
JH5u4OKHH9HKMWOZF2zRNK8sbghSh4fmSPs8bjXtxPJ17Bk1eKFmH8IseT54Rjt0McVEZwC/cbuH
m/tuWfWeuByBOam+dcFG/vHmiAUM0wXGXx0d+eELqA003PVmwkaqTwh9nP5OtGJV0Qc4caAjCzPa
YtUygJuQzuDN9/O3+1VhvmOayhYQYMlTOAxbd6r3Jx4Jg7/jYFX+dIyDZ8JTiEo1Z/8dql4NaEhc
7YBAW3d6ixM7yPqGq6jiVutFtWrsJHwoe0F2tcXApiWWmeZfiySqiBn3mETIKYamgUSFNxgbUsDb
MKNb3SNttRhhIAWVWmzzBoUGu9txiRYuOIssF7W2OoAD02ZeeMIM727ychQXhQaxtswbsVU7crPY
QA3hNWHMVIfljF9MY3ENFyLakrs1nmUg2a46I8ovO0V0vpt6+7hMmyVXON3k9IrEIkIt5KNQIqeq
n6p10EYWisG0vyhNI4YjnrSb7y/vsWfT1DDC85wYcw7Q5zsIXLiWo82ziVbwpR7kixtV16ahbIy8
BFvXl3/jtaPmptijfY8y/uB4VjQWNWiYwpc1JBPWsV5Pz3pZnChev/oL5kwhFP70MmnTeQeHAekb
GWLwyEJV09uqigXCIfetTh+YRF0ylV62lv4jFMWJLdNhkjKgn48sI8fmirK5PizIvArQfNVb9EQg
ojxHBKIuXGEqt6jd1WzN4Jw9Tm3lED/Trl5lBUohsLEs5LXenVlIfa2kV84MtVU2mjSLZYA6jAeu
2mL8YIzlJa+W1rFRH9ADAX0OV57UbHovzrQKteBeTyFlupNFGqpMTJyQEwCshN8HuGr1jvAbDtBH
QP0A5ApHF/97PlnLqJHJ2oEO+lgb1qlbcWxNx+wIeQk/AjdkvlW/rRGx2lh5kWLXBdE/4ntZjL26
TTXZnXiyjq1Fvx3nsDDqqo7EYcDyvmvNaej0G5Z5FK2/f12OfRBt8jCYKzBvI/fn88motV7h0BeY
5tvSXY4zFEzVn8o0QljbjCdMZ0cPRr+SPQvBhl/KXluwGBUZ74oS2Tk70WkLTxukERIEQ8YnLt+x
hcCm7c/XAsvel+I3G0fDTpBS+CIRt3qDRxwW8VOZiXcZY96K7BNXUjv2XDjsktjA4qVyDuc0U1Nl
XF/qtGTI4PVOurZzJ9Gf6fTiV6WhRL5ZQVgZKs+4i9Ug8scQZXNIGNWlG7rpxoNM9ODgC0CjHYRA
4b+/00d/PRZE2kj0b/HxfL7T/RA0ShpR5vR19W544WOkd/eZwTD5bxzHcdkpsv2dfTOfj9N0yhgB
eMAS3GQV3Rz5UoxKvypbceJDeqxsncOjaLHM/+EcvIdG7yHjRoDlS4TjUYPOrS9uRWntEle7Jqhy
n2feiUbFsQf4t0MeFqzJZGYIddTcV/phG7blu2dmKFztnSi7E3sO49jzO0fd0Ysm0I5e0ufriHXd
rKbByVlm9PGHjKpfpG4Qfp1p7pL2bbicCZzLnBV5Hdez4FjRZnmWQPkDPPzJpKkCUQxufKsjW8ba
gtkgkuKegHUM/0WWLck+dDeD07uPrsWqCTIeREOuNMNqSufWZqn/UnsdTTvE0aFSfyRle4UnsVpL
Sr7Y7fpFPhrxus1H/b5CecnHXrdOPE3HroI3O3VpcfDcHk7ns6xqiEWvqPyq6WySk7aQqvkEnvGc
numTjAFgfP/4HrvFsz0Dx6BDs/XwsleJFo41xZAf11A9u6oV1eaD/2mE4KsXzSxM/f6IR06R7/rs
NgYoQuV+0Azw7NHNpW5kPjko5joSo31ZRFRoY1I2TwlJaD46pNfvj/mh1zgoQtHe6FxUXlG2tgdP
V6iMGZPZLPftfPKWUd/a92akdcvCGK3zqMyyR1IOoIuaSLY+dMpuBGA1byeQ82iJtkpPYMaJS3+E
TGGiSqDrM6/azpe9bzhYUxV0vNHNFKBnM0JzgyrN2DSBaLakmhkLnhTkUxZBI6GIliMzGeTX5qmw
L+PIWjn7wpFjQFJk0KZ/fvdUpBF2LuMc33JiMBqZxc2xAVwWgWVhnXO7nDOZIEnEZ0EOQEYTWVNy
5qgQe7ub3ujVzTgGAF0/EhzlpD5TFhfbqOeRwjZBcP3gWVt0ue+EnS5Ysru1ac9MMUMBeKYU0o/s
2gFa1jorNzzXy9S4T41iuOa1xYky8iI8RW7r7TLV+UsFu39iY37s/JmA4UEHKMV1nV+S30oc2m0J
UA+D88/S4Z4gIARp9hA/xZoSbb5/Eo8dCvUlWgPc6Hw2DgoQhk4k/s2fJWJ+olVVu7OlZ6jSnRdl
4dP3x/q4b4dP/dz9Ndi98hk83P4Xip3BhozZHHTgrheSgTGOj8nUttDCOlKMMu1cK9XgRg56f6Xr
SnirS0h3ppFV26oAmPzxC/0RvuEyfhNlU/6S/zX/sbeyGkUcRvIDH/Df/7QvEZ/m3/7I9r28esnf
m8Mf+vTXNv/34/8m8HKGkn76h/VHhutt+y7Gu/cGDf+/CQbzT/5P/8//8/4/SYLVaWGxDP4HJfAF
kHr5AiD/EI76zz/0bziqNae9zoNhle0kzQGe0X8THLx/UH2gO2I0N/f5eeT+RXAwvH8w4eXJ9sy5
dP+d4GA4/6CWYHtFs9V0+Boaf0JwmF+Q3x80kmRt2uTEyqrIaL6Y+AsVV24epYAPQs2aIMmYxQXz
3PEh1wZ8EqF1CoNwuFnggA5pZ3yx+M2/dpQJVomkMtmjPwyUu6rSYfCx+3j72024+ecJ/A4MPNyF
chRUubOJ32Jp/PJxlEzqutqKBiB3WB56fahv01KwNjpmtVaVPltoDS0us06Uu6Z3hofvD0/K6pfr
SptSx4oEspB7fLgNbtsRnvToSB8cSzaQMBRNm8yJ8EMilLgYAIvuBqS6zRYxNDlBFTE0c8xLTKXU
MGW9JylHCxcleRZsmqMYnryGL8Gd+hRMZ8rPYgHJ86WRKVO3GCocgtgJGyjS6G7HX3QW0jsjcYlK
wpPgRyZGyMCx6x0d/PoZS+G4nfPVwNiG2kjHo2ZtW9BwnXy1HrQ9mrzqSpARssfvjK3KwDDe2031
4uZ5rCL27sZfUcMZdUXWPWZtMW6bZPh/7J3JctxI1qXfpfcow+CYFr0JxBxBUqREiuQGRiklzIBj
cDiAp+8PrPq7lFJZqqp2bdabKstBGREY3K/fe8756mts4VvGngOzXTd2fU1jk/Z3NssXcL78QT1l
4bUnRI4wJy9+CEewX9uxl2Zz4lLVhMyRzmYR7SiEc7CJDyLu2u8xsONR+TQ3M4lFU5PeucizacuE
iMywkiCy97PuvilHJ2G8hFI7H3yIEx7KoMWZMhoRld5Cvu3OBTGV9wTax2ckOdPBa63y1CIz2pFM
Nj7lkCqe2nzxPnJ37B2KGCBxNomIypvar3MDqzfxqTwyXc+POPibFyLPuDMt6+3RWz32viZVzRnq
8OpZEMvbNp2/a0wyj2bHH5nNrv/sodK+xlMiThh3rE8Kis/nfND1dc0kvFYVFdYW8rnIN6JCwr/x
1GKSxVDKXS+J39X1aO9gDhUP0kuRvMORwwvddF9FzF8mBQLBKMEcnRyh86A4F6r9OvW8zoExzAcv
U+WpCbi5sy/1dlI5CIXeIeliZ3qQeyXONDoXELZ86D4Hw4qLhwQJHzSjtL0l9dMFGpaM3wpzBtuH
247emWmyaFjNaza14xPjjuUmbEf+U046H2TF3mVN/OJQG/I2LtaX3WjdOyMxRySd/BZP5OFmCNMq
GvEUVASv1eM38KHzAfS7uEsEdyJGPLYRtZy3FSmVFQngiutakM/vl6EbTQiwoVlNZOzjr4jjB8+M
268Mn5ebWqfzo81GegA9hROpa4s9sKLhDzP3rE8ZieNb0hCBORhc2z7hPuZqvdTrI1rWQB/mjl+/
YHZIoKdwJwSxtwdh8fx3yFNeysSPz2VfvGijV5AWu+ouCb5DJjHHTWZUJFv2cWUDhHdfcRy3zzbK
9afE5tlcc+Wyg401aitE+Spif/w2CF8CK3V5KNfM+CnlRuGqHPbkLcs7CUHtLhy0e6fm2PpUZ718
Ua7XvOJc4Wklcnbf2XHz6iAnv+SYsj9OwUpIM3KC6YNaN28J2e3I/JzZQJYdFtv3HxekvAR90xsP
0yzrYTtl+XJDl7b/LDmGP8zNYJFOzZECKJaF1bTMq8jTZnYcGtvHjBhP2QGrJPTU0jO5TVWh/JXy
1z5bxCVfsQ37iMdtp70dPNyd9mear1bhvYxNrYevWafES4Yto0iOo7PU5EoPi1HvENppdTO3OnbP
OnGUeMCYiUVPTPOjhTM4ajyV1hvLnZANtou35zl0YcrQlAfPNg0sTaq+VQ0gNexB4VkYxYfB7I37
xiwfDFfdikpWewwk7v0CVWLjEsR627kJkK34FqIMXD56fMfEXtJTZRePPYPLnVopcUrMX4i3VDsx
qj+K1K5ORp18heGantKFeVBtKXltqlHvSnecYE8lwx8WprNdkvUXnEvxHrWxhWWXCDFr7ghH8N0E
EUOS3YoFQiHQqXGOOryEXh6cjUK226xs62Ujw7g9obtBpWxMAINMQmKqrKAnWZXl90QuwP3oIQI3
68UchaJ+mGs/29mVEV5yLPw3tOg1thVeWHyf1iWb0amrkIjGhbZ6ZFujeTJhnB0rH3ehHJxg12jD
juAz8VrWa86BiVDRNirzot0sPKrE+uhUcbinudJfrTp0yp3Ntf/aS629yOVYinJx4R5y8CBnGT8f
qFpLQ7SMAdb0oIxq21RoOEOLLmnoYRKMvXY7x/1Xp9HqkLgJex4beLDHTjZuUhthZ1577QPjWQtf
W9HvUW2lE0M4AzBDML0GMI+JgiZMu55Wf0FZFC9YFRo/8iZvPkBTBMTDRDvYAolFXTIKh4Avh1kQ
CYR7oVzHP9FntM3tzCKCI7qQdr+RvFc3ouzlBfAk5ney8E9oJvqtk6a8Vf0O8kS7qWm4bMBtuWfp
ddPjop2cUHXMNgyhjrrcOqPRQMryljdZmi7dtmr5JHPZ4Mntw+O0uOGpUvH8ISucZTvGqj0XlRSR
Z5dYPrxi3JQ6KXa9cMS939NibuJVdZB02CFNGexbY2TGsjI9tevMWxE6+bPvEVUfmLPei3jGmhWO
xr4lygChLIGwlsFeTkLMKcucydmgnNwmRhI+EbVhHcqMJ95zmvQUjFO8C3Usbho6f9mm0MZDNUzk
vbfLfJ6DDp8baD3CDlqvq76JpL3FfuBfwwndeyS0holVohtDpJMWN7JfrJNk2tJGWep1l3KJnReV
+7PY+K5Gnmvrsr+kM9jDKLdy85vETlRuBbqkaWvm5nha2jaMZGV0B2WV7osuVQZRtMjyqxgSEhyd
3IPR2YuRCZxVW4n7giHIJDqq6PHRNTUqFGOqi72fuuOXJreaaCj1WhfI9h7fTblFrF83O0z62cWY
Vt0u9sTc5/Gr0hP6+e4atn0jUNjSONzoxs1wKQZxH+VYn+9mO86OS1rLL7YEHgKEcS7WewMZYy2R
8txhH1oxrrnb19fQhjYa1HL4I4CyKJmVcITem0XPhoP6d/7OORoey2zED5KpA+8AfNqrH5sQBBJ3
5XGkZPO2qXTvFjzoD0YjJT83c9K9KjIiHhMmQVFFkZduhTfJL5NUTLdSxBY4f9mdkUW3578XX21m
W59wjPZ/SFJ8gq3tpvw+i0BRXFTzbO8oQ72PU9FSlq0FI+72URTbPLXLE437+lpi/z4KswfW22gW
4y4nWbOS5IRvU7dncycT2Xiok1A9ZbaT3CUVlUZNmOptsrx/i7B9dow12yBu23VRhvz6nYDNAOqo
T3kStq31gWWw/sORHqdgA+A3uzYQZC9hIdpUHV9nNZ4fUstQT2kG9WVjtUZQR2bVzYek8mAdjIB2
UzXqbbKawhqKrRd0plXUz2v5i3voxR+mkkwCfgKNHYRX1TR/x2iQEVUZN3CDsxAilCbWYoYFAU1U
OiXpWWH7G7UDjbVfDhGYGoJVb0jExDq0+3N3w4UsIcsZc8qE8y6a/Uzmu7YK530DV3UrMxSxYer4
38GDj0cSS5K9YdlviOM/E4zgMORjmzJcnWwViuibsbPFyyhxNZMAXFxMs3JebTR2ExYeWY8XDMQB
bCir2JoCHFAGWelQcQuJlibpxrRSHHtTRZ1QVuGVjRuu1uTMF3QDetu16Gab9c7aJAc9jEnnfTRc
f4YCnZgkmtVCGBun59kmkox6QzflSSkeHNA/1EocUqgHk4J/aRE+t74jDASD4VojTfXS3tfoZbmX
eBzhSFBIhYCjNsLMaAYCqdrZUyxvC6QN11zB+xotjnoEWoxPCdR51O2uXZKwrwrvPJSLP17bWCdc
pAxiqTH1w7RzE2J2IyWduMQ86+QKvzipSkYvtvyg2n5qYtJy+tbBp+17S5mcCraSbbysfyOmkIq3
Ji43L4ozhHYjeqTAvjBZ6rFuOpNkFaSW6sw0r4FppvzipA6b3cTDTwDNRAnlT2SPGDPFFccYEzcZ
BWAfiP6zie87wuDrRr0LlTiqQolWEscxLkIhv8y5KvZdNmQHNbKrmYVejmQxUciltaeehqx89Tvq
dojL8iXQJWCBbl5BsOu1C1cf6XlZuPi87MYDplrnZPHC3hfOmB1idHR1FLhDeRrAgL5NYJHfxGyx
J9ulbW+IsC32zhB0HzgBBNe5NXHOaw5bXln3n2uwzZ8nrMQncxqa12Gtqes0LKMUAKwmgLycwN+V
Wu2tJalOxGBQLda+s2HP8u8rp1NPpgVrG1hU8+b2hMRifJov0uLUsu3qhTdvaKz+s51zkG/bUhJb
muGDjcXUvA1xHWydYKAijYXAzdi4C+9ID3vTwoHOPxzMpf3a1BNXpVqgW1OVb9xMLEfml+25lS3d
EJtBxmYK16UrJRh4784+B+/Kbp+RoAZXS3O8JakpvCaW7M4ZyICrl3DhmPXMh5p0+KgJ6vGJERTH
Kj1nh2A9eTMhkrdVwbnczzieMAxavge8pcsuCxb5UnjVh3Hy5RfAeBxzTDe5s2pBloBOmQwK/qO1
sRYs67eexAoZDhDudFHDvOU6O7o8WeurOnGSZSMp9Baspnx124m8t67K8VIzK9mpMeNEuh4awIBw
cEon0d6bdcedaXK2gPc1UNZJTURgYkNfQc0DnbTTnKcd/ME0tPh1pT9floR0nWmkq/H+GBLTyAKe
1EQ/TcqYb0TCSdPp5/b+/aRdOzw+eIDKyCPCA3A1pw9SO7JjKdjICLwNrir2GIyvxzIjMbgMyGH9
iEYPl35toCwZEUaF5CCu0/R7FwBhXnjd6miaEzYBvWanBQldA1NOxUMrkZ4AaSkIUsZNgYKQrJpW
Ee9BsAi3ONFmCa+cX8S81ObwvPAKMsym9QGYgLZLYULDVhAqw5xHkBQhS+9qwroioiDJ/yrIL2Kj
MTsaDgyz6LXTiSE9pX1eHEGDwh10+5WsSpjx5jA/1uQObGK7K0/GeqjFScSyxkkKZN96Ql7ZjWsi
fw1Id8n4L1UEE+/bhSXOsfj493OzT1zQzVTQM6ubVEDcNr6Z5rKWKb7B7SsrNqm2R9jy90cT1ute
Co7kdWPFD6ZV1lfZ2MUWa0BwDYa+fW4sehdwGellIJusrxop/90oqHDBng0s7obd/4FXqHmdki7Y
dmYbXrXPOtvolEuYum331STEDU91oSx8ShVHaI+yaAD+dl2f57Zbl2EMI/2l7Es6QWHmU2sUHX88
HNr5kiFj+JSu3Ubd5usuQGH8agU8EmJR/R+qhRCXWnFy5yvJcb1bnx+SI4iCoP9TevyceO06vJcV
QUhniqiN4qHSI6d3eNlbDxnOp/e9wRpovakgSe98lnzO+zSvRsMVd/47zifUYXBtQ65wOxf2J92B
ZQkrQqa8hgpEcAyJUi+3PkmPcJhMcSNDGnOnuTTrKyF/9dW1KR6q9R6k1EsvPWIz4paJKt9W2mI1
A2j8NGvKE1nQFzGb0v5kVDWLLevYM9FA8gXrAvxABjvReytmHGgWBeTrnJM61USP08joWU1kRHlZ
7BN4bfu2mciVHSgyK15sTP0O3aem5KWYzbF5LW2DxqCmV+dkMSXaQMHikLq5tWnq7djseXjel9nJ
52pwYp8vXSOSz5ymZrmZ7Wqt4/qJ03/nTB86DsuP0qdaMhbNUZE0by6myfKWjrxHReiwa3mjpLZ2
eNYMM36YNH0Ku5yq7FQLtz1rWdK8WZdKjDL2jrDq4o4YRZIXvcyl20C4mtOG7A8pR1XeyY6uIGL4
Fb9s4fBoffXNr+PpMPDVN3Vb8OJmIcUfWEP5haweSo62X8pTXvOSZTJL70hYex1Hl6sG6sE52UHK
qzIWXAMwCVSho26fqUpysVETFMINUQ0hdYtys1uAhyyyGtrpU9PEThTO47wdFTd8DvAtFDatzPe/
fH8x5ypnizEs1X11NXuqZFM51cswfSAWcN5XaU5Et254oTPRnhPfZZFhxpPcYWZhtL242XIjvYVK
WPszCZ3FdyWWxgMBy8HhvUHnw7gWRAw+6LUKmKeWUljaizpwgOMXExBe5hj7A/EC0JbQ8bUDPnCQ
3SkXDuCmABZ8HuLhd/oy62eZw6qjwEKFCQ4LJMHQP83iVOM0Fay/4SgymsMRLnX3zvcGe5cMZJTN
gqUtDSm+CbYnZjzBmZf3LoE0FAdJXHN2qZ323DvjfKm1bJ+VEuKO9MDpkSVh+c0w75ex8vplV7s+
slAE/L8k7jLgK/zRcPqjkTnmZuwhmc6Ss5hp5emdoTiY0K2gELVGDkWEylFa0cpYafTNWy5prb7f
7L+eGryP7P88jHGQzgkkQMiBxC+yo4R4CTvMkv5YVQ5EbmSta3aCaq+LNsZD16l0y+l92c3MIil0
FE22XHJ3/XQ9yWEKeMg1DxWuW1aD2G3+kFnp3wdeQijGQGBnbHRNu2kH97cC/l9PKoBu3u++j4T4
F8tKZ4PyThJjAJlkt+cYtcnauad6bPO2I0FwnUQ4bbAdWRNf+5ldpNY150I1uP+YvfxHo8p/Ywj5
700z/58aVRJI9sMD9y9GlX3/9jVVELWH/sfEebx665/8n8T58G/IOzxUHi7dLsv8MXHe+RvcGgfB
f8BYTYBn/L8DS2G/TyWJICBbHjHmGtH9T5yj7aw6Op4Mj92QAej/DGz/Mclj1stEmVHvP/76x8ne
r2P41Q+KAcOiPuHb/aR4CJ2Z5CBpyGOQld9TjpwHonfiTRagRP7h6vybnwSXC1gEwgJU/z99Ulnj
V1+PTcfAJmGOqKtXWTfTRsepiv7zT+IzMJYg9ydIZP3NP6gYksGIl04WksSOQsGKNe/6sQLz1i5P
//EH8XaSqrFqJUw+688fNCIbCJtukceZfaUoi++xkX3P+f//5mMAUq0a4F+Hn9jXscG7k2TBgT4Y
BgwXIYMDD5wgW/znH+VZCCQwCDNC/9m3kEizEqS/SfAAVXedTGgaKPA5i9T5b36U91MzJggQTjM/
QH7qQDr4WYDqjxUztFDLY6pBw3hqfpiT6YngwCc5AiT765/18176/mEOrjyc5OxOP1ufYdA3vJuN
PNJqpMlHSXPMwZZvGiN7MwO6VRnJphtrJtf3rz/4X7xe2DLWLJR3tdXPr5fXNXRl6F4e2Veaj4r0
oY0bkgVKhIfzm/frZyXA+29kv2NVQC7HW/3nh3FRuZrx50vMtISWV8xJd7ltxh//ix/0w6esO9cP
79aqsBgNhnpHI5zIqO2mp7ECQ1N3/92l++GTflovdFGlDQNxHpBSzVtvyt+WhrPo71+vX5OAqF5c
so3Qbngug4qf+oKJYuIpKP6PA64Lsrj6ZjNMCC21I55bkPa41yXDDzqzexdmd0QAwm+so67564OC
HzAIeDj9UJDssL4uP1zXJq7coGpkhULJbrbSHAEzzjC0Piyimnchk/+tFXbWnjRm92h20I7y0gkp
60V9RpqBIUZzFCfdm1SVjlng1/dOtp/HzmkFgeyVX3yfSe05JYs13kgfMF0nl97b2CE1TCP5V+Y0
rnZ0vGwm9MQC+lNb3c9daH8ufFCxbpzHr2NFra4ruKqxT6p4M0Pg1jmvVOFPBIz3s2LGTlFHZdJy
zBoGbL2qKOsdwrn6I4ma4kzsn/7axmw01uDx3ckmvJ9z0Vx00I95lPpB2uxmUZpfcvJMMSvyfQwk
XW9VzI8uRpimTZjIO2aJzXYgJwNprBPH+cZSZTjRSR/Cg0fi6b41GcjlLU19owPVVJn8umVFK1Xk
cUXoI2w0HKxvaZIRRUn+HFGnE7AiUPdDNGIyOYuKExVmuOZimUB8g4raEMyxEfklWvkkHd3LlFj5
axI05ZOnaa62vSNfWq+yP8f8drnxNW1CWQm18J3GGA+9LwEMOc7McjN5gtaOQVvjqdcEPnP+rO7B
qw+vMZeGoMtW3nkq/25a3FNF4NvnKsi+T72OP4KDa056XZ3Tvm8uM5RX2pacvHh8w7BMyfT2pgcy
dcSJTQW658jMfkxgBlKJZGtIt6phkRM9tBGKUWniyPAu9wAbe8AEbi1C9w+eKrFb2IZmYPD+5pU9
EetkegfX1OOSFRkXAV8P+fAinaOqlcmnYCH/EDREVryGpLFuqhYeG9nlOSoDclcXong7rzxkDCrl
jUWLNdx6aTw+p7E0wh0z0z4gqaXIgN3RPLvC8Fg+BySdfWLAVH23/bQ58xtnRGss3miW2qPIrfCp
4eX+5ICDySNC11wSJFHoFDhC05GszIn+eoclG9eJzS0Y4qlwCZWXSbMhQtTA7+iFTz3ErK0U5gJI
WLDLLsTMcvCXayAh0XjpE97gZDyooM7fQsTR+7DmPSKLB1lRFo7loR/jiSNkOD4v3VIcCG8aME8Z
nZ3toda5y25BPwTXq0+02nhTYX3Bit//YS+8W8Jg9rgttds/jv4ARjMX7sWfS5ZxesIuOlTDOaOH
g+MldGZEVsGdcNOkeG0Tuz5PMWGqjM9gqHX5d87iIdIhzznzRaw9Ed/z1ph7juYpCopbwqaZUyfl
mjzKHVIOuy85U/SRA44RQHvij/nYEUeayin9VsvQPdaFR2vZS73lKiz1LPt5POCqIsM3VDwIiw5q
sv7gZaOE2rQGcae9VR5IEv42qM7fpv30sW5tFA7jF5XO8Blrj45pLL0Lu7F/nypeSubd045u2ngz
Dl24Swrec+yw8caWfvE5sORyIexuXy20qpIFzGEE7LovyM7Ns40zlDzUrIrTh7RE11KrPLxzqGuZ
FPLWF6qkwzBKSJg9hImlY3Wr9DAe3gHSUvC77Sp/y3ojuAvwwr6VEznVzjhYyN41jTURO+dJ8USR
dxS/qhD1hrkCt0fMeCBfF16jKmhD/OOKJDmjK7sNgaRGlIK1uLc8MKXCLN9cl4Wy61g/SOT275eM
wHK76+Zt7Lf0hV1HBfcEDnc0woGpAKvhMVRh1x5KE8ZwPucsYrZqtp7mozt61MeMDEWUBpb+muJ2
knVZE3vaE9RKPMuuy8o7B/j4PtVOwE2o5F3frqV9YzeX0oK4vaUJo+AmWwILFlcni0Paah49x/dV
F53cy1AE1jdTs1qN6zPigiK/LeIhu83dKdmPM3YhEqZzkN/G4ELBcPc97dSIiEw7cp2FFXFopmhc
vOYRRVN4t/hxvZ1Mv4vYcDWhGAMrd2l2HfESXv1pBP8MWa+uz/GiqvtesfYYCauHDnnpi7HimoeN
2js5zrCkHrNbJ7bNL6GlhgtdR0riRt0FRV8ee88cD3mKP6IKE+Nm6LI7J3PGZyPP+7t5SoebOF8+
E+WsUdCghAtm0nfEYrnHJcwWJittdQfWJ/5QFi9+SzQwM+DvTbJG5w3ZI+/zUzeaydEmMAWgQ9VG
g+ngN5yRYbAtJgcW9y+G26iN7bPprQr/k5Gl5ROhvPW5AyX7ZFYBminTkqudnf7j3xdZ0tnxHXAP
9hz/9KbwYJywb9cRsXqTOmK0EN2Buc/GZioBGrMP85qxT8lilnPObHlE8rCKEAgWp1q3Zkjusr8a
OEHzbOexXbpNKZ2sYhbbDiYKEd2uWfj2Y1/Z1Vm3TnVuwNpKRi0oJpyyV1tlYfQo6QhPhBdcZm1P
1cLmU3asf3Ad44eWwQ7+5iIn5lpkY5WedQ5mEfxBFY/BGWUP4OvYU47vRBwHUNVvFhLTvvdzngI3
GIvqm3TR+lhZ4oN09CV6xzmEpei0rknvfWJdn4NVsw0yYRg+1J5PQnIuCCRnqJfkOBPSTtARUdbI
4BmaeFCYBaKmqfyoc2dC0mh59Fyp79FbSH8ez3WZF9tMml9EoI4yz9EwzA6DDRedu71CzVk4xntQ
hsaN5QD22w5+RSqkANXLe2o7myZnYK3KYDjaLekbUxu/FalbAAeyCzAQDFZhB1jPOAamW8UezZgs
AfVTC1sBIy2d5ZbXNfmalD6ik2LFHJb+FFLdGsYpm1wz2PtJxfomPJZvkVCdcGATeqOJEHW3kh98
LBgOMrac3fE3at9fbRBrQQwgzMX9SaDNz6dASc4XpCxVHNOqEmc19tX3xiELd6MH3ZsVLEZKq7Is
uWxpbg23o0dlYcFrv5MWZRW6vTc2rvoc2PSoZpujTp9J9KjlrNyLIJP7Wnd5xygDyP0wtgxKBvpr
x2RNwHJgxDQ74VfxR3IRxZvj4aXYhPzPITAs/x6xHsttPE+4lrMsf31fA+safFSklwKM41+fd361
Dqza54ATVejS3iRj6s+Feb8AllG9WR5pWLP22nqE/6xMHzssNRMUmex2xuOHAnGhxipCsEssfu5l
cCrEQlb4u3Mzcnn5Y1Mz+LsWew0CJIbqlzAjPwHeAiOxPHaV9aRMRgsF+4v2s7e6VA/xzJb/11fg
l4M6DwPpEHySxdkEy8ZPF0CMbpUwYTiOLQVpDeeEzZrSBIRwczEEOeZ//Xm/+inXD/Td1YxFDsYv
6RB1R7EH854cnQC8zIYVs9lmfT0Cv+LBGojE3BU9z5rnBvrD+xasITx4h9TW1h75pRHB5nLfCOwf
DxN8lN88Eb+cs0PYjIGN4JU3hOvy0/XAZK49XG/ZMeS8fXCNpLlIoX/3Dv7SseBTaFSQDEfgIx7s
n86DKlNj7NVNdvQElatH4g+xTh7AZ1rDBLoX0A/mnMqdSez4/Nc3wF47BX9+xKgPaJ0Ha0LHr8mZ
s1WIsSs1vtVeJzGjZDRSRhyHr5WiLu0b7c53oeGGT7WYn4pwbr8b0tW7YR4hXQ0NaOl1seuGTVuq
wGFeIanlRNEdKX4RJSAZ+6ONrXg4GTGRH3/vuPz/fjXCyW//+3+9/YFNicedguXr8KeuM0sTLZK/
sNZkdf2tb4a3f/Gn/tGrDjDQBOvAibjHtSn3g7cm9P+2dp1xtxAXQ7PYc/7Zqw7/hvOE5wXWIjE5
PDf/7FU7OHJCMp1WqiUZXOQB/9Sb/qteNfEwa9Pnh0eTHFy8LoR4+RiZ18i/n5pcDo97RZyAealN
o0lbhYLDM7YoUGKUztYkdwUE1WYzOyP8s4mIDMTSaG8JAC/RmlRLVm9Qu/c3DCVF2NAtoAicllKI
J4tNudjq3vqC1ih5rCZUElniuZ9HBC83yIOHDws2vnifNTnxNA0l/E2i+YfR6E2hPBh5SvTbkNcX
smwXDm7A0rrB+WJotKIXEw08am7PHq5jjpj40Sli5V97mDDopEpPK4qPylnRceQ+1nY/kYrfmBsG
fPtlRgK4FP28dTrToUPiqBdOKRqhrsJ1clM4GXN/alRf7gvu7UfU5RVIaZuTNKbJOHu00plyOUUZ
E3VZPnonXFJoUpheffSEsk+9P6QHe8qhlFFnwxVbXTNtRrzYaNuH3M4+zYyUP3i5H+dH/hXnBgVn
XGESYDA+kKPTbThxO7vBMt6mArBfYOaVRoPkG9GCkHlHamnIMYAp8XZJ/dbdLZT/D5ZZujdj6E47
a1C+dVJh2DaXYQnjp6UK/I/Sd+NP3TDbwYn2omNs8166JZIH0bcRkI78eWRmuzNIMI0KShmuAX26
ltT6sxc25WWQPtdSVTrbMJmPMX7Ms76gA0qCyEhkuvMzb3lo60Rk5iEGhXUsLFTTQ4e52B40Rly9
1Fs/mMeU5Pc23wdzHB9FU9nPcnFQMS29sXwKS78UmyFhCz4KwwzKp6wjCucRewDV1U5R8k3GjiD4
sO8Ptspnsz8hzagJ381LN7Pekp7BMncOyotLsMau6kVkI7S5he2kd5MZ056i23DKxgVGQ+zt0AZz
0ikanUeZixpYNG2FjCIcaBQwWgWNbjjwDFwb0Tx8A5S1AaF/hv+pmFANu/YpUd2NuzJoFr1sIOne
inZpSRIBlTJBtPSLel97Rf9oGOn9RCWy6fiYPcduuIjj/GKZGhSan8X7eJw/mqAkgOeRUIHqNL+2
lWGepCsKOO6tfQ4xtW4KavJdb3BYrMSUnYUqm70OGvTA5byczJZX0/ZK+xGw12s9BKjxrcTfwKEz
OG3l476p/WE4Y+zLT32mv3RNV547YIyX1oPZviwVwcuoKyGDRb2Qai8WyfUxkPpXRh0lrREaHAHy
FFBR+s1FDECjD4F73EiGQiaaGdEhj2YOhwBUzckVfgJ5GBitDozKPw6ZAQ6syazNaLtxJLrc+sC3
zy+5OxvdJp4GeQJFq76hwpi3AUgSavdUHwEa0Rdl966TBeNa23Igcz+2TvkASvG6WDEtEmWu7MVP
mQeHxOzDs5/ohz5E1rFU9hal+S5BKQ2iI42CUTz2bXsI5ukmx7KAClNN+06WYN3iBTNyLJ48Ttwr
kKLfWlX5rRTIqOxaA8UDgPMxM8ibaC0rCgdkJUytWQSz4EZI+jh5ReY9qllrQ4aHuAfAVu+qqasj
Pxw1z5bE/s798A52X/WRkYbqGHTl18XHRou6PzwDUiKUuYOASwhxfpuGQ45kAmMvb4V1n6Tt/Qhw
xAj4UUtT306ByN/KdTUrVOxLeuu9cZHSFg+Z3XrnRg5pxA3r9pLUDM7f6TOUUhT79vQ9HSrrmPg9
R7+sLTfIQ0k3MuLwTDXm7HqW9fsBFM8GDXR4KnL/Ifa6ez0O5p5lIrg0uaH9CDja8Jl1RW3t0Y/H
jXSG/Da31Ri1QzEcTG7U3mxadesmbvrgTFN4003mw9IZA3Q5gEOJDRA1VHQSqj08CnB/ufTJZe0f
eqA/XKFVT2Dme+TpDl+vEW+pyJDUpuwOLcnRhUXQcD58Kumt7e1qiT/qQt9Io+2iCcrPo2/kjy5C
4U1pjG/9Ej57CR4J/Ek8x0riEytxadh6jxzq1Hj5IbTzmKvYilvbStqDDrqvNZCUndst/ZEgiU+S
mFUe4IKDaZWW48VttXmbWs6DCuW17NMnrwCzZKOGMBsxb1hpd7SCX0Wo+8gRblSsa6k0gg9B7xz6
LJ8eJm4drYORPDWW0eC1iBPruQS1sO0cn1fNEDTv/PGG4/YOhtKZ0dywd8fWvnRYcTbtKEEx4nBL
o2IugwPdjeWUNsNxkPBusrg4oCTKoiQk2i/DZ8FmVkZLHHLw4gyMyRKmwVd4XcMq+DOC23kxxX1a
rWI3v2tvcDEY0axHSI65m34h71VE2lbXKWvZE3T5aInxWONDCceFjTUPaT93w0e4s7eMfKqv41ST
eT0/535R7kZ+Dy3bpogIj8gu44ysl+PXXiAUsaME2uHthPQQnXLcyq1aUuviZm6ynw1n3vQqcV7i
RklwwRbEKqMboKoEBSvTWDn1h8QYOec3HXLUgX1N4oc8zo2bby3LkvtaSXW10Y1Gmf1/2Duz5caR
7lq/il8AHUgkxluAg0hR1CyV6gahmjAngMSMp/eH6r9t93EcO/4I35wTvqnoqC5KJAFk7tx7rW9Z
zC8HEzm/NF5TY9q2Z8TotRuEhu9cJwbUbwY9wHszacZ5Zy+lzQl0WfPhSeWGfwq6Yj3Po3y1Z7P5
BriLgK+4Inz1QEqk3BIfBSQ3265R9rLPWvuxD75XxvggUo/Oiz31T52jHiZlGFFbkEuzpMM9M+j3
TktNm92tz1jH3v0ONsqckUhpiH4v+Hg7C735V5ZX+2aiB/OZr0LvJxguJ5jz1j6vx/ToIlULfXK7
oqqw+bDd+BEkAIKU6Rt35OEUbwxOphDCif/LBW65G5zGCp1Ulp+17y3PdCHdsBj8D1k4TYTv03tD
UpftjNg1IwYH+QviWzOcJ3MjSkBskJJx0mxvDxEXLA+x7CD88xFT5gFvL9Fdta/yH40uvi2m4T0F
gRrfZTeSWzWkV0YtDu00tmwvbwRdmAzgX7Q22g4bU5e3tA1qxJCDTY2gkjthlTd9ERcRIn6EY0NQ
P/nonpHk++nwiD/Ov1k9t3031uCGWKL5ZWTWciD9MsiiAC/OBXfoj7bwv7M6l8wA3WBHiO7wmuXi
1lUyODYBfWRnMrI9bXU2CIgxu550zCh1LFNFRp1bV4WMMYLp215y0RGp1nfLpWLWcTPVYsb50n4v
E7DZJOBm+EKaUTyzQHbzXg6SDFK3n9LyaKukO9iVXbB5dYb6aL1A3qJYdg4lteDb1ileaB2W/tYs
W+RzlUrxTZWO+41cMvxf6xbjGaf0i0VJwTDwnVuMadDp0ell3nb2htVACEqnTFr3MQcVyXOrNI5p
tO67isqDQUU2JmlUxQIN960eJu9QVGPyTBxbr8UdhVZUIRPXwXqiXfOjjl332KIG3FV9w+gDJegp
VmSYrbMThGySR67a2cltgv8ymgxlXecowYevY2/TXV+bgRS7WBIWRvNcxy37X1HjAVdIOeOmDxtf
lDeyh8ad6pzOIjHhsZbXPM3la2YTT1I2rn+bpVV9m/coDAsveF7W9FCOBGCBDbGPpvg2lCkFU47M
Na/iV5HoKixbaxcbtmRC1gAEdDSd0jw+a3dRe68F06O47yrGPiGQDRHVhmqQMYw7n3holhOEnwTO
jJgsGF2vRfp1CsD2U+AfyAI3QnwPr7To6j3qoAalfnU7uUwEcuFXO44qNOV7A9VZ4jXsiWV9qmv7
KQC4esQb9L1Uwys8C4zHLkHKFecUq3dQV04KG1fT7xp7ITCrcfSdoYk216thvWHTJAarrKrXuSfz
i2wltrqFRJ1cEIonayb7RL4yEclrQstIHmegOB8w0gZRVsfZj0KLHYHEBJJi6t/PpRsuJnRBd/bj
V0+UF0YZ9lXbTFeHVv2i+EU6m3Z7ka91lBqFxSUd72eUlFB9hupV2zlZVAw/D0zQg70NCo2i2ydM
3sjLO8zQG96tqA7wJtqr68ffzE4DqSNk4phOxfzYLh4zwM4V0VJ6VD2CZqDZ5Fc1L8OV/m9U1cT2
rZ1mRGuby5Wu/NmAGU2vv5YYJccx9AJvuvjS+1Fz3sA9+GH562fSuEdPdMOFY+7Cl1EcpnI9xX4x
7lfDOJbpL8NvgSO7nXkRXd7ctIV+IMUCg2bK8pi2foRk2Tw0Dcfb0dLyiBf/aNWOCGWe36LhZAPN
Tcao/iv6Vcg62fo5e8P3eEi+1XXB/VPLx6G/8+r4tR5XomFnlXw1DAw0A8psJMJrlEjvsgb+F79h
EBUE9bFgcwyxI2NKR3hNNpUpLrbdPOZ47iKjy82oH4j6JEM8MZkf1RPlmfGAV270w6KaV7aEPObj
shO0oWk06QHAXnfS3MFfF53+lAWNQBlPS5hKq9N0wRkno5SvPso6h++YZaKCYWwBT5trWVLg1Qwe
4Q6ox6m3esDvc7vNeYtjnhmJjhoL81BUM2T8oGmY4XkfmbI6Tfs6DX55GvE6naiqC7QTqTragbIP
zbImt4zc3YNWw8uicUNC37oP/CF/UJkhfjlZN9yuaeaesfjqG6tcivOAqfRAjLd+sRVDBV9bn5zh
87tC2RzwE/Oe7vKI4rtOLnJmOjIANbmjG4v3cwVCKmuUFDmhfocRgsChDzwGiJisYqnUcVTS3iUz
Tt1qa83TMtoCzzCjK0kwkQ1/3m1yubfSMr53ERTA9Fm+4bQOcEF4qMVLvjGKWnLCQdfpfDkB9QQd
O41XUdWUFV3qsRcHX+lHZ7vW9+Qur9IxpNWnKIP0upsKfnwXMMXj2UkIsuN2rbDGWriy4Ogwfpnz
Q4pD/ETdePIqlUdlWY2HjQm0ZzUnlLFy1L5EN5HTzuUw5T8NuWEfOQrTcZFz/jEWARF7sW0Wd2zV
7EITp4Xr0gW3IMv8sAGourNIiScAt4oMdCBhLayW0Xln0jMts5uuIJFSa5JmER2bt33R9ueulr/a
FTt8wJx2O1tYa3YVrO57QuSrh1xzGesCY09QgLIoyykyJkOEbp31u6L1jdvJzh8yi3jtoq7uEtd7
q/2gO1Jft0D+uP27eT4oYR5J0xnRPTicZcCFbg5SfpQ/WGGW9T/Xunl06/5uacjv1Uu8W7EY0mXY
Ik2liipcDIxbUj4ePgncEZGZzqzKjhnfpMAM95hYHIqW5TzxpEbD5io1h5410hEa//v4bfTyb2iu
T77dPuAYm09Zt1g7jpC3LNFv8LYUBu15z1GLO1ksXtSPHfMlkZlXYjusoz9PtFFWNl27J2q7EU9M
oE9+PuzX0S0izKMq4KCzqvfWNmibTNPkH6xSvLB2PllLsvCJxn5f/A4E9idUUxwHe8OEu4Qxho7A
TsTZdE5RP5P5qL6pvg4e88TgQvrOsWU2jehLrq++sB+ILQCl0AgL65N56DsgyjbJmrDCasTXLr4p
kC9e/lLF6U9ftNdutW4L3/2Uwjo05WcvquPQ+7/05r8w/YxZMmGRJF0HuzZXkcibfMe04FfTg9kt
jeJr2hrpvmVWF21j/MIiC7VcfXolax4kO6XoBaRipWxBDpDX+YNOWaCjbtDuHDWoUu/xjVhng5q+
oRVO+sI0cigf20Xzj9jJG2aeYWA27V51s9K7tPdwRLi3DSABBCyRm88VhVhRDge6OAlhHwMhoavw
WnbopR1Qxqz6aDNsDkJgZvqUlW384LOq9WHdCe1UlMYtw9WZirx/MZgidofK73BMaKOYdCRFSqvN
5YywsHxYAyIVOxAtJkS+Iydu6DngNjMvA+Sub10xe0WPpiTo6Fj8OU75n+7X/7+kHLdpTv9Xnfj7
ovxM6+rvjfg/X/SPRnxg/0HQK9pvJo7MwJz/IBonSPePTajoOR5cBPFbOPsX5crb/s82sAGnj8Dw
H4JxKf8A8+pw8rZsQOcO/fl/ogkP4vjvPXhE4hJiIYEtvAOBCfj/GIDpsfDV7Ir2bPfGvJMcSPp0
7A+y6v1HJ2UqeHKQXCi0Cenq7AvtDhxXe4fusudadRfO6PFWVrgqyOKjgbRJvwxLW9769DvyB2Qg
+uuoM+/DWdEHpiKhkTvl1g7ZLHASZr7VGX8yzmcmX7t+zIEANK1RfyiEe3fjgqHtWC2CxXczFa6p
RbeENnHwMWZEC9z45pau3LeLS/N4HvyHhYHGzquz9AL4p7f30h2VilAY+tnn2BvpF0xpXXVT65qg
sabD9HzpHTPtMYeXlWlHg1lkdOJpMqPXuBJnAl7w4Lfl2lxr5v4dULsOLAlOMGREN33nSj3vKQ5N
ozor5It+SQctZkvcFQND76tvrfFAAnvJ99mG2VINE20SppHTbhhHyCIijYX5fQLrMK37Is0cjPWF
6hyUHSqvOWNWAwX3ErqDkipUPoSRaO4De1MfQjUHmujkjb3SMSeDu4k0yzX5HhSFQ73mP9Z4WTqn
iPoqWZzdCKUWkIRljwkRunOsryCmjJPJiezBJAIdHYchWdxsWohdqk4kI45wRhrruTBcpEWs1ms4
CjU9CtRtBzdolk+vyYs9lIkSMvmSkm/ftYfRr4qLxjt0rDu74rDRD8dCjS0jRFW7pMaXw8bNiLyB
Y1JVqXon3TS5J0mBJkpazjsI/sXO7h0ZomKs4UgG8aOupuodJ1SPSSumdliNsbkvc/eVbTt5RP/S
PbBBe49lU4wfaeXPuyQAyaObdH7kfqgPy1hnbyVGvQf0lcs7+gb4LdNAlzD2rHjHVuldg6CI35DK
yZs5dY17A4BPH3baCCjZtLzEblwyGjKydSc8XSBu384YXly6r60r1HO30AoM2bbgtjtowucoq7Q3
R0C315PSluti6KQTMQyqP00zi/5UkpBAnq68DdbNfyYYvb6wdiNH8RtmIruh0OUvMcEFCCUWuDlM
SBfbs4eRqk55+aCz1TvpyXnJW2/X5YONBpTi8yKWhhT3HAsgYh09jPcDkSi3Yp7rG9sOhrDPaWeF
Q9npx7R01Ztm5zqO1GPfJit9Fy2MgL70/TNXutoDgbEj2BEE7qFbeozdLj1T8+qXRMj1yyDXiqPV
NFvf81qbt8aqvDxsW0kOSDkHB3JJf45BG98Ix2z36VysXEEvx2DvD19MNy/fl2LN3uXUZw5gHL94
bw0VUJDyhLlGD8Qef+qe41V/gLFxiw/RpSWUlYh55XKvQHmep5nKNVRLkYN0UoFxLwjGpg1BDn3o
uGb2oOJ8Ps9GM2MFTwr0b4IiO3V81ERZb3Q7Wo8LRJ+hiaZ4IjMbbmboeQCgEzAwjdNN59okohOs
qvVm45G87w39mq36OW8M78fs1BxJTUgqUHom5qaR1az5i4eq6bYiUfhi9jbDibyLd16WnAK78+4g
V7Q8GkP3vJZ+uUPpWn93Byz5zbTWDzIO1m/IbRGDgI1jPFBNzW2SJ/ZrAq8ucltOR+FUtZRla5Dc
kcsxfPQUT6ouEwQTFSdTcGdrBEXvPGRN8tkRQPazpGcadWN7sQZmUY47zbt0HOQXKwXLIgGtU2JM
03LB3LyhJNyJM35v0bIt7NSEaDMbB10DD6XY8evHIu+2Dmcvgn05zOI6dtlmiI8zCA5pNeXzjZX2
81M92eiAi2SSz2Mf+9+KqTJAIWQDvlS/RBUJ82F5QjTrX3AIOJ9UVPVtgOibngBQLf6pia82YShM
oemnDJcm2/zT67oIo7t6gDWWMEH6uiN8kkNAl6WnuvJHxGELrn9DWPW1y3ADB5MDzsacAe776klM
7nJKEC3AiugSwHBxd3KKJsAOas8Xo7do1vmN/92utfOrNuwfWdNaF+GNXR8tLfH2ZQBwRKPjZC5V
3E1z6t8FsiguBPS4eZiv31PTQkFrQhSy5/m1NvUzBZwZ+QLorYqx42eDmx4ykk6OZrYGj63Q9d5w
rZSk+m7qsAvSmizGhMo+i6E6aPGetY59RJhpHnjev+ckgj21FtLLlK7OCwA+VpBUNyj2imqvdeyU
dw6a5giaznhXKySOIK+Z8rgVIypbiPqRO7faobeaHrKl1j/auaOmtxpRUvbY/ltC6MOZd7jsrKkh
qsJpnCYsC6d6qGKDNqGFYEio3orMzpzBy5jZxdBM+xB91sd+mIcdp5L+A2Fsuit9hIOjV3ztGcsj
hy8iXM3rhZFUgoYakOOD7SNfVIBQdnOVWqCD5+6XkGOxH8QyPOdEW+2Rc+t9nQBat32mH1Ib8XM2
iu7qml5/nAIJIqsj3mJMcknwN8pEJqpWxRBHp8ZpGm6ZNKaRo5g7mqDl2hnERjL5xQ9G1GLP2IHr
6vtfU7/8qYusO0mD7d70iFJrHf4rdrwAso3j3oxZDxIsL+3dmHEusfpMXNbGyL8TNoyfvEQ92TvK
CO2OgKG8L+XZ6vLs0PTE/Q4UJPuhLYMbadfdwZupvMi0cI4o3sbbrKo5/pUzcDNG8MbOBBTMUbQe
9xJE3ffemTKmm+VLBmMsGgirv5lGydjGuVvtqblRUOZCswmsQy2c763ZPA7o3EPEzXmEmvfIEm0g
qTBA0NGTSlH/E+O4UmGUprsvzPrqNfrR2xrrXXtcp4qo9QpQhpmqJzxexTmv1+QAzJuhTwBmBPOA
FdppesZSnhxiu7yTlWE8BUi1jqU7BDc2yibUnJghCvUANTc99BVjD0wIKnLL5ZGwW7EDx4TovqcD
1a+NQiJZ+5x5BnFUgO9YhD15b9CFCFnbvReQflCkaK+iohQ/2xhuswMcJswqdBdW1jhsZAX9MyUH
ArlE8D2rlnbvGdx+dCBv3HlUj65BsyroOfWNziAi2qbDaa50cJOrxAiTbPXPVb88EmD2Ffzg6+8D
wv/0Ken/Pxcu1llgtP93VdP15zf92RV/P0v9+aK/zlLOH8g2sdfa+P5Mx95+3j+AwYR7/YF3k0OT
zxlrUyf9BQy2t0MWek+yXWjDAodFf/eX/9b8Z45PzMv/fnzaAPMmgXo4As3ffPtNX/gfnF6lHAw2
+HS8yGoNxvRuLbRl0T+R0HMXdRk9HrKmQu1BLyMd6PbicSimF8fX7qlb+/i5rPx4DRVv/06L3L23
dOde5jxgf+9LA6RgV9Kns1joDlBPhi92V1VX7XttvhutYDgEvZ9drdln+I6sgwHGCLK1IUkhYmIs
rz0cMQpcsz2YlOUPRWGqhx7q+1OAbYM+Iyi5NxQy09k20LmEM4SWLyZUQsSoqWGFrV8HTyVRck/a
6t9ckA4nSE4zTW0veXDBAG3MFP00JzI+yIC3v8YAo4xJ9me20pVWrCyQVIl5b6c2wpCsaMuXgYHz
p+dVxIZ3dcz6vLpgZ9qme3A9N31voWQukVkTWieT0ToEqSeePadNn5zZzfejyfklNEw1X3QyWRe/
7V6rkgDyEAUaY217lGxHsllfVD8UMAvmb8UMTDhkI2F6bozZpWUtLJgDOd3XTK3Uey3X8LUs8urq
T2N6MPp0PesKiV6Ywq/flaPvRbmCSRLmmIIfrKDLb4wyuadpmh9QiGHgTx1aUBgCb8ypni5zqoYL
PBsknaJyARxV0/K89O1wKOaA8xjz+Xufac/NYrXqzmvN6WJ3armBkiU/c1vWZ+aW/TPK1XKmb2sU
e2U1DMd1inwK8OFwt4rWPLTCo+aLS/WIT0c+94vdfyDqK38tVme+WOOQ7dxiVvdV5xhXCWGSyqH/
wnfVLFE7q+ABy071RepsPAifdZed3NxPqliPk+kYaLH0/KOduu5esDRf8rmfI6wA+IJybpwkDIwg
+L4BwXTUaoFuwlilKiOCUwpI+Cp9VN1WErtB2+8Xwk3xidd0jOkkMOWyP0dr9G/VxmRBj9hcbU2l
MiiTliHADtJ/EtDQAmfqfiRi7tKQiUWgV+PfmCjUf7JO5w9sc4p7KlnvC47BDaaJ2PjOyAMoZ5x0
AoTSBGA69D1nuFWZ66HKZKfKOFOFMPHyXW6UzhemDea7Bjh9cYPC3Kd2N9xlXsNZq27a8RE6z/oB
QYtQDKNs5tvGyZIXeCrOvd/aofab5MhJXj1kZtc/WWNq7QtH9tgJxpW2oBDKCx3EJ6CAegRbbtdz
PO8Yu0/Y8t34xBwnPpGCpU/sYSAFEfUw94hnkFShq+PqjWWkeVhUCXwrac39OFTOPjMaSuCUo/hG
NiNYEQzoXqMLvK+SKrnXqW0BanTl1zIrA2wHDO7euzjFaDH7w/LsuoVMIiwLZMrmIr1xCKI/Dyut
EoJD8IBEIxzi8QBU2LzHcypIg3Kw7F0NJj5vnlAtXki3jiG3tS2kapU1626t6h8lplw/HNxqvpOr
R4mcFU4GBJHw77dk7PAH5OT5xTRlSViXmcgxy+SYyQ4zhTHqE7+ZH63SFO+6i9UQ0cvQTXso3dox
5zvBUHnOuHBJNczWQeMuqgKYkIvrJ+jqUPU/w/i2Fvc18aqmf+olIEOEWvg81XltLNR9Ue+jjWp2
9mgV07PO54TyPiniVKHDLM3Jea3GfCKywW8YXh7IMe7zH9CgG1FgFRVas3Gxuf1vHfDfqZu3buh/
XQdM/3L+qbufy9/kzX++7B+VgCf/oL50MVjbW0/1937/V3SA84fD36Ar3hIAaIP8eyUg/pAuuXKb
4h8hPgj8f6sEpA/aYzPb839Me0vS/GcqA3TWf68MtuwCfA+o7uF9ePZ/ChC2Wq2QADv6Bq5sJiOl
JYtgUuviFo8sXmNTt+Nz4nQxrYUsHU5jpvpHmlJjdSwYCxQMukaULWiks8iLB1wygwYA28ycVZEH
ZhTOncmcSklsgi2+3dmY8IOKVO6Q5cQvs6WcL64aP0uxwHssqxeyAJ3nvqjXx04HL3VDWFupmsIO
a6BaUOsEG7RGQ303TDZ0H58EpqeOAXfYN735JSgoT3AGZtaTUlNx7jTzIM7ZGZNJXji5nrFHUDVf
MQsxDTKEeIoxECOANYJfnaXRFdDnwsAxVqs+JWOOUpFAvOZTjiiL1qkLsB6Dn/39RRUrXqMtMIfr
n0UGJn6TYdbIIlno1T8yZSJcNq+G08rQMEJDzQs7Z+os1EnbCM6tgip4H/O1TSJV+uYXOp3rnduM
QUSbEUG3iaob+5M+wT/gtwufdCV0Vcuhy/qARMNaDizYgUZ3kWWwt6ZOkuCT+0O1w2tsfAwDOQR+
n1cbhV6KCwGogXmcHFG+LUXJZHdMBvFFg8VgTj6b/LSySud7vymNX2s6BdEs2/gMXzT9YdCUvDas
bsff74+Tvz5xZ2t0e/x5spg5cnzbqHqe66npYOpBHclQGJHmwHvDAWrsO7Dfe7XCew69PrMuiS/o
LYRDD+Pw4lpxmt7EpSDJgv1Hy0PqeMxp5SoZheUxAhJl1MV5tevTqO0edmQ+Doc+S5BGo4F2D6JZ
fJQ1BQTIgdPbFxojHARxwtHw3fokXedkuLxQq9eQF9+0IcvntNHLl7ZJu4uPpuklX0f/wLxfuzuW
ZEm3fEhuYben7+QISpopJBYZDRfbd3PGtUWP8XtEvBblK5WIs1ok7zjweMLCaZGOoY92N5nm+rGq
aTn6dhccy9KSvyYXvWgU66qqQ7qTc7pLLJqBhyA3+/RalDU/KxjK5uDW6ImsyJYjVzgcde1hPUyK
7ikGIgsFdioiiXkdRJgZ31VulSF5p1MA6CAQuPNTSbaDT+yzPxs1zs5N0DQTNuQfC2F2z31tf4EN
ivLDMd+VPy+YHseWUjNHErXux6K8qxJYpFEnXPcA2xIpsmc12wBCnRNCHpgrkxOKpKCsHzp3xT5r
SPcwLUv1ADRNnAcgqSHj8WRfMTPcBGf9HrDCek7ttijDwppkNJWOfJ2FizO0WhBx0VPjQaXlQVei
4MGwVMZNNTF+Uf04wyfvNzQVVtpomDoDmZXs7gbK+nuOF8UtJYvz0DsJUkImRL8ZViaI7arE9Osb
gX0hRjIbdtNsel/G1cjuYiGAv+s8J22mPumFS782oPUVUUXER4oaod6SSxcCMa/5XNuAh97IcYzd
AEBrn+kvwPSdRpHuh3REBE8HYX2dncWkbGlTMksBi65mU78ZrrMcrdbDKA3Av0Y6D/vG2Cv8cwDk
yh5dQapwoA4K5czEQiFo8U7mbnSBHk+kBj2m89q9B3x+ebLjdc5PQIG9bueuCQ3UGLG5sZA2ERa0
ipDNK5KVQ7MdhggDRC2YBzU60qWVvrheYnLsKRk9W7rKb8c+L6AA0vYIzdxCFSndBu51MM4Q4xOF
NbbC20ZfXGeLdarj1rvWcDdeCmItqnCwoDXSWc8RGamyh8/nr/pB+wUCXAVXB1be+mi51IRkzA7x
x++VpS36+FcwV8W5ZGa1s8QqkEFuT1EDCeR5Xlmj9EQsmGuYLKsQSkZWjYUdRteuOs4QBTf3uWXz
OEzWk3C2XwQYct7hZOGdlCNgv8mcxiZMJyNQV7bt5Yo2ql52dU20WDeo9Q4qofNnbt//lkv/bbnk
Csa2/0XbpNZ9+i/Rp67LTP29eUK1w0v/KpmcP2xMiARmuw4JSgyW/6154tt/gPHCJGbisWIMLZkD
/zWIdv9g8xHSd8i1s3jZv3dPGEbzTwnFxirmmAJT7T9TM3n/iZsDAM2S9FKYeIMvw0H+926KV8xt
xYA2B11K4C9+WyDLu7VLNhrnqDkJ9iN5OBiSvBTZJ7IU6JEWGEt4itx0kTUhtTiw6FfFvnbqpOWQ
Xgtk0M2oKjM0U9lhyAPGS8fGJspgQ0I4JWQbG6kWKE9o58g7JaXYNneYsG+zkJaULPR2iGkBx/2h
NghpY66x3uOBwOs8KWYMIrXsT8QW4krdQV+zVgmzvgHWVnO0APNquK/G9hIZY/IuOD0/WG0fvFE5
8Isn1qqMAbs/PxGeF7xVmZj/xE0zyWFMIJvZ0yByVFGfa6YjPkoer/vR+abAckA6CE1/BUdEoZGK
UGvOD0zp5IAbA7ZF2OCHAQxkJfrGRADwQu3rfHoWdI26NoYbOabyFejH/KAkEIpOmky5EZiIa2K1
fP7GS+K33CWxLmrxdsN2DJj7IFFeux9Af/kGlF1bLxkxoR8ybpn9zFLzz+xZ1LdV7TifS7J5wpk/
6htHkEwTTgiKH0yZAJ2NUVZEA+NfGDHBzKe2C36nX0jiY3KTz44/HsP4MJny6troWlXqpVdJosXF
H2OBwC1DHx1n40nWAYwExP5x6Bnb94mEDf5TNVeGu+O+5m/+vKClmSA9SMBjvFnDdoVRGcwPXNKu
+wIrYJkvU7MBXOYCAdzO7FC0PRoVbWVIEIx+uZdS/vS7slwjh8E3+df5ljOVwlaGsLzY4GQ9w0s2
WkblIL4HfUV/we1seSirlWJhnNZfaTzwTZijCt7AfD/1a+ccFujadsQADcccK+2jN9rUOwiADewz
lfWiyE//QBi63bUVN3qBrjk+MOjlJ62xxZ+wLnlv6XYT0Q+Cn+IiIqciHLkbaCxyZQPZEzlDsSWR
konBvis9r2eKl3TcfAZ0s108Wr9ZR8QueBhGkr3ZN+KaTi0PoRfMXOC6wdVJBycBOMXEVS1nhbou
i4qAPWtPtCr3m+CxvNRNQGnyG1tlQHmWWDgk7ztbB5hAVQFiR7IHxjg4Ku6YWAAznmebX6lWg2s3
bvfJEsxE+WyXyJe9PFXOAJRcdPywHvnIEdN1sPdsGMHLOAb7xgbRhEAwfvt9C2eGx/dbAFVChCCu
9Feaj9gdQfvIga9kwn3/MBMQ/1AB7gHWT48PYIQdvEkr4IvrSS+QUVP63DCDZwJaUS5//fuRoITM
jois+fJwTnCxTRYOjOTtB44VfdM6DakS7gDKyJ7qGEQcELCw6YCYhHkLo67U6AaQIS7QiSw/Qwvs
TGM4ZRUfx4T0lHUzF3RrTPI8mCY3mAG6Aq8TLhEk6bZ4GZk5HRcYLsxfLFOe4CmBngZFfVnbjc5N
rCo/ocZ5hT3A8DVaYq9L5UPejom3M4h+Zz0lR3Znlo134zKBPuD+Cy4Oc96dBM+rkd8WfF4502g9
rPDA0j3WJJ4wShve0CpZsSoL0PXT0s3NXZIPwT5b4GrJhWf5NybFVwUsKEDm/Bx0a/apKCgncqje
L6ZJUlMPWolvECfhU8ONjrczLdqPgnyZG1QQyTHuU+vFk9zzMASmmFSiXK/PHWZ7G4S6JU9y5QPP
xUaZMgKLCwXPWbzEJrrEc1J72FGlqsr0TLsPZSqZZMfBtgqgNhNXqcxi+7PLLJZmYqW5pyi8ucEX
d+Wy6g7ugEk+MYpiJcRLOyzQg5xlWnbwV1Dj0M3kfhFdH+x/s/InTuRuWLmtuGZ1IF6qSvB+8goM
zn4MtjsHaXu9nO0cyVJkJXH3IymAZGSpw92Ne/8FPEbwhthf5Lc4H/XNILbO/e973rZsXmT229jc
arf7fyAP/DpkY/CG6gtaHLFQ/IpxEm3/CESumA8mEKQy1F3v7zivbPdjsDCLR7USvBmoNhDY/l7S
8k5k1a7xYHBjevL1cMr9rgXW8Hva2nCWf7Bdni7iXoKcswFfryS37/cTV42+/TapfibuihFpevi9
stZ1CsNhIunqTWTom9+mJFmKd8QRrBOlva1SYgTSbiMl+ww2FQD88epRpIMFn179UOkcnHTTbJtB
a26bc7wR2AnwEddpdVjI6DXyBDMDboCxpKkS6b21pMsNy48kZQHKGiXEppahPHfrNbitVNfD9fDI
l+MryYLycc1pI5sZp/UIf0TyxlYKCKPnrHTGlM5TU2yyhppnEk0nSwyEscmizS9b7f6oVfVWJ0Kf
g3gewKsu/jRThyB/s2z/VAfbRoR7kDHtkjSYzBCn0Qo2Y57dUR50y3EG+2Z/dUxZ35LjmWCoTtLX
zGudMlxU/LUFDm1YdXvpgJlEmpgG08t5BsKhEpUx3fT9curSocGDGOjqX9k7j223rTQLv0q/ALwQ
DtKUmZe8OWuCJSsgp3OQn76/Q5e7pesqa3leA1fJsq5IgCDwh72/Hd2ZiWAhGnavFVuGpkGHZTA8
uYNuv8pKjJM2m6zX2Ssag+dEXTJ6Zv9fclfVyC2yhdnRmr0NrLBhxOHZaPp8RbeHp1Zka6D45cGy
WkD1qWjYpovc2eWVPaBYJQ7F7JEXu3jm8UT548y+qmrQSM8edopDyGUp1zFSWRhCfhICUxHLbTB1
/pXKQh5zsKQOKeIcGqvRehbWUF8bplfdpkseXKHN4uq1yHjwkqDexkHW0Eo17IKz3GedPw1MwkkF
gUpjuNNn8BYZ0Q3ls8iw1ZyLVon7NscAa3Rg+QDmy3AXDM7wXc0y/D0J6GPVSBDawkW2bfEDIuuf
JV6/jE3O0A6beeqwjjGZxjUu2Br1UMeuA5lk8zXny/uadUG1W4BO8hxPTYLMxudQ+/zz1Jd7Pxo/
QZJbu2nm/x630/yQuHO1sXAD7ZwclRROG3mvTE4rpnBv607l9CXr7ScDc/7KYvNyHaTJcl8uM4ES
fl8SboOkPiIc8sysRGyRvT21YY9tQHpURltVtvV1h+xvk+O6WYMVaLYxdcNVX0oLBYI0Dm5Yq2Me
9uJcO6hROGkV44iWxtBjGjS1bbA1cKkhmPcMjNJlfscqE01lcGWgKbrlITBT8qE3jwPDOxZosO5j
TDAO+sSDbSi5Z8ZOzTrjl56Q5hzQ1JBukM7Gu2KrsckaGV4vmXvfp5iiO1g/D3Du0P6QMf9sg4E/
E6ZcYCmDHJVgDZHe791ALuomsu3lqpuqFtdHV7+RDcbKj40/Op+MFLonW0YBIZOOcWNiA4d6afmb
PBCwMjEzZchcoFz5/mcjL98mQ49ILIyDdOZS7Qw8/2AmfLSXaC36vYl8YO0C+IPtlCJecAseRKT9
HtEnfW0S8r3tzhrXVmPqNA3M/DNStM+RRAK+IcZheqMi3lJdSyrB1Kw2MwCrLbIi7wnslnXDnV+W
27S2mGiktn8w1eTs8fHOG2XP+J9HrJtnlsU+0acO8LueGwnLQuQgrvmAebKwtjFCp5laHGNJ9pBG
FssiKytFcfAXNcRfufnHuySz280CbA/j2YA2NCZ4TK5qVrV7IMQGNyaZeocA8NSLkSu0X7MX2R5j
JyvZYCqgA0lQTQC9vU4V34vU6cYXzG/FcfEwhGFRJD6CCGtmMyb/mvnpjjQ283mMp4BLHKSgMK5S
Vxd+3EjLNPwCWyQ+x215w/hIvWrf+amUwbWH3nXNwyt6LHub2eKoPLnCVRmxQ27bGUeq1/TmscyZ
+V0ZrbXY+NXx+LJwdvp2ZKdkUDlhtXKi2wgIMdXsUNOGuGkdvEdEI8kDGZhjM3P7ns0QNp8lF2fv
ZyhZUOoVYB4A/BnmyGDdNXvnPUhKnroa7uBhBdXJUczI3PLUmpLfz2tKro3pIpDm6rFDuXV7atBE
JlRb1ag07nIQPJvSlnyqK9NapocZX9ITtWgBWHOkLA8N6rMfOv5/A+R2dG/8A0wFUSj9vIDX7wVM
9C4ahx+VCP5gNlDh2uTQeDEPzJjZUNGvQhLm/ImbtKOqxwbTjTjONU/RzeTUKr8ahD089GIIUTYP
Y/himkzpVuLymLY6qmojpaaLxUI1kcYs8IoIbC9bT1rPKoQatzGQu/Kk9OWEB4c5xdc/auS0HKeH
ftFNSTU30wMKQxSXDOSnO/1Y+ZxW5F9Wi2KUtcJFS0H296fD/sv65ULcF55FGyO8v4SEE3LWpvPg
G3snITUCM9pSJVdBryuvauLdcx2GZ6ABg/FY2Qu9HJIz3tac9svjFHqcrdixKJbc5YIpFvySk8X/
TjivYhgeVLiO3XB8I3ar6dyPoFcPdUxDTpAyRvptjCX0sMwlr+7aaAtYxc8D/k7qk69/f7B/wZpp
9b7PP+z2TdSwvlap/KBCGcI4NRwjKPDAD6xVwnnqFQyRvKHUgZHMITcl3JFJtZ9x+84PbceEoU3o
wNN6kg9l1f7i9P81QoKr0XSEow0MsH0u7/iHd2S4rbH0PO3ZmbAyWnkGBNuOQdKLYjDDSYDVypmz
yc4RcNKPjaaEE8Mqi71FpjjEGtXozol25O9PlbYz/PwtYQelY6dtABFMmz7YHfokKtKmS7NDVIdc
vWXNSup1EUuv3gQq7RY7dEjRXlduwRYCjMOvwrf/zWcFlcni6ypgPvIuPiiGxsSz6sXu4oM7kS+6
iiqyhTY9WnX7BjlrEtOTRc0+ddIkhnkTLRVjWxXdxFVnPQVmb92IOqf5+senhX2p45p0tx6B7B8u
IJRyEdN4ER8qQ2M+0b2zU4cbGNK4wEdlpUSD0JcLPYQxxM3737+61l99/FR4eU//Q6dqiQ8gqIqs
rb4ikvLgzgUTg8xq54bCrA3KjA8kmV04EM4YOE+5HxlHS3eplSgE43XRNvat8GZm0isokXFy6PSg
qWljGPcqcmn1K6Qef5yu/06ifzWJZjDLc+c/T6LvvlWVmovhc5X+PIf+4wf/nEOL38gLCywf94xe
jweMqP+1ug/M31wNqmMVb3vMk/WN5V9zaFI0+C2PYcefPqr/392Hv3H7Y7JtMadmpkT+wD8wRdne
X5h5vhYVkO9hC98iC+fDd7QoHbWUjTkfXL/KZ5ip8IJABozOjQ23nNQGOyNLvCxTWe7GzmvDFaW1
PCJJtszd0kpYTklhYnZvVQfgM0HLaKxYufUYrL80yOBvR715wtlkbkRKl7kCkcVqqjSUop6ZwZ9C
UMLL4CjLIOEddjyDkUinQWXJsteS9hfmN/Jq1nswHoEm8tZleY5szYoSTJy38rI8Y7zaPjLvZKVm
XtZr1mXTdlm65ZcFXH1ZxiGkyjfoagidSapDCmvjGwv8+Muo93gTP/PmznXWY9tiz5dcVn6oBVj/
8UhCtNTrrWCt94Pc0orToHeGaQ2Wd9B7REtvFCMTbfCq1nvGQG8cMz/OhrWr95CT3kgaejcJUABW
cthErKX07jKQnGbLgNqiV2HmVQU6cVvpfaetN5/Eiobs59mGjktY3nV6QwpMvbwn8a2+y/T+FKYL
q1RUaNUVK5FmnelNaz4m/o4wC7Nby6C8rnwAu9vZ91jPyhznxrqiVUZF0p171rjKjbtHS2FR3gcy
Ys1rM5xsaD3Y/sKycF6mIrd3We8Ee0Y9GWviJYquuUunm9kxcXDVrMNcd1APiKaCDDo9ud2OMZrf
leFVW1FaD/5wV4ZFtVEkFO1FbN6Jvk9rfO+2ox8K/bu28zwzdJpuB5W5hK55W0Pjol20gUx9u3Lv
VFNxxSMtOodNVt2j8xPXubBfU7xDG2pWwl+J5QBvFEePgFtbgEBueRhR25m11QHYyrIHYpXN295Q
/iZiDHuMPVgAGVHXcEWwGPSkFkRLXaZwW+rokIWRu0PrlX+nxvxiRaGxqwUTamQThfXARR6vsE63
qFwt2GoF3DgrcMdNzhNx41Xufc3Vtrb88FSbRIqVQettjES9wV0l6GuCx5DY5FgDNuNdqoSchj6m
Je6t9KpgAv/GQyw+NkXSPrhF01zPVMZAiRQNppHMW2lNA3Mmya5gaLluuGxHEP2zvW8IRlj1UC03
mSnw1zXwZ7bsKinSx07Hq6WijveeKOfYeg6iYkp3KrRGB6yGtQgPdPeYxEnwMHpQK5r1bMAMeLTt
3B0fXTDVrli5zBusF0twLWxNN0tPnjT9e6ZRUfI6iaUEwmAR97Aj5JTKCFLOzOsDvwZQZL+GmMHM
VQFGA9Jb5LA5ElZtuG9T6FTZcaz1bL7A2sfRMMwU1V7SZg6PQ5qKEW1P2uPPIGsqc8BTkeb7nued
BHu3DHnl6zRCsPJzgxF8Myh74s7Wp3H8XsJq1sQOgns3uVGXXJ5k15nbif05owkrnTj8gFhPpLBZ
FQTk7DodofRzF4h3cNBj98X/I7iecxT2oL36rr5KYQky8qmivHP4Py/Kj5mJw7taJXjbo6cq7z10
vq1DELbdSTx4TG6n7eXx898n9S+e1LqUo4j7z0/ql2+SG0/3o77uXz/z50Pa+o3SnacpIKs/HsX/
95BGeieo601utLSaP+ND3d/4DRuhPNU1u2Gtwv9Tam//BugTPZzAvWzxTfD/yUNaP4J/KORtklEs
4lV4h7yIgB39c8vDN6ZfaPDdA2gRBofEM6+yGDb1D+fk7o+/78dArY/tQuCBzGUtHgYOtFSwpz+/
StRDOHMAxR/6rCK5cABMvQqmqAZsOLA18mhdigVoywbdw6+q4o94VLb0GNY8E3Ayp83nZP/84oRC
scbNg/AQQzclkl1CDh0mi9d1TdLsKAI+x2HZhCtVpc5GLXP6bTKYqG096TmbQlp4RHu2Ht0QFAyt
jfaqz+vkVgUZi6SsINCvmyVppHGM5E/50UPpFePm70/gvz0IoMd0qAgiuZA+nEFTQjxGexceGFXZ
20nUy6402AOlzImfW+5R68jKWUkaJVovy2TZN4akvLC9Z+TZpeF051U2u2qF+N4caE5giBBiHeTF
cQpJMA1YeDyVad+xPl06aDU6L/Tvj4FL9sdL7fI5BD7pbEEQYMe/EJZ/6GVZ3KK280FrpU5D4CvF
xWoa5Lz361/hwD/2QfoTD1BZkN7mBpqZ/fMn7mJkKxuLV7rkXLNb5MPzgvYK9Gx7T9hx+Ys2/cOX
6HJkOnpO6KUmnIMPbZ9tqarCjcnrxam8546iVksP1fkfnz+BrASmcADj3PnY3YWS20UxGsFBEi2w
h7X5vXHC9JCr4OnvX+jSvf9wU9DH49qIzBFCcl/4y00hY/BFnIsXHGxETsfFJ+g4Cblm5pkPbi4d
dP9WQp3JNjh/AHAdnJvCw2qeEf6boFo6la7b3stZ7+q8gVDlBoDKsBoQEh7igpTZuiADNuXafGaH
Ws1rJugwCuNsZLJ6CXOeGgFmJsCgpmxPvY7ekh7+/iD/QKb/dJS0QKC8qVd9eubQ1aOvH67HCIhM
nyxyOhCHQM/ApO+ISEMd4U3mu5pR7spz6u9o0IyNm2OI5eLNDkWZ9WS/Nx3x0FLeNOBrWHBXzqb1
KopdO09v3HAWn3xiCF7d1qOEGu1HKyzBckom0muJ+f3JNvNwlwBehtWQTM9JXNmbKk7nPTgFKxvi
T9zO8oPXue5t3NsuLsm6PvF0SQ5lEyHOi730gEEbqhyQsi2qGWuvnDp4wqqaHTODIVmFjwRQQBx9
SXjwrElNiI+iWYbbhql4uxoWX5wpFgs8fthBm8EWa6Dq/ZpVO9SxzoIXkEN3eOlUtS7aigTccjZu
3bCZv87AEFZBkXQ6kMbZu5HIFIQBnKbgd6g+/UWAvHDMp6ZX5SvU1/w7RipSDXMzZC4fygStwliz
aoKKPr357LY3fmkjawlD4nRnHCRoGL1br8iJUA9SBJpOmY63fVe1v1fggT+bLdjUiR1qEuXfjNwI
rkE8Gtgd03hr+PKqLBFDFtA4cPiHx2kwqhtsFuzbJ2osAsZhqxl+tUcWedbnc1MXWbN2woDmsh7B
2pbOu4vmA/FNYh5jxENnETXzs1HkiHqxuSw3Vm8gKICBTAQ4zxc01KMDUCwMjv0inM8Sb/9dxnmq
jp3Z07/6iqGL2IHj4IoYiELuW8f5XJOvtMsTG51AM2G2qe1KPlez6qFw4ftk5aW5SXV8GOd+lyTO
vR2VPcupZjh2bMDBsiHw0mamr47kM5ee1dzPsrhOSZeCzzTkyKcLskqiXGIl7whBM80rYEwoZmIB
ZC6c4scqi6+h/31Kptk8JF1nPkTWQkqe9F7nLv9sl1W1GaXK1kbmIYdhr71zpLTO/tSPqI/JPAeI
hrkKIdKqz9h2kxCNdojRPLeonu2ORlyJrJ5OBiyTfQ4ggWo/iN4Bms28mSmiQ8nFOsm1iprNwMDF
NYz+hsdQzrCc4Bt6hZTZXuzZe6lg4roLNDwiD8y1nNz5czYqkzWY8gNm5G4AQcDOmtuFfojblLLa
0zxb4pjQ2B0sJzUPfs3XxTNmmrlV2NpL3m9RMCfEkMFZW7oEEq2ZVV/kIOK3DDXNV89X85szyPGq
DILhmA9ApZneiTMWYGjIMCzXbmQOx97i+2XMOSqtYp5jB6mqryzUVKG/tBuLCLRtacYlrJdlehaD
We0c006OhHcRkF3UYp3N5EiwjUn3ltdW5xQHAJZGOh2cTxBdoJI2GzLM2quwoRH16n7eGx45wa0i
iT3Khvn70MmxvjHnmGiahqJgGUhEljqKvcG9vUljnhzWQpKvbfbN1hxGe8sRyytfZyiP7KJQ+BKf
gVhbvS7hKG5tvqg3c4pId0PEEVp4Ewf1NyjEUKELcwEHnskvic+eDBSY/5LQrUCK9lnTmNQXRGUn
t2jnqU50FH1dsxr04jDj3aHHaungkBpPppc/FLFo3zLIwJvcXMZNalAXGi786iK3nCP9PAHzrEFf
6o6I9DaF1L4YiXkoMjbameQgSVrDmQCw7GpBvn2YZ6e5cZIFcLci1B7FFJQYdLvYqGpIs6EcOHIg
NbehiczB7R3W1h2WTxyzMYFMTQQpUSz8jB0W6hUZoruG5Mw7QQ1o4lTrOCTDI+esgydCwEOeuVsn
TNxbixsDfHeV7pvOXg7w9Yp16IPqpFZx103khSvqSEnGH9er5STzd2rg4SVlB7Z1aru9ypgLYs9y
hb23zLLdA2shOIX+9GHmBRgcFzx5F+KxeNtz4n5ip4Y5P/KS7sH02VREzMcepMnSUmJtezMJ0VN4
Tvb+0NZ7BVh7XFEvOid3Mvddy03BYviCCLwF55e0EwtCGsmhyJJd7UQJkpz+yYo046Xr0pWbjy6E
ePNORlU4AJMk/k02RF7tOf1+/kXCHkjOkv05joPZ7VZsmsFKdMSlb6TDbvkcEurYcGedFSstFgzJ
zTRewpMuj/f/Nqy/bFgRN/1QCf0loRnQPtmNP4+VHffyQ392rO5vNlkHxLhQP+upMrPjP8fKULPI
bEWwiAmFyvpHeTMxGZBnqRpNMmWpHnGU/8naQvnMBgs5Mdf0H8rnfzBW9vXr/9xI8PIOLatHW+xi
hdTl+A+FWzCgsCBOzKJnxdCJE6oOeLKh7lmquT2no7OdEP7MVYAEqNdqIO51RJRphRDboP7GqTEQ
cAdwdq5P5MpW4j+7S7S+CNt28VRX6IZWtOXHNuqeSKhEkDT37WfM0LlMYU3K+BkFSPVidxium3Lk
OTPYhvzqQtA91QmFP+Jh93NlArxaT7ZyPzsNVd9Kdw8vnVcb32DHTc888Mrpm44X8rOrVInxJqn9
rYQlH8RTdjKzvMHLNETV0+iImJ4sNqC59p1tWdylawOCnctAe0mqYdsEPNR9CteVKtNWbHzbmW4s
ORUbmSfBpyIvAvuk6GA5LbVtH6xpjEGEWWRo5h6OY3YF9TbCveXuMESLVaTy30W5VCceGIzsgkVs
XETFbzJThPtZkaDM45ZYRM74ArV2fkCibFFhKp5dBLY2d4B3TH8/aYG4SQH2zm2bRziTzOfEVAmg
CpAfkI+H1n9pVDqQPepNrMkWuTCZm7IIhUAUaiE21WRn3wJzZalouOhAZRuIz30jtNa5GJt3EYsA
yzGyP1zy+ixzs4tXiDitpzBnvIMgndY2RuzCYBzmJIpOp6AbkVrKqhwHlo/fKYSzDm6NchvQPaLK
TUIW0IZsUSaOZC2dLGwpOIH0LwvGjgziG8YDq7an80O5WmrJnzPn6Ikqem+8cQjU3a5E8y0CtHpu
7wXnbtDZpkVC2iyMUsTFQZ0jcKg6NNQUlEx6ZaAlF6GWpdqWy2GATEz3wCzJSp26EJmmFvo1E3qs
vegCma4wvy+nsAJitZpLpOJ2jD1tnYmFA/L1ScFAyYKvyxfEm0Yw8wZGCETxlr0BZ7ccIiTi9CoR
WQnwF3mkYF3cBGznxSbw8XbdRIMWjKouMuNj1wys4eM6674i+wDZA3Fq0Tdz/tqEarbYE3+GNAAo
yUA0Ac4Y/oMIKv56WPP8OmC2sKzQM3AG5TjxO0vL8OciaZ2otlHDKiZA7CdIuTCQ32HXtM074Nbe
+fKKZFugoRgMVMJ0U1ybLSbkdJ2RyfQyyhwxiSNcdLlitIdlT6EqPpvU4UjW4gm2oymJosXKQyKK
O5GvmGauuL8IbnOnBdLHvpiIPR3L56xbW8vyY6fgsGYqvzNLb++V7I3ZeLm8y6Cgyz8UMxTvtWO5
vFm38bjKDBZvN6EkxgDGj0LhqryRzxked7s8Er/OEKou9EeKCkGfE51+ctPNoeY16eBaPJ7qJpy1
0uMPdThgS1LUai3mppFM9/5YcIciNEEeRGla805rZL4vi1aMZ56hryng6vUqdo2g3Nf9MNYn3yK9
Z500+YT0Iu/GTRdSnqjFGx9MbVsY8A++O1xpDpuM3iIwJalKixQQohC6gI6kcYMZBYYBOlvZSFj6
soqRokvla2hQdMrCOXzhw/SSjd4JPmTJ3KGYlqp5xxiiIgAP9gS7KnT22RiUuwXH8docYi1h69SX
TOcSAQ3ia1GExfQYeCD6fFtyYdtylBwMJ+DsMSfg6Eod9bXULoqnbpQFHPKwAqLFKRuWw0SrfxjJ
bfvSNhkjMauqCdwS0YjixoZ9e4yJkj06lT6/hF5GLxKj89nr2xoXn12Ot6Plii10DJtusiNv0iaY
C0AwI7ijM2kcXxEkyRpOQHxfWU31UAwYvoiRKLJ65dPOPYf14u8Myulvwi+dq0h26SEbAutr4frL
SxD3k7+DkEgujPTSbw70pKfedWfMchWUOEaK6zo1npF8yBd6e7Wp8KIBWw3Rt8PqQu6IR+Js0czy
e1MFu5w07ArD3DdEsmS2OGAQTyyJEEYOmT8LfDeR8w7VTZ06WMHI8Zg606jK/JrgG3fjIm6ibpw6
Cr80WvyzG7c30pPlN+zhidguAS3rappbHArdFNwwhHpAO2tP7GUsR67zYFDWuUBO0d7T/SZH5rtM
S71ptyAR3ag2b67HvsLeafTRXTVI7iazD0rJaPoHq6renHiEWdGFagEC0afOuckr036OGqd+AbAv
H4tR3CXu0KIA03qXWGGKxhv/SAQOuc2gsYLbVgQmG9eCriZOzLfYHqeTiIKnJba91x6iwb6GLyf3
7ljVId8PcmkOg5yIzXPGA4Eq+Gca+04pMkO9skncbWEmJj6ABSRj1HbmvUrqejvZpBcVmbRWWPgk
cSMDidZbPJCVuWExNX6Kmqks1pbo3WxHQm1fHqB4Fv3asASRGU5br4PJ7J4wIQXvqR2aikchaOqe
4E6E8EZzHDyHqxqDx6eJx/sJJmR/09nmp1EG7XXDdLpD0Do1Hk7GqDtjaQVgw1DycQ4NcZqnzLon
r6n7PsAV/DSHcd1+njqzGO5TKBgoYYhhPsZFXqFel2/2vET3SWJFm9zLGY8E1nQeOnbFBcvoAc3i
Va8c45bUOm+LVD5m4uCX34punM7tkmbbyJ3te2Skw3uQetEmLhPvLmxC95bZAPSyvErKdgVrqLnx
jSi/xo1gVxsWoMa9yGt344ueKKey8FeD8KarRpXVJybQYu3WzXPUN+ZVbsqXjkfiFhGmC5fRfLfs
+JiRrn42Zle8jWNMQCkhqHJtRcraRmTMnEiJiG8dhg/XvS8PQc/IJ/ftjnWZRXvt180kzmPSCY4w
oL9LhFPAhrb7joefgT2KSwWSwLkkzghgufUaZcJfxYVXrqRNk84Iid57KoqN1QxcB3YjoDHS1sVO
GC0b+liPLR2P8F0oHBOttt0490EsPLwJsnusJXz9lazIzcTFwsZ4mRDOdnDlJKHWTR8/e2ZrnSrA
n6g/J/SmDDXAE5XlY0ooCCRsyo+dXVnpZrJJmdo25mTgUPfcdjWrJLkrJ5zpbC3nJxP0wWlWjvnK
bpMbFBDQa+5AAypxQH6brgzvnY5E4KbqE/7VFs0J/FKLuLoshvVcqXHLVhLLbUIYxlUvsv4+TT0a
ucg74tlHbEzs+DPWrsjDGd2/JH3CwKRkGuJaYFDjaYifhyZsV76aINO3yrnymnI6TGaM1yZMgh3T
Rj6HTmYjho/ShHQU+L2HbpzYWL4JZcdieXJRkyGfpPBKQqw8flnsmxGoXhNy4AMsyscoq/2dIm42
Y8BijQeSk6Cza2RLEEEAn6SFcNKrwDJkCZqQOVYn8nwEA5pk7k+TFCRv2fbk7PiZ6ZpQ2yRY+9xv
vmZt731n1Dlu09xzlwMRTsWXxvdx1cgw2ha6tGpKRXzwMDM7EkDi10yIPcgybbPNyGJeB33QX48N
lO4IabZ2r+sALB8Ud1YONws+SOeZ51t+3VWFkwxrlBvg1jtQFyp364e+nGLvoYAoiwzdCOUKJzRl
QTWK33PLNuNdCCOQL5BJLZh7Vo6/cXoEUzGdqxwRzNyTbL7OVBCRGz2M1zZLfu68sxODchhAxi4O
w1vyod5j1DkPSzSC/izjZNcCjzq7ynVvWmKf0UK2rbHpa7e/IpWiO01Iy/ZBlU53ltupp2Qsr9qx
PTXBMm3a0Aagg0vui8fdcj90rbyyBjfayzh4oVAbd4xkNoMvxT0jq6JYEUufo2SZyri4AmpEYGka
LqD0UK032ZpdAdkjpe0tD71jNr9PeVkAuwLPREQVnqSVU/WcECdaznkvjfLLPEzqzgjn5RYQu0y3
cZO6/e9B1zCQnqvcX8m0F5G9RyXkGMeI8Io2cfyH2ipeG/w4yYlgHj86O5X5uRvD5noC2gNkiGvh
iI4x4nPO5pysoizxH+CLoXFJMYaEckT1UkV3tfaMaGO7RPHqNuProh0lwpFB7N/FdtPe8fQ7Etil
3Sc/dPL/Zs36cQ/FDgrtMk174ApE+OLD3os0EJvBs1kfXAaANB1pRpnYW1g1j3//Qvov+nF1cnkh
BGI8EVBh2h+3kYGkmG8LXqhIGMfTp5blluk8tRofg7aCadtxjCaWUGtuuL/QOf711dntBSEaNgF2
G9HXz/1/Y8z4uWYQvDJr7CdvHBlsolKmlCCBt4ak7a28zqceNMaSCv7vD91CVPfh2ANT2OS+2Shq
0dd9OMmETBpRHUl4ysTFg0UYY+yfft5iLM0UHRR7cA5+IAP4BCCMcsUkG4MeoIr9ghX0ZP1iW/dx
2Rmajsta3dLZpCD9Pr6fOBz72Y5pZnwpxXF0GD+4KW6/ZcbcHErrl2vcj3vc0NRedddGMGDig3c/
bDvh6M2IllV9qAA9nruEfg2GPpeB0aFrtev+C6I9IW7iIejJSGCJHs1rBHhJeZ25GYa3ixieAbeQ
t6XUZm8Sc5oraVvhy5DgAiSQjStJLFVErV566quJLylkiiO65dH2tAO8nbAjpH1Pb0GU2efaHcbu
EVKZq3ZLZ+H4WVcemupPRGoCSI2CiS49jnDrpk6sHWk8Jp5KH3v0WMzqqw5s+B4A7np0wpg2rmsV
f54NdvNuYqmc4MCgpNIPTJOumgnv/YKaTAFDoVvcB9CIDjN/UN4KbKLeXmLam7bKCrAZ6wHIxcp4
uQr/O9781XiTk84X7j/rcV6/qe5//u2M84+f/HPG6SOi8Tyk0mCB2aXrQeafM077N8+1kdd4CGiF
yRT0/6Wz5m+IV8jhDnz0PGAwufT/nHH6vyHJ8fTOnO+HTdjYP1HleMHHL1ngaBUuInuEs5fc4Z/v
cfEs6PGzODmqEnteHVQukZl2o05ErIpNIfQ0K+8d64EvFpOfGI5KOhHepMufPJEGxTlZujsJe+kx
DPgzoVOELylGvT22mZiEI11R0RK1O8SH1FmTLrkU3R+pdVkf6WpDUJWFDFGBN+WutxlC1kP4sadD
C824wvHEEG2OJeyaIH62KoUnaHBltA69DPvR+GJdKkMBTu556YZlzSExqhgMc9PpWjLWVSXJ2BSY
k641u8ig7FyMCC0i7mfGZWBn0In4VKi1cZ9GTaY25L2MB0kfdb2Mc7WadHW76Do30xUvW1pnx0gi
0WxJr12Fiz5yBjFqa5ce5itdO5MGQTWcgIx5jBPX3TEqRdCq+M+4hK1TaKXPNe3JKg6oygMxo42h
cDNadJsxvQh6zFR0jzmzhbuotpz76FLm15eSH+gMvp8iMJZN2EchyMQBl5vuEzz6wA3vOd84ihZH
1MQ12obv03c7r32eNweLpsPX3YfVJ7cxt6NuYxPnVWx81sxr4Y5iVRXxIlh9ygFXbOV1q8AjjCoq
u0OId/hZKNZxqyZdrK1BzBVr15n2SCoIZkC7+zOg6ENHE5XqbqrXfRU7vZeoms2rcJTPRA+IdTib
1SeU1/OVlVAqAjxKkD+QuWp1LrLFOH5QAo8i9VtdXONRbG+KS5sXAubyV+B+PCQLyrvLHSNCieoP
75GM7Pu5rbOtG3vTeV6ab92lmYQr5G2jNo3vFjq6qymkZso8PJC6D0VQAr3Zoq3sK264ltO9xaqu
GKr6+TG5NLPjpbGdLk2uJBfxkzm2/XeynK17Wnj3pIVsj7knsg3cxZ5qVrXEScJN62CFlPKayeKn
EfjDjdHA/rJH85uoSpQbY63WhDC1x0F35YXuzzHgks1Tyjl4Z6HQPy1GDzhtiIqt1yIjWS+XVt+8
tP1kVEPvLKpx/MSotzbhyMGO3yqjVWgg9Oxg4VPeuj6O2FSjPe8HPWXI9byhaVl9kHY6R/cD4whA
aO+LCt9hlbEad0JWFWZJ4KWXNuFasK+W+0GPNmiovFdW8094Xr6ZYOmBnulRCOs48+AWuIJukwJ2
PowXZqWJZx9i7owP/A1sDRyV3Kg2PSGSGY+khpcIezyRTOs+VqN9rS5jmSCCXsAKtHkvL2MbqSc4
0lS7TM90Bj3dkXrOM18mPnr20zMEosdKQBXowZANnqE89OQThvREc3aiRSXzIlVM3VcTgtZr5TrR
1nfq5JgQY7htG80n8yF3W9glX4UsZ3fVLYSc+8YhJkdlnwc0ApFnGzs3wiwdmvO4q4iwo/Ms8reJ
efymzNrxFEBsFVUHGRMgCb2CEvkKs6x7j6yfMHAvZ1I9EkIYDOgQMrBqV1nuLJua8mI/CAVAzSrj
a9LQsDb22bI8Ufq6R5f5+zWzHANTPkON4tSzyN+UhcJykwLe3pK0Xu6y5uTN0xt+B29TS2UfpyVa
ti5/6kRsVX1tFU7LWlUYkyQ6rbVNdtGu4x9zD86b97/cnVlz01oWhf8KxbtTmoeu4lZ1PCROSIDA
beC+uIRtJFnzZA2//n6SbYicELjI1Z1qvUGS4+OtM66911p6mryTzVT+QJ2bM9Y0/AQcVXRKio+b
+mLBQVSHW+t5n7FgQo2s0strUnRU76Vbcj4YFuJLgA+LqpvpTCJ5cl4121u/seuvVD6htbLVdUTs
bBgFuhsXpGuypbLQkokGvxyPPi0UJxGVAvNFUPvjiFPva9cv/mJjQUIt9/GKbdA4xqsgGjWoG5Yl
hUaBmy8RLZF95ET07LUSLHD9sMX3NiwWzBEC4dolTT1OQ2Nz4esjlBkb5HKQQjmHzWLASohqJHhG
20spDYW5UJOCX6BfNNdKpZqSXxSutZwqAsguxiyLBQk3JtG8rkLdBZzz7xZaU4/1zNYvytjE9nuR
ul8Lty5aXrIBEhqz9pbi1p9QxZfME1NETndje8lEqOS3qRjhClpJkIeZojdObLu3rkD6z4PuP64b
z5yokiteUVG4mJVFcl0FQTIVmipbAS1WYzuI4dH6Poi5TDlMUyjOPG3MLwbwzdxW8QUwIV4UXvkl
CJRiKoi1iIkJ2w1WBnMjzezLogTMDhbG7ZZSOmqv5Fs5kNCQLLbquxLhnlmKVYNdb+4KIRu9K53N
24q4Xi0qVWI2+rdotjazChcgtkYXGi7ld5k2Uxsu3ApCIiF37QK2BhmbPyEwcsUuiOtdQvm6dtVs
8hryKTT6CEpII6aIwLcV67kg15Svo79CLbsWGg3ivgszbt4HrmCOPpVdBbwLht5MqMtoMf2uSB4P
F99XpjrH8foStd/3qo7HMSX0DUeZDFuE261HVo0SNnB/aUN251zAQHhdR2KlngtFk7yR0GR0JjFS
JR/luKg+YqpZXen5RrwukjC7SOpRmY+3gV5pY5Q+t1cUkpQs/X5IDLhJXNaUak3FgBUTZ2HNqjfG
ZsJ5Ditl/Gplkhl6cGc0hXsVCDiRIY86Rfi8nNWSYa/w/xpdZDlcnKw2EpzZE5HCp3yDXknI8uol
MgHyapJRCNDZ/1GwPZ3oG2p10tjLOHQEsnLppg3eo0KjFtS7FSJifZiRl7g0xzJ+c0XgTHOkeUW8
OOqC8hh2LmGmQtvGtbp2DISwdeyCGo/MXZ0hSwULPdsW8w60Qht6RKVigqGNsBAKrApkxXwjqiMt
H0d5k7gzBB4RVDHMBtUNuYC8guzx5wx1CUjLG2HzznDS5A7hCAreTK3GBJfbEybWC/zTDUG7bESn
ArPzqi2KX3Wqc/FJ6/yjb5rmZAGV43WwMQL1HPfx+lMju8pMy9QLOYf7cu5C/q9bjErm790F/Bt5
S6qtpZeP3MyeytUouFVqjXQWJ6AENjc6ZnMISMJHTEw2CBZDZYGoImNPEddKSMLJy4Wxm+b5Jxbv
ZioTpGsSvF8UHCWY2KoQnPNGgWZ8D2CABKrnTMsc5vl5WqjSOIfNhMqy5gRvQqS6KQTynGKaq85N
rJYxyoBB/rpE4GCONgaS3iEabu8yPy28Kd7Orb+vlk5NXhrEZ5xjJ36o1KtqYTh/mZy5/5RqTb9e
KE5I9gSqNEIjHM0mGH/b5k0gqOjM1PqnHC7cx5raHOqfVGXmjygakipVmKeA8BjgbTbaZxmRkXIM
IsjVVsZaMvAl88anjHAtjRbkRxJXtFhP3Su3HGGykSjapy1i7PUYHR19MYOp7VAwKTSw1im4oZA7
l+9A9eSpqpV4NsAOnXqKa16AMBZTtdpurxt9W+IcaZd3mU6N4CYsAQtVTHgi1CasGpJ9AuU7wnXZ
jRAKjcWYq7e0zSFjVcidLPIEoxUHs/atoK8kCsxfk8xvbo2kid/HJVZuY9bzzVcy7dkHMxT8T7Yo
+DY4+8a8ooJjcUXCBtvVeJHMdMbrtZDY2ju5yctxSZ3ZXGpQdBw10FZFXYmnNQwzzv74a6jqgowk
yR+PpTkIZ6WGWwU6c+G8EoDcY6RwPkCClmcjIZ3mcQKNzk4RDW0h100LvrJIbCHigr9H+hYDSIRl
bmSqO3DFBbj1Wgi37tBcrwV2oxbi9Tqw1+WMgsVZwgEKKNjpUGEMjgCIW6h4m0flCt1u8OO4hZK3
HapctgDz/9f9fw9ktNVH0zB3sfgo1ml9t0aBJ88OxT/tT99G6DF/iH7vl55u6AV6qHzyTxAF+ONt
gVEPUeg61fX4qTawyHTzYrV+9VJB9dEAE6XOmuWPBzTBR5xw/2MonjB1W21to5Vq5KPuhedHAXj6
u+0i+fTv9Pq+jIowb9+A7UbhfbaS1Gp3/8q3P2rh+7eXzTMVDFJv8cDuIZz3v71pwmUCz5CpFeie
3Qf+92NgrQIq6vH8Td1l3osB2Ckw769E4aiN71GAVg0WDSgqU7XRPkdR0NUzECiBQ/Y+CuC4/5OR
cPQNdpNkvnr1klTF8CigJg8wZsB23r1rqgDvjwVSUmjKG9AudvF+RoMAcS5p906W1b/sdfRtdfoH
CwFTAS0KOGYSdYntA0DY+/qiSAHlvgbymb1+EaU3ujtoEkjGGTooiObs10Hz6PUb0pli6DJ5I4SI
2me38j6nUYDuzy8uiEcT6d5SwGovQyiSNeHRSWAgs4DyJcUzzzYKEA92O9WAuaAiaowjrgATr3uO
5oKhnYG7U2msgJq3z7MbC7wgxu+gCSHrZ1RRk2cQcYRvH5a9/oJg4kMMA008HB2e265AclEZvDfq
Z0rHtCNv0j1Q7XpR6HYFDTCyqx/vovS89kbS3A/yTv/4lCiciZwQ26z17jmeEOYZHwMHhRrH3fPc
xoLOtj50QmAPQ85IbVPo3XM8IQRMZ1pJJ+3ZLQcSrJjBiyIHhLZEQ5X3W8ODm4LGTUGVDX2/av6D
Y9Iv7KLfrl5jx/VX3aXLXWeP3c1+9AuHK8fDn++vG7uT5HfhoO4X2zvY7rO/38n+6O2f3ZXo3g8P
V6T7f77/gg8/+tFOHf7z0l2nFhw0SmDb6+C+m7dWwMXt3771xep7zkNgYeR978mrl71+3hv+P2n4
yH9RFBTkkQa3ixF11PcmEE2FUTm8Yc8KMys7tNS+RgA/ht/QlseW736N0iPK0W5vHdw2dfKptYoO
vWx7vVukhrcchutl7i6L3k0R/JcZO7Txydq3SitdH1pqu22gZnf496OQxbdzyFPj7nC7fRF9fUFl
XBF86TO9KBM6wSiEt5m6K+vQ3W6s7G4PQyNzsY6gp/VbZqPgRD605Usi7rqHdrou4zTKdja04fnK
cnoDcI8oDW4XL4gwcvszcncMGdx0uHKto1WkpfqdIBhR2X95SL5w2Bva4euHa5MmSieYL9f0rFh6
9aGL3bhoD6KH//j9qfg6gnP+IMwmV9/hbd8g7NpbPVo5oBP0+cZCFdQKV4cetuGQBK7sh//4/XDc
WFlmLZ0iW+d5b0xLSBidIiTu0nFtq49tkjI+wQy/cdkLsijvjWyJG9sJJgyiz9Ta43AT99Ym2H0t
djR03rStR0V63PRJOo7q1dEaQkGsYQ7v9FPu1T9G9H9pe7xdb63+vrU/1A8N9O26fHFpBXHmuP1t
nfbNE8yetv0fO3kOjkr54mZducveNgZJscUDTxGZz3BXDi11S8oObx/c9E/9uoYGpvuAieUdz324
8Sc4krxx3H7EUVM+wSL+xvM5kfRvNRJI3AkW2TfpGquP3qvcJQ2Gvsq3PxG8Hfgi75xotX4xzx7s
bbrWqiUM7f37qPiBcRwizOIJXunuAx4OxLb5E9xHPhD9dZate0cKeYcBD43Nh3XVv1XKdPoEF9Y/
c8s5vLl2Tdmnb4Z29wk9x4Fj8NGi9L3wxsCmP1rsO6FNrXQvIjvkdmhEflpRP7TzbraM0MPp932X
hhnc9xod3dDuRQXJ7J9uyI8hTd+y9g/xp0M2/rE/64Nr7W8s/bWV/vE3AAAA//8=</cx:binary>
              </cx:geoCache>
            </cx:geography>
          </cx:layoutPr>
        </cx:series>
      </cx:plotAreaRegion>
    </cx:plotArea>
    <cx:legend pos="r" align="ctr" overlay="0">
      <cx:spPr>
        <a:noFill/>
        <a:ln>
          <a:noFill/>
        </a:ln>
      </cx:sp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chemeClr val="accent3">
                <a:lumMod val="50000"/>
              </a:schemeClr>
            </a:solidFill>
            <a:latin typeface="Calibri" panose="020F0502020204030204"/>
          </a:endParaRPr>
        </a:p>
      </cx:txPr>
    </cx:title>
    <cx:plotArea>
      <cx:plotAreaRegion>
        <cx:plotSurface>
          <cx:spPr>
            <a:noFill/>
            <a:ln>
              <a:noFill/>
            </a:ln>
          </cx:spPr>
        </cx:plotSurface>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plotSurface>
          <cx:spPr>
            <a:ln>
              <a:noFill/>
            </a:ln>
          </cx:spPr>
        </cx:plotSurface>
        <cx:series layoutId="regionMap" uniqueId="{B8912C6B-1245-4672-B8E0-91C001B9BE3D}">
          <cx:dataLabels>
            <cx:visibility seriesName="0" categoryName="0" value="1"/>
          </cx:dataLabels>
          <cx:dataId val="0"/>
          <cx:layoutPr>
            <cx:geography cultureLanguage="en-US" cultureRegion="US" attribution="Powered by Bing">
              <cx:geoCache provider="{E9337A44-BEBE-4D9F-B70C-5C5E7DAFC167}">
                <cx:binary>1Htrb922tu1fKfL5yuVLpLixu4FLaa3ld+w4TpN8ERzb1ZMPkXpQ+vVnum7SJDs756bYuECDooaX
xCWSg3POMcaU/3kf/3HfP975n6LuTfjHffzlRT2O7h8//xzu60d9F450c+9tsL+NR/dW/2x/+625
f/z5wd8tjal+Jgizn+/rOz8+xhf/+id8W/Voz+393dhYcz09+vXVY5j6MXzn2jcv/XT3oBtTNGH0
zf2If3mR/98XPz2asRnX16t7/OXFF9df/PTz19/yb0/8qYdJjdMDjKXiiKSMc4kl+v0ffvFTb031
x+UEY3nEsSACMyx///fx2Zd3Gsbnd33zm/Wmufv4+bfm9PuM7h4e/GMIsJzff3459os1PC/x3k5m
fNq1Cjbwlxe3phkfH366Ge/Gx/DipybY/PmG3D4t5Pbm95X//OW+/+ufX30Ae/HVJ59B8/XG/W+X
/g2Zy3ff24UfQ4aRI0klYZSSZ2Tol8iI9IjDlZRj9gwM//jsZ2QuH5ef3lnfffz0/x2XP0d+hcrT
8v6GqPz6X4wXJo4YxjQVmXjedfElKpigozTlLEMMf4yn51h9RuXXu1BDthit+XFcPh/7FTJPS/wb
IvPy1fd24QfjhUK8ZDzjlD8jI7+FTAbgQYr7HJKX/rH6K3B8HPcVFE9r+htCcXL+cVe+lSh+EAp0
hAnDPGPPmQuRL6HI5BFmAFSapZ+g+hyRk75vjG0gyz9/+q0Zfbuk/DnyK1Selvc3ROX15ff24MdQ
oelRxoiUKMueYfkaFX5EGSWMM/6p4HyOyutHY6B+Pz5+b0rfhuWzoV/h8rTAvyEu+/9itJDsKJVp
ivkfBEt+lbgycsQyQRnJ6Ddx2ffWNw9/gX99GvgVJk+L+xti8uvJ9w7mj8UKY0ecSplSjj5lqM9p
MWQwQQmgJr+Nya9NuLcmNH+lyv859Ctcnhb4N8Tl9vV/DxcqjyihQnCSfjOHYYyPuMgIIfwrOnw7
3tXfm8e3E9fzqK9weFrQ3xCHk+J76//h+KCZRAKq/HN8ZF9WeIwhgCA4RIbSj099JsAnD3e1/fjR
DxT252FfIfG0pL8hEvnL723AjyFBsyMpszRF7A+ZCOz280yFUXqUMpFRDvrx83KeW6gbdw9/AYs/
R34Fx9O6/oZwXL75uDPfOo8/CAckKJB/LKV/FI5/CwwOgZHSTPzBwr4SI5eP891fqeUfx32FyNPS
/gaIfH+Kn4uAL+78Ua9LHqUIpDuj4hOR+jxUpDxC+ClQ5B+OCvt4Lp5T11cO1H+e1n+oJV8aWF+s
5P+TvfWfra9PHmFxN97tfjcXP3O/vn/19+WC2fnV0O+Itz8unTz88oIwcLA+A/LpS77IUx9l9vN2
fzbk8S6Mv7wAh5IfMZD8YFJKAeARiLjl8fkSYUcpp1mWpUyCI8OBWRvrx/qXF4wfEU4kjBNIIIoJ
lKlgp98vYciokgkBbgITIIbkJzv3yvYreAWftuOP338yk76yjRkDGKoEiId7vu9psilKGWQEkQJj
IaB4EUFw/f7uFbhAcDv+P12Ytm6ZZHPVdpK2MqcYxUH5quMvZekYu2Z88OFge2T8vizBqU3VMjc8
78rZLvFyoBw7JbqhU2FsupG+qrM+6eOvaTYnHcp557Vys+mOq82g5WrsB/SgkVvQokQwTZZ7XGdI
kQnbqla2Jl02H6xk1U7XQ3uqW4N/o5WprZJhyD4kpGvyyLPqVHRsUNZWWx5H0b9Ks6U8VJvdCip7
9LLrGjvnhvJpUgPxulNb73yqNsqSW4GSD1nkdaHTpFWGSnHJ67k5abatPY8da07EnE7vl3YiO4ac
5MobXr/yIuvqIti4Xs3TVsrCkUX7HXWwYpVN25jtwtC7QqK6PhvKbl/NTZWP1cI/NMs83oaZ1+1l
SmJShMaJl41HbFFrE+sm7/ma5qOo61qVMspZBTQ2641Ix9EUgMT6tlytUQmS86TWWFY3kElKqYJd
yy5fYfonDS/rs22J8S1rGpweOIvopDJ03kneBZMj3Gq8FyOvKyUa6n5dffR5VQ1tyDMx69MkGGRV
kmZuynW5ZS+zbhGToj2DI9FuDWmViHXYijYNwRe8F+u7cVoHfgUrISgn3axjIfs6Fg2a6C4gz5VO
2vo34Xu2q6umOw4Nm/ZLRXmRDs1UTLYW18PGYqVM3VUFWUd73XHtT1fLSoX0gK+TVC47M2t+WjKx
Jsr7lD8sTuIiQtBcCoI3p+rV6rpT1SozvB9M4s5Zhdr1ApkJCXdKOrZkLpepCVm2g41gLtdzbdwV
64banmymwUwh2qyVUXXWcK8mHdj5UnYGN6o2OMs65TCjrNAb7N71FCrAasOzuNHONEshkijdm97P
YlCpDahYa8lL5VFtdU5jFKHgpAr2tLWll+fcVfWDHsTq8rYXnVB9turkfE6bKuRlFu1lSLLmfDZj
fcZLs9wRXXOnurBMu9UZvZ7Eaq3TPFhivEp6jurjte2JPZaI9ViNeB1xvmxVMh4jr8Ue2irNVRNX
vOX1MNetsr7UENllJkpF3dqMhW/ttOSudPN8vm3NNBQkYTS3NaBZuFnPOEcm8ZtqEyOrK25QE3Kv
Jy0u4qaXyz6k6OA7MRV1RasVThxL5rwVLiv6RDSXibX9vJ/Lsq9VihH3he6z5S2BdsphlHGoThkK
r7Y4ttu1nJL7ZJMGYirhNuZZ2q7p5Whp2PbjUOtxX02rfRtLi5jK1ql+vW0ZsQdWOm8O8GFbKZmY
cTyGTLTesEFGe0JSPg550/eEH3pUk+VEtCU9odb535aE3aYTz85pk4btZu7I7I6Xrsb2xJdrLDKX
4DMaArrYypZcM7NAPJZMtnrXVpDN0gkZ1a1De9gizU7bJFu7IluSGM8jXuyZoMFsBTypO2RZGXY9
rsokbwAru6/c1hZkY/Q6cSua93Sq+4LLlpxZbuSOZm0id0njdF2wOuLXbmNNgWhPAOeOVe0HP4j2
rkVjckt9P78LKM5+5y1jEGsszkXSbnSnMU/GE19VLO/p1IYdr0Plz+AGNimcuKRXKeFurRTPNl2f
spCkROcrE6lDql17Nhdx4nVOAkeVSrmvqDKzm4+TwVO7K0e9VKOyqZ7YhTVuylRmyv41Xiv6Zl62
Xxkc4VE1IXaAjUHkmGeLuOZpg4tqLNdiJPVwIqQRaGe2kez6JC2r3MYlvjJlYJe9JtOstBcaXyze
2ott3Hh7yAZL3w5jfFvFOEs18mbDBW7KPsvnGY1BTXMbpwvtNL7cVhxe6da2PrdQv6prHOfSE9Wy
ft3WY03FKNI2Z0lZladDgKxxybIO7z/v731RiO+tW31T1X+0Vj/9+q/XVsN/vzf8/vzwqTP7528X
H1u6373r8GifKGD4+qYnPvXpu/5sLT5xmE99xq9Y0XMT+D9Qpu9e/IJPfcEeP9LUZ3IErPVTC/jf
2NQ3OeyncX9QKs6PgEpRDl0uaKZghoDSPFMqIFlHKSbgIUuaQt84A7L1B6MSGJQPe2Zgn9MpDAKV
khR8AgxdZAmt5B+iU6BaP2NTT0+EFpvkmBLBod/zxPY+Z1M9br3BS5c+ZrgcJ7kjjkFU5cjNzfYm
TSfX3bHEp2FvhjWsDA58TOuYJ7ZEHyrjmUlyS2InTmWdrlPRQQIbjhep+3DRp9olq7JdTN2HtBvb
aIuE876leSUEw48i2nV6BcVX9HfAOV15TzUd+GXFm8FRpXETYCrMpV6/rDEaF1NUfeo7p+ySan2O
xTrAlCut8XpGNDXtb0mYLYz5DNJvcE7oQX6xRxJB31iCDJVPjX2C4ER8vkcC62aqeZ09lpBA2+F4
1Kxnx5BbghfHW6jGZsm3xkFnv0dlQ8rn0HvurH/j8RgaCV8+H7gz2KOMZhSQgsl8+fytpRmkL948
tLijQCahpKS0VlKSZGj3Pi6Vh0pYjxWrVcKSzZmrhdE1kByzjS/0FAiUCR1Qz4F6fCnTbIBr398j
DCLjs0kKAAzYP8vIk4ErOdjvX07SoLEu2+jkPWqhZr1n1M/JDeFdmgL/oboix/OSzUbnSDNPhAKC
FUSn+g3hkI/URHHbLmhKbv6XeT3D85lgAJ2QgZaBoEFUsAxaml/ODKHBWNHU4eA3guqwI2mcESkm
sIAm+1vYjMh4bkPlliAVsMgaczWm1Yj1GRxkIGyQ0Ds3RnpOWDQtutJlWlX2eB2WIbWXZWw6HNe8
JDGQd2EY9FDtfEuYGXa6nzYy5sgiHnSR+RQ1/TmN2FJ+JVdRiWHfcZAd9GVpNB7iRVfVs4Qwmmbe
YKlQC/AdDxsXjQZC0gJRKPp+TqXPRQLDatXpRcCPqrcZGRRfO8HfE+nr6aT7fTeXWpM2zWUS10Tv
lpkkOjm2JMv6S0Mm2G4METeJSxr6FL4gaclAkXLbhgA35DK8NcDgRo03ZYKXpim4E307KdtgCtPg
w8jh+QjqWHIj2wr+D6G6wP5uQzb4ci+GmUKJREnHyc5lFh6pu9jS+RQtpAS10UcdQnPo49C3/S21
UyvpJV9HydxJy1FC5tM0zB5O7NrQbluUXNZAh6LuJi3nV0sbBTVatfWY2TJPJlstSKsBZGxKruQg
nVh21cBZOrxOVzlv9jVCq4aNLHGHCL+0Y1gsf904xFlVwDmHXLCv/YBxm2ucBf/bKsgQstOUx4W8
x2lcRyixeindtZGy7ciuNSFBvXII8TjmIJizgeyMXQHbYolk86tCSXQg7wY47mkGBGUtl/NOhjFs
yvft0pyaRGY+yWNTo3BgqB+XDxzpbq2LEgiiMUoLo/1bMwxZMqkMcwG7v2n/hNpgnKz4eaYbAQnB
1D0nU16mEwbkNWMlALSaMYMfz0ejb6AWvTei7ziwX9k2k1OzR1xj5UNlBUyDdB1RS5fM8rUfvc1u
nJFJv9dNWqWqrqrlJl2btC3WBkRsw2Z63CC6nWgf5+PJV/aV8JzkUab1pWjGHuUDm/3rEg71MatA
bCiIvvpD613/tkKNLaLEZa+yno4HDN5EvhCTnmUOvbcdhKNZHD/nS+MKweoa0EWJ37cisl1rm+nl
1vYj2sHJHXfZCiQTTizX97Wbbghm7syzpDrTcxh3aWAxnwKrjmc7yaKWS3YtXD3kXeOahyYMZdHX
rlIrM6ZISzmcZhvR+7U0pVfGpQy+OltNzloj9gt85UmWrPUHH+10IGtdPgyy6w9dxP2mVtmm+7pF
9sYxTjbVV2gIKqG2ul3ilt31iUmVpJN+vWSk2SEyIhATsm6UTRJ6zsZ02/sxQA+5FeU1StJmVPVI
5QPWFZuVwA6/mklbN3u3mmSHgx5fhZmNJ0+poAhrnE5p8GunUr1keSlkWWdvm5nI9QRq3XQfCGvx
zk5uBEnd6HpVM/gtj9mYCl0kZeJPtUxtWjA8ttdxpl2eptqepWHEA8i92t6hNrjzKBg6Cxw/ndAy
bZxi1bycRj/FCyS6+STTNjltOlqTIoPs94CXhRoFygfXagSu8W5xw/I4JEnMSYO3uxBaSxT4B0Ap
ti3Aya1716sEWz8Vblu6eMqnaqgUwq65XLGARKxdzOeF9vQUXiTq3amPg98TN5GztNdRtTR9ky7r
PZrK8pJhCJ85TGOhxYAaVUU9iyJdLd0xMZpLVzP/bnVx3reITGMFXLzrYtfloqlSp5KJsrt5Gqyi
pAfVFheqCNLjdcSmuw71OnZ5N47V7VCvw1sfnSZqiFPMS+xdq1qYH1U442UHgRfrLWcxW64kCXWf
m20GSaTdppIK6TfwSsegnJvxtbQsO3HEZ/nkUXnKGsPuQsbjebthPytn2QQPLUdVTsmQr9VUnfMs
sY3qcSfvfAL+bZENbmhV2obhii+820Oi5zyXzSaOR2zrK2f1sKNL7W8JCKHDPEV8aN3M7zwtb5d2
a2+3QW/ZYXBsVe2gq8cVNuRQj2KadjZF683oZQruARvWM9yBqkL1PJ9w2bnDIGSKVSWCvJVmlB9o
dPR160v7Yd7m7XGCA17MwpILVrb0gKBSFEMcxhtNbaLSxczniQ/d+w1Zc6A9LtfcTBu7rFfEoJZF
yEiobbIEqnbHjwViZe6CaQ9dOvnbsBIK85/JKUaG7ltOw7velcOVNLU/xmsvb7T221kV2mEXBaRc
1RrdXBqGxlM/seXKhNK/9lnG7mk3Q3IgwzpfslVD8Ax0eYnpOJ1FL5aTZonUKjtl5lByzYp64MC6
Fsh5J1viy/OyrP31RrL6NoO8/W7YsvE1FPzqGIJNXGw4Ga+g1Df7XpbpebP0mOajln2RbauhcN69
2YM5Yq+6LquvqmjdkEvXo71f2uGdGydWqTLdtnMv2XTWlAuYS4m2ryu6SQ05W8cdFV12jG2s8hkE
+ctsruihnnzykJQk8+h8TdnWyHzVEZOsEJPTWXbepXQW4w7By5H9qHrpyvMlcdWVnHB/mbDVvOlH
fwdjqidDFb8JGhhMO4n2Mso2cJU63JxK68j7KSnBrenrBV2ss5huGzLPw6EmPWW5rLE4Y6X12V4i
beSprjNX2BjYpmZdL0UmNy3A1BvBatS0NJc2CQifrckgYK85WkZ/Psh56fc4erycGDbolzSy5FoY
2bicR1/bXS2df9VWzax3vrdrfaabzjZF4k26HtayxMlBzCFsr9bM+Kk+PFEPVMghQvuvg12zS9Wd
dmnGfZ9jAcwlB++gnC+6HuyJnE64er2Iza65RT0/N+NS4mLBQBHPRg5Wzpu0qbfMQx7xbkw5EKfK
JFV5PI9cnILPikz7eqNrSWawTAckp1MCyQ6dZKye18PQr8YX9RzS6UYmVdeqhVS99MqD+O+7PGEy
3jQ0AfuX1Ky/titOtsPC6drmSAwEnS+yjSYnfkDiQvSQTgu7DuDxmK05bcnY5PDycnc6JmsM7ct+
TbjcKGy/QVEXGBHdzZ1aHUn1y3FkbTYWK295T5SZgoV4yLYw5BNeid4xPPX1eVe7FhxV4+KWb2Mc
jKJ63W64mNru2DQstbtqSZeLrgHpXLSxice0YjgreIZqoQJvPT7pKu/AypxSsSqyxPU1H8l4CSZr
FLluSxaUYB31+bpW/A12iX+YJVAT6t1KDtaWmO6quSYTyYHC1YnNx5BMgYOdX/NXa8KsAGI2ZWvT
55BJR7jBoqSJzT0koSHju9r1TqXVgKPcdVpgUe8ciTZNL3Ay8+m2zYwuj9shY3fVPL/ftrq6rWr3
vpIubRXIBH2zLKLdlVnpDwiKB4Ikwf0Nz8R21q+kv/S0mfZz7WXuBgfesOAUOaV1qm+86XnhPV/V
lDVgMPt51PdjVW57YfteDVUsL1wHdSXHMSxDsUGxYVcy1BSseO990cxZCcSvhgOjYtUsD9i67toN
4CvvghDVebDG3kxDGKvdFKu5POFGV0IlOsoTbVuwVM3Q77uhTG9Mh/BOjrU968o0uSBdZGfE8Tm3
VUB5J0EWFYSU852ZxASuIiG9QgKKcAFdgCHsHObgEnfZMp44v5TQIFlQzIeuAv+Kh9kpiTVYjFYn
ZjoJHBa3W22Cb7YSXtkqSeiHQ5vUc+EhKBe1rZ2/hCoPxb/hXV80LfALmEL5CqpOs5+E5PlkXP2m
bSr8nqco7mOHJVitUu+FE+1V0iKfg09fv0VG3/YtAiUFwm0vSNm+swsZrUqpte8oKv3pRGgZVelj
m4EhO7HT0kELoatQuWdNnHN4W5C+bEGWnM4Lbu67mor3XVnhtx2my/mMDS1SN9gTulbrGyt6Amar
3KJTtEXDBS9LCrwVkuPTIWT3rNMgxFajn6p2JOGDnbOk2fW8aaBCaZAsJyY1jc2Db+JYjP1mQQiI
pcU57SGPKJ40bXrRu0A+QI9m7BTpYQ4KrPs6yzv43txwDmeiXl16ovlERAESfu7BmofyfaqdHX91
oNrqvHOUovdQeBcPBnW2gHs6drwYXZscN0NKbnnL6j3e5m5SzZq4l2ka2w/TnDkoD6A893YqiVG2
TOl5SDN/5tYN99CyA0pzHsPkPnRkjE0emAdi28x9vB/HFWIFghJ02uRSyh7mRcJF2c7zzrQzPV2G
oSqhuMYNyLxI50dG5VzutajHM7aCflMJ0JGx6MshSXfJoNsqR9ucvhlD378Tbo55F2goepQM6HJa
BL4ZQeXJfTkCh1N8XOr+sACpOoXsZ5ZdHGroQAxRAvX0W0jsJa0XnORTSYdBrRqlbuehbVipITg4
RDmrdd2yboaeGneD1F3edkDS/O5Jxs55uQ4NAU5NTbm9NWEy3Uti8RIKUBVlBylNcrs56DVOVb8e
EkRaw17yiZaZ6vDQ0LseCZGYfE6y2JZ7+JuSLqKLrrbcyhzUdmROTVutw5QLKLjpWtQY6lavphGq
/FqYeS11d7ZmJVg6eZhAgLmrfgYbk6oYqklOez+5oXlbVR2zVbFAqIgZ0jel0L2Z42A5NDSAq5mT
qZ4S/VsYQpzTXQ19TG126bDi7qZEJBHzwSVtA01Bv7IEtVctmIqAA0tsaKZWTZNZ4qyih+U/6gQa
zLCPoTVrIV0d07cpSNz6ZohwWt8njoN/MPYSbIaE4DK6M+g9I1DCKeRxUMIQh5t4qFiJIj8InWwQ
bwMOsnk3uaVOamWyZd0SULZlu3AoEZCOxzdTDYZCdj4CoYyXqJVoZflUhWnoDluDoEmYQ8kDB/4D
zSZo6xVpD01Ec0YnWN6m4M9tCAk5TwPV5Q0dU9fwHbdD3dBTNE3DasuCNiNwHNAO1bB3LmshHyej
Lbq0ry5IDapBlU5CxlxlAyQqY4dmFHpd3b5mM6FDkxtgI/3CdpWJrOl3blmYleAdGJudb0D9sl0J
HbVyVuNcSgfNETZIthPrRtnBQzf5jcum/jbZbBgVsWBIKzZB7Owwr/UDMh2wrClFte92lgdZF7Mn
RkS1kWG8BhNxWnftGNypbKr5Cnr08zEdpubcopLmHeHTRYvXVe8c1ePJOEt0oOAi37QyLuIEehKb
UNS4lalols4c/IhIPsbMLUbNaO4e3IbKDlIr06XiUEenYqTb+io0yRKBICT9DhgoKMSydWl68JyN
uih1Fj8kWxlXp3C1DPhV1jVdWsBfl5l7j6TwKrQzSAOzJTOoEd/iegd0wofjqU67+aFK4pPjAoya
mHzr6moP3u1cJns94UzeTmSQJi8Rs3bHVhSOcbDiXT/3DAxLUZLK5mAoNikoVLGGS51xNBUEpdP4
NmyLrwAcV+o6N1gOMxAkTM4YA3PrsgLlrRUbgIdfRDexqBbaiZ3oeH+aQLtVhW1Kc++y+dLpdcjJ
OoUiM6kclEjG+rChFYARsUoUjdlwPLh+aPMJDLMPWwtNNLeU8npKkIV1bm4PbzvEqxXALpgsM7lr
J7s8Ju0TKehaV50nkIbDexCXS30tWmhVAeuipDkGBsNPPXTSmg+QIul6oDNrX9mFlhdRJ9VD5THs
fLZs8XgsywmcEWjARuUatNxmMZ2uFt/XsASwtge1CG0hmwpdq9il8hUG+1AUsrXLCQbToikWWjW/
LhR6hXnaBXZsWNvmw+LTm6Gs7H4kBr3lPmAlRdyK2vfbDYPG6qpYlq6X0GchTUGmMI+gUIwLSjaz
nE8q7i2kebPFoKpyiTBdaParxYMazp0RK9mTp9cuoY8OzYaimukMqTfRJbgwoxMlvEpQhQFIgVnD
BZ3cdF4RPGcFSisn9u3Yu9dLFCPer6OBVeruf5g7k+W4kWVNv0q/AK4BCEQA2PQikUkmB5EUKVGi
NjCpVIV5ngJ4+v6C1Dklps6lrPouumtRNJEpAjF5uP+DS/lfvD4Nkl1FAn7bWSbjHQIvqHfk1Gu2
U0UcLru66LJ0z4WeL8BC83K3VSAAu021rToU85ave2FX2WHrNH8nkXK4SLRdtftZtH8tQ1of3HjQ
0TLK9cknWsxXeqz7dl92c3A/yH6ceJyUHQVBBgpUuc07UcbuVZCWhf8ttOK12vVOHF5ZVup+W8us
uNRWO9yJasgjJwvcr109TvWhHvxwjSCX4R79xcvW/bSs+bAr+2CMD1OaBSXxtxflVe64qzwb1SIf
rTht9Q3IVSEAA5pq3ZXQmE9ZWCfrrmqd/qaJw8E++ItcKQpCt+fKjG1Zwfbm6YdC6n6JuDfJ6sjP
96nou8DMm7pdxAIMLdwmvgnKCgJ17Z1kN0/lkxiq5nM/Ns0OtxjY48ixCcJkZsuX/VNiLZC/xaCt
yCLzeNdPWxUN4C5f6mSyLvqcQ73vs8K/HaexuRxlV0VU5MU1uIB/tGI7eAQxzny2QaK+tS7EtDa0
/9yv7kUxNKMb5XOwmGzNri5kWAPx+MMQHAeR1mq/hRaJU5WF+ryW7lzew6Bl+x5wa9+z1b2oE3I6
kL44V/XapGdVvjifUwj8z2E8Ort2mOx9ssniUAVl/BeUmL33pDd+DEj3zx0vdr41yVx8tvkrcmdp
Js4V1ue+8oJ3urOy83YeOXXB9LWpmvGunew13gVjYzucg+0uTCy47d7xqnPug76mzBjEPvDlFSia
db0gRfqUA3bsA02h0iHb2nYaicGjFZTeQ54Kr4o8UP2Ltq0d2ezypSyE+GOdQP/7Q9GCB/XfuKCK
at6HgYhX/zMVbVO19703NJ68HfO0I8qjcgk7aKwOThRFkV7zqoNryFvR3HrrOoTr+eJqDbEgGluP
6YU9pVW+XQRxvo4f40wv8g9Ze01xzJugGr0o9nrUBftglt7SE7yKUH3xqwo9QR46mbL389g5G2lj
YK9Z1Beqt/XFtGpQzJ2C5TzzEEwEX1SNImPcdW1R6pI4JlNboiyp6wqUdFVJcug6L2nmC12Qxudn
eoUf5dAogap1t85p2/xpd9ZqxDTA+n5yGNplLYwSJ0sKiLs2iR3IDfZgBw2S5Mlmd+9nEYyUMJnQ
qu8fG5Ric75fNhlQ97lKZDq/yfNmmJr9sODhcw52K6ah+zYV2+ysO35Lm63R0nikZLutTYkMR5Qf
Er0ciLUZiacSOyzP00Qj//k0Wcnmyl0WBwU/Q+XpK31ljQMF81W+DnGpIm2HaK5+w22+plZhDX0I
TahDiDmkorZ3Qq0ClQWjnSb1n1XTGkJjzmRL2SNk3Q8e5WnqTX00zra23CjNcii637wAusTXtCWi
M4W/FG8KLCGk0GtyMJOr68sk878XLy9QsU/Yf1URluw4q4EX273NSBoi9G860kMdKQRuvRCZoRca
Av/1E5HOWW7aC+u7snrDQybbMw9YBt7IyOt+JM8tpB2P2Ff+LUy4e3nCz8rJ11P9/FwPGaZrhJMc
tNPntmiP/MYSwfdkhZ1XJF5tOXxOPUqzZLfAAWW3dYyDH5YhbVxX/WbYaENPhm3WGII49CSGEv+E
H07knFm2TsV3yy/9TkRysZX8iuSAA9lsmV/eZGD8zjtRdOv0UAy2vaU7zL8lk/L2RLxeciZCuiy4
BKOTitkQJwuA2AaZXVHHf8ThVsv+vOnaKl4PFtoylnwNehNk3n7kr4NHoI4REL1qaKOHPtGspn4a
l/lq9989taCHOFsdtTnFmewXyKhDFsTQcf3ErHckX5yZL429zn14mLPGbpffbATnRPPBBCCoQ08A
zSMQngQnb5OEWy7DdrS+pRnCJOtINDXSgUo3KV0CpiX3Ni/KKpDzdqdDV/BWMrPT6aFqVQ72boFE
P4RVWlGcw4D37n01Z/Xw7e05Myfv53OCs5h4YHvS8VG7CHUaGpYYRLrb9DcNAckmsKfCZrJsGBeo
ad0LasDWLQxdDczamC9Zm0z/dLLQQyNaFrYKA6SSiEBeH1eY3GFcB9V8q0tpoXbJ0XlAQs+rTR19
JWKJQoZyuS++Vrms0Z70bdU78hhYuQVYiu5PPGtk1pS/VWdbOV95uoBt+Z0A43SP0VpCKN81di1W
WJ3KHLRYYIHrTXwbYlfB9Zt6rZxgFMasraOlWztezvKrmZ8B+lbNug+KbbUelraNL4YQGjqJqo3q
4godcz3Guzq0VTxG1IVWea+qMCFtckWoua1cK1+d+tLeQqTTsKcxcMxvjumJooRIpSizVKhs+gNg
fpInEYOdWXczYr0vPjQkTHZrw+h3O2oNcs7I2XyjfyCfMCqKEjyOn03P4aR1YsN162UUqjubFvH7
A+2dRnEuWWRbMnQcLg0Cycm2gBEcqBKa9kvbc4pgzkA1vXeuk4oVySUS4w4Ocy63x4psYPV3U9ov
XRoR8Bd1n3RbbB3J0PLtsTdQ9A36XSOl0t5cleF5MUmzPM0ApAXebuCt+7bPi+1xK1UBr2OXpZH3
ZMw+C9TUYco3Baq+7TGotGbtBOJTvgybnYzBvgWbGM5A3c3aFaDASLG658eHQWKtyy5odM6vaNBu
8OaZVRsV1djKqviqB1V37Vk4985MzdVs43XfF/DhZVn1iC2hLyp9RJK5JE816knvkZLeYZP5QYIi
a0Z9g5jr7dhwGsKZfXwGPimD5yspTsVGZJF14sB9fdmcaqB+0C6S6WG3NHlTXoipWwgUbz/xNBq5
PrHIhZhFv8fdffrEobeHdKnE8iQoztmMy+SZ8OeiYWL7qblD8wR5CV4CJzONQ/LOf5FovP0axkfx
KioKXykyEgybru16kCKvw9EmoA/gd6rHyqurUezGZpLWn4BNHdEopdR1Dn3sN9ndPAQJEadNZZMc
kmB052YX+P5SAhG5SXdVxoF60Ghvg3U3LI6a78fAsrOok5turthEYOE5VKph9GPlmMNO5jvfN3NK
dnER58VoTv6MdesW/6jfrjtR9ELP52+P2DmJa4HggiLdYNSMVqCefD3iAo9AvXSD/3Geahu5H6SG
i9xv3sy+9UiyvGPqLDA1IAuhwWKT8VkDaFE8mFMx5eiMHmKtzJZ2uwzNzDFrKZEIkd0GhXjWlXNL
6r3JteDUxUtl1IfOGlScTt/pOEZvD8l9rZXzAjIghHLI4CQr6Dj2SdLZoVfamrx2PwZjKjhbY5uY
FxgtMZmj+3yOsSeuvFucanPEiZUmpPRtx0VjpQ6CR0dL862mK4biaxnmvneEMzbz0K2wAzdxp/lU
lgozxDWp1HBWWH4vztqgn8UQrdwXDPc3QzvJMhla6OCtdzgqOHXI916v1gjB4pdTs34U1KRM/9h3
bK2t3LLmj9EOCngADBPd9ui7tbkfK6txWBCtqjJZD1ulnDE5C4U1LR/JUnumA+ZMsPvEvBFN6swK
2WLeUrYmuk2EzWPmUhaAJ5KR8MBsjG3+hBrVYSqQyjAVIzYVa4wkHC1HIg3dnD+9zI8JhcXXtyfh
5IwGpAtkV74rAwS69i+prrNsnlpVZ32YK78hOrykt24a6LmI0OBS7/zm8j8xRbGjKCcFib3NtYRO
7VSiauPQ8FSr/Q/D5LBDoDBGNhR3P/Pj5a3XyEO8WLDpO1UK1G/Hco5rUhaCHrO09Loc73w1UEzD
f3gBwYADOd9DkfMp4D4O/qhrLqofy5Z0S81U6jKoOSucIrMcSaHNQgD2m4I2XHPkeTagA28iYQW2
x0LBvP5OneuFJ/ksgzeXAEHCoavWrxUV6eCAYAZeGCBdlfFunArRRvFix/kNyiuvXw9d2qs22IWu
G+bpru+7rLu0y0loucOi0FlXfVJZ3jvwWl8AO6KQ+AOxkn1c4slT+8Kvm/K7l5dbf181eH2+LhBY
y6034z3b9kFeh7JF4Sa8AavQgn3jpu/SWDc7VdmVcy3s3gn3QPihE+V6nPp414Dcbjk2nblHkpbo
YuYwzFu/rOVOWzL38rPQdSbvQZXj6kFdaWdapvM2XFInJn+LE4D2FFllGflbuWwbAmC2YgsMsQJb
wkHl6mwO/QTSsbL09mFRjZs9Tl6ZwEZ4o+tEK/Vps+5UMg7hPszcpYgS+IgjZfK47xp72a5iPA/2
ubM4qXuWWEOQ2oe2aCrv4yrnpLA+hkAx+oNGGzu+s4axtu65Mfzpu+yV6j9u/pzUDfKkxkmH96He
yuI8ztCBn20Imir8cUUj3DTy4dMwyjkVRPr31EUnqfdslbX7M5zGZYFjLZfByYGZ604Ge+oAWarz
uIKcvEEraBXFORQb7HD6ZxrUYmSWtSOC3nu3iWZmS6OSGtr0Pd0pRoVRo/ba1r+YwjhLy+ta6gLB
bj4n4zJfL9g3suwsRt45yfu4hnu5MOxmEpyxV5RAhjBvhm8qhyBbQgQ2ngK1SuMe0PZiSQYrzc6X
rOK2gQ6Ho1n3c5tN8nNjTRBEF2yOxYqjBaQVJfbUknVh/1gF3r7b0vV9vowv37SyrORndig8Hgdv
43XftqkL3fkyVz0M49HRluX70ZrLYvLPUSY7FXYYbzb3IupdDHzXiZBcKl91vGLLjHKZhjK5XZd2
af27PLbA6s78Qlhue1FM+NDmW4VWLgt3XRiarNrvR5kWj34Sx9YGe1EOzJS1doTsd0TtLpVXloh7
v7x2si5zyrs8XyAWDmhylyE5/EsiLFzzSusMcuke7CRds25vo1nog309ImysP7sJbFMH8lmGEC9J
0HVRTx3MzLrBlHGDRPBU5pfw/qQsuw5vFEW6lw6MPmpTuHV1lqeLmTFRjgVfmiEdrYe68k3I9+Yx
CfwoXMaGDbDB1ynsW33F59qXoabILZm+LjeYFXfJEPO0MnUoMrHTmeVxWi915Sen1Gaea2xUgHfW
ZPUshVUjyfL+RC0SUnH0WUamFS2Bs/p4t4JUThYr6E3d9Djm9ZTVzJeVbg3aq81z9Lsg980rZ6x0
iziGncUTBD/qvsWWNhtM9ZZZeVhOvleGSBfH/TzTMgoxwBh0C+8w0z+FMf4YT98L0X3DmpDyPYn2
WD0U0otDEXlLCAC0a3107vbhx+6Jt8Ggr35umcFBgT9PxsSu6aMfOW4oN6M7d8Ugi3fCznrr4cdU
Wy8f/9ckv3wOpMAt3vkuEjI/cmpUG9+KTLVZf57VYmXQnbvRORK9BcyP/UABnjThTr4sVLMBzoKU
jita4gsYtBVQ1inQQKnbsJoaZml2q5KPuLgqeStgjhgjVWGvJulNKonQOQJstTvojucZbFpOEHHt
ZUypm1GjRW1Tq8U5Alab6tx+WdqX7YFCE4fiQcGg8EX6pRm8VmvKPk0c6D0SCS9VfHNtUFOlHzcr
QzyEjjsVZnpfNtI2rRNvySDNb3GyHmqQ2swX7K5hTM2rv0yotS0bf2hK0Xj+wbJlXeQXQLK+bs8T
g2jZhyWDuZuvX0T27bCwvtmMNP2bo5Ka7YO0ojKD72eS3dsBl4b5he5svnhzEvClrG1zHKpNmvev
J5Wky8epTMokw22JEeEh7YSTiGMxrL4zXomXvZLlQzj65z+mHA1Gz+voFzU+N0DDw/M2K7jnZwcF
o/2RzC0P5n3bWWOdRfaQxDxc5ikqBZQqLdhmCWAAZPOiR/cb6C0cGdyvfK9YJ5UHZwXJol4vRTiU
ujmOXmNXVVSGXlnNu3jAJHqBUHzi8ym6Db6QNMrypuom/r/iilBfpL04QEUdrqfyZkZ7ASiw9DlP
d1IQ+0dVx5oqIF43s/fRlyiD3wsYD5TofVpOwaGsuGKrg7ZqOCuoHa4q/YTKPyfe4LloiuL4w3gD
GZj2+Rk2SOrdP1ZvoBPlsc1TpuNcPJ+ZrglKZn1AmBlvjyINmmX8iII0XdQR+Y4Zug6TgSkSyOUK
RlQkyyAPasMHjdUaMo2fObo1uwa8ymzxF/w0GIqFv+1MrhnvmGUuX3o2OJ/vMqBQa5eVG7hy6LlF
He6ALFZVvROQcXxCodRgU+MfH0DUXkCWzZEl5o2pxsLhXiRxt/E7thfoLaYsBzXspFeAl+KioPSt
KmqnOhpLgAl5BQ9qztPoLRl2paQIRkKlUDF83c0AlcM0U+uZyZsyYaACdwoKXEt5CUcI8bSWjPJp
IT2LrcslHvo+u8Hrb0BK7CGEH7+IhUKYAIy1xgcd56jwz9TSynLYA104ykMfT4H7xUvoVYAUiLua
xd8sb2NU6NvMtVHJ2Mw56giHzfcyk/mIMOtGZHaGQQW+pYr998U2LdZDTzINqrAh5VFfiLfsL2tp
N2Yg92wzBkwaFsGf8tKgVCW6EYMFhFWztF9UuKad883TpSpvlOraFc2YixbD+gt5cK5jSKRQlHI3
lODfVhSUjt8/gkguxfjBTro8SfBzrCLV94tPbtN9D+ds7rAbxRhUjIN5mqswstxtKB43b3K9Zjdx
O6CrGR2nIaf0fYled2KXV3noRjPfRJmz8xc8fHr/YyQva9m1qL0lan9hLEPxs6fnh+koRGHJriP7
N4c3GyrzCbSjzBkOY/M9TNIWn0DiZj4YC9CJ6kDlbriNrIxbjnJCthjfbOPqtAeEbIbu463MT35s
2R9mIumbH73g4SacWknU67WHrXfc3g7uptRPlma32DXoubfS3sC9WLranPLE2gwcOOCo44tHWjZe
YL1hf3s2/MMNuKV58+LZBxO+PEj2IVcahCmL/VKx1Vm++UYOjkjjffESsND5mt/cBY4Bo62yMyDk
0Kvew2afVF0T75B9I1KaXpisccHvOF9mbmLSuNTTPMOfS/Na0/OBs5qCewTh9rNbp3WNIXOPIsrs
ST/eaB6xk+kA23hI89IYql4mBBzYBL0iUMaF5Q2OlV+lrij94DfA10lBD5ZDfGAHo4OAq/sFVk5H
OATwavchbRrFW/tJojkNS0OY7SzPnKDyhTObs868+9u1tMFRf2IBzOOh59BmvrT0O8VZsZE01jL4
QFUvoTEHAzbzD7tT0gvxLYLsBGjiNNG6xOZZQFb8X5my/qfGIktQdIhinPpfe8QudNNEXRt73q0f
wlkRkVVq6Mkpy1nhBrki5+RHcHz7XV5DCNK22T+BAyepfEF/NuG+fpd4FvSV4Og9GOZUfcmkY/Jx
NAW+OGwNqfPv5vnXB2KRBDhQQUgjFxme4IpF2ttOWdnx/YvQLim48S/8Zzvhj5P99gAdA9v9vbBm
hGC3tvQxErgOdNTJA3WZe0k9lur+R8RY0MVzlFbE6lKeaW8IcOC08da/nxb06/tqqk08f7aVWsPm
cR/95o1e73TeiFIqCLm8cKPAzZ/SYmtoW4u/iu6+fDlUC3kdZ1xPaE+6syyYM5YAQnrlZIaCy4HU
wkrNiyBS6KYtmjsq+zOJa0VylWOxW7FHth0fB5iMnZtsFdST0fLCZ7UvYfbtQZwuIwvn2cKWMCb0
7gtOWVbu3W6kW8t8kw6FiUz0uOCiagdZT+9XK5g8elW+dWb+0/OkzUKa/5RSJ+Csr8lG3MCebn5c
ezqhBc7OboisDV7CLPlH0Jq0gfzpW8L4EAvQEvo0HAjsFE49ZznXjbGakiSb1fCLknNRD525MN4e
4Ov4Az4bQj+Z5kU49z0QzRM8E7GoznrEN0efNiKFjFCQ+OKL6jkwvzuCvz6KpUOEQJ9fKn3/dGxV
7FbrlKjk+JKKzBJ0hH3kdkYI/jyqH/2o7l7O2UtbpZ/7KfzcXuF//3dNGF596H/S8uH/XTeHV13b
XnVzgLgBjP/3Dv+ln8Pfvdp/6o/18pd+NHOgL0Mg2dN+4DlosBFC/auZg+XTxVTBykBVKHNp/twf
S9ILjf7MHBIf6Ame9u/+WPZ/0R9NGNyc3BqxofwnDR1ODiS6BpBgXwrAYBlydZ4cSGdW3WzbSXOB
W4Dcu6gTeSv6pb0BJAx+cze/5kA5C8/6AS4qPwgBXk+1M/Ngo68OnPrCR5h3s82rc5NPInxcmYHr
rtvCw09L8WPT/qxgec3BPT8PZBsuCcWQ+6tuobdoYtEGNs+rcCiQ+KHb2OV6c25G7YkLKGslDkhi
HcDOzP3w9sNPbgczWMIPPSDoIOAbIcvrG7mz7EE3FGcXWz+O36uyQkJTogW9pj2RvtfxFj7Grv27
If+HKZbMFvkIrR8Ajdg2P+ck4zDm/RL41UVfOfquKNPxOz0Usg19a6/vEnv9xw9UDpuUx7F7ae53
SrrnxqfuYvQ/plZMB6CARkhrOoZoD4X1BYxFPb09rc4v8+rTRFAFpBxcXaEbmKj4U9a1Do69JbFx
jTealmyTigf3dts6e0asC8cZIV120HvWnklHnPtulvVjDYC7RKkqttrYSv37cXXdaddTw2KHbdPh
2tGh/ry6wW92Aan/67yF1tESzp+z77GaHPaT960rGPO8GqcjIE7ifbAqV8ZXQ1LawEJNF+zp/uAs
lzhq1zIB4pHOB87gem8hRD3SfkKpy2yAP61w3XxNBJXDLlVGjoVqA9oVW/QNLQBoZYRSoKS26mfn
pnJxJ+GSkjQJmtwhyXEPZrjzV3cLzlqpnRvUqlZ/mHy7uaLlir53RqXv4izEUr/1cyO/BSiHV1DE
Tc8H8lw3v+qF1HeKKKH2pDZFeMzt2fqUl2lIDmgcA/SQymEqUbKuVtLsXPpiOH+yS3WW7Jwsy/W7
0Qtn772u1+W6ttMS86DMUcaEnkd3IhMI+rXinOp50HfWMuq7sOjwMOu4a5+m3G2ftt4WFwpkpov0
PLdPQSXmO3sYEMeE3Wba5mHGOOROL7+iBdL3TV867q6a4/ZJpKO+tzrL+SDHKdhnWya/oiFx64t6
DfWTQpQ7Rcpz6DQwxFLfT17PSNvCA/0qBx5IK4v40cWS0++nYJFfy4l5DLaZees958MUsmhb0IWP
C9jHV2UpfU+fs/AAYCPF2dpkYxCF2krb3QDedv+yV9M8EVOUimyZ3mWFHr6XeWNlO08yWHeFZT4f
FkQhqItRgF6GfpxVF9T7XTUiOQ2D6TDSFeFTitfpMWiJp/sRaF8fqtVjn8y18r42Q9A+pQmS/qSr
wutw7cPHtsTctPPqjJ1BqWZFHubgqx6dLyhy2+i7aVrbZT8r04mQ090+aZ0DpiVNsYH7oF2iuVXq
CIw8OXQ/vRYY64J0ehckTX98nn9PjxJ7a0BTvMJHuR9Y6RB1KIRunj+DA6COqtXOiRtberQY6/vU
H+f9koTh2dRRwEapOR4KcL49YvKP4ytnQIMYzfSH2xedDsJ7Qf7Xo2kg+UPBXgZ2fjPioW7lLqgA
Ax9a+reh9ogbHc9nuPXWXSws/kJdZo59sTijP2vAX6tOLwesyNb5asP+7zskLvE9+mRZ7lJsmy2d
+yDar11QgCdwtOX7jIt4jpZ82LK7ZbXc5dPA9KfnQ13P54OLAGG32QWdBoFIMYdSk8OISuZ5+NCK
OAULXSnh63CFui4jxBj6AnjWg2rPxY2k6Uk0z8sxDld9NSaN/qDAsKO0jTEEwI3cePjWI8SuzufB
drt9C40JKaSdW0ul4/2SdkOyG+NZfhmB3Dz2F+BvlISZvpppA3P0giapdpPtNrgtm+0m6KfkO2Ji
50ahWr+ss1TdtHYdxhjCvPXaqZeKBdcWVpMNK/R53W7j9zBDhr3HGJtkezZ3eOnFML57THd0xXF8
P34UNQzf3qHpHHpB+sD13dfaweWdl+TNxw4EcuaDgk2Hq4ottRZy+J46/GFHXNb3XHPsZTeu0+yo
rJhbeuuz83UY2yfpjOFjtabYwfwkqCQ8wKzvN53GjxqX3U3rOe3TOhhtMqqCr7oJksdcKgJm4xYf
clxln/IekQGks0SbYoNEZ6T0F0FLZ0saJcWYz5ag+aBwGWxZXu/BS7zkzBFVIC8lPYjCT9vQOl+q
3rK2i40iL7gQqP/FEjntoM9ED6t+qVwhvm3JLNUBt93l3074fsjTCwD2D3TD7P5v3PDQuj7NkoLC
x667XEgxWfNe4Gl6ZYuv3fpWY3edzkC3EJa99sd7q9vh2i09+cMfX/uW940mAny+5cbqP0L/ufG3
MFiyHgatjZuzLWiycucmxeRhkyms66rMJqauitvdRg+kz6sfNMfMq4NbPxX2PudUndN5pKeBJxaU
J1hscpF2lPQgXDIrKpyZZYU97A9ZibXhgAs96W/6YFgvVpEHN7Qh4lrAVYx4vlTDd7vMw2sZwxfv
CrWxabqJnTIkdrAHZjJbaaKT6j5JG+cGQR6xtFPgprs85PfMGNbP1ZiG18PC0kQlKhicN1POO/kB
DEvWmp6KaVGzBbVIaGFZtjRSStyCeI+H+LimM3FwlskwnCNADK7RlCHxpJFQucu5TGiD6Qf6Dg8C
Z0kuXXnur9zj9MTNzkW8eV+3NSfgP4dAP50wd4JSmq2/2GV6R8MyjD8YD+nKOU32ORzSNu/60Rq+
1wJn/M4RPTe/u3Xyq19yPw5ghgstXrOy38Oylum+pBsLGcNKiXL+8loOkuXyvEtzMonYsri+fNrP
XHVl3x/nddJ340zuW2F0OjhbWa+X7uKqmi4ma+Xpd1BFrojsPmyeFrdr01tX0kzwkNEQtIqWeeOR
dZ+t/r2Hq2zgtlAQLxVEaNIVuB8Ce4bYTLSnLqeChhkR9t/1IbYa+aRSh8C69lZ+vbS9pmvUf+yI
4G00MyMu+s5D2Vj2ZTul1l+IhEK40CXUO96ZLCej1np09cK2CMqem7wLR+eDQLbRwm/pujjrsfxv
vElmZhRXCv115Mq1PrWB5MLsCVUPsVnRPKdhyzZV7LiSHgU3EKhUDaO72fR1kENrPNWBjO1Hx1qx
1TBPpJYPWCys6WFWAPZtlC1pkgb3ZQG7y1XV0hMB41vSrdnZWmRW4tABgGw5OUdxKiEeSDdKG8VN
hhiiiOKyyvbAwCiZFP0IcLiSg/hual8WWMVuRDXOEWwwAnQ6xuw1AqvLMt/adyx/d98ERJZiTq3P
2gqzSwvjP81raKLqIU87JsjC6BPhW2fltEjG0al9bWPss/0QE/QQR2AH75OAkC76ZDpz7MTBeOTg
/tK6u2ggW1HLlc59TZOoZkca0u8g9zKoVjKSUVXFX5Ca8iyYm/gYbk2FK66bsfg3w0If0Pqvuu/+
ssr1NtTecsG+JjGgu8FtOLb2razWeT/bVaSGtTrqSdIODcv2g8ZMepZzie7zLsVXDbrq2aP3TrtT
/Z7V5l6udXnJzVede1VhYXoUYxRU6pCE5bupoN2DYKpu7bVNPraWmp76xhU3zUyPzEgkNgmk7s7L
sITZmrG0OfdkfjjmMIH9JVUsLwVGxizDoRfm2ORrjG1xcKTd6J+yUyyIhxcGab6EmAN0tEsYhtWa
28jiBh526zSbCJLaRAjuK6LhmDdXU+daFyCXXftuKEo2aZUSbTLVsyO3OWbtY12mw91aYLSIZtLu
/dtllKk6fkJTaWtHXeKD+vkurD1s8OsqaqMRVMiN1x5b+Zz0z/Cpu94kvm8/55fqhwcZYb4DKgte
fora0kNqnPJmbI9lTX+B3YRG90M39BZ+IrraXSljer98DodvP/eX0t8M0PzrfIrKlE6DJ1UXJXkp
8ka3R52X6utooWCrBl3qswVrRX9oqnq9VyolFnezyXLffvprZgDggf9CGgsCjvNvOclT8e865KAn
tK44Ig+iAKGBi/sBm0hzlfsD0X5MWv5vtz1licm80e0S3J9f4R8hdv8TMO4VqvffQX//HyJ2CH4N
dfDfI3YPpsv8/4q+9g3/yBlo8t+43Y+/+i/cjn8Wil+FfBpDgdFP/xu2C4T5NyYk0kkjJn/+yY8e
rPwTXxi2we3IHpSH2IJtObx0tRfuf9k0E5M+EIkjXTblP0Ltnnt4/nyAQ2AQA6TzOxE5A26/PsAT
vSDqPs+aI3Y8ZzmEaUHuWdcZ96JR36vapcdXneTB+zAT3HluVmc3i0LHP5dpEOx7MTkf8jgTnxRN
yO6g6uqHeVAxlD/AUUsm2x59OItj29OlYAfqLa8yi1juFzW9qhdNC/M9FnvcvSkEibimQ3x6UziN
RY9OCLPLaevK7tDRAABj+7ouTlTQWFnv6VlW/zVUE0EPs7CHxnjwblM47bsijT0axerZOmCAFJf0
pKZPI0tQ53u4CTe9mPVA48FmVe9c+mO10ejS2nqiwwTUOxhJqDO7Pmi8i082bY5DLAvx+CdPcbjz
vRqZXzzVg9gFtKlI+cXlenjO/3Vcqz5CQdgUBzoIyGNG/13/IDa7+itjwY8knGAftVwScqQs/r4p
iQq2oPvGp3azfH4vb/aJxrPDp3qx/w9757Edt5pe0VfxC+AupB9hilCJOYucYClQyBk/0tN7Q77d
lii26Pa4PWl7uUVUoRC+cM4++a2bq4wFmMtcTTKq7pveqa+GvhuXs7mFPhawcKfNiBLbwRtdAijz
VQ0BpbcmjXMz53yu1gKl4mVaFJV4zVM4MmY22zdrujYvWuw411FRs8vGgKtqQcTSj86rmOqd7ZS9
J1b7ODdlc5VrrXstMMUl5xnurkPP+duNdeueg4Vp92uSTOeJdPXd/KOuTQVgH01rnRuF4cBllifM
VRZHHEotLuHld9p9VOfmEWaLcVKK1DzO0q6v8q5ltbKa5RJadqadzH6a/LagRwhSYhn6w6qUA99Z
M3ZGlbZfprVsnzf32lMDOMPwXepZy4cT2X9DF+GE8DAH6rhpcW9mEPLespjunQ6B+mY21jkOXXbi
ri9G40WP5r6n4gPiDYtGmT47aw6rptfc8waOQLxj9xafzDmr0kOEBG49MtnQl30aSeVcj5Rxghtp
l6Ghzk7FWt5ws+EI60GgipoaeWuTBZGfJ8bsXjeOoiHyR6f6UGmLeZFA8Jxi0DkgSjwHb+0qfEuj
A9zH86LSOitoG/E4KJwI+gaR1s4zpdDoKYM7tfTylhHx+yjT6CFgxoESMjV3dkASVl0ewJopw2mw
Gqkei5bC8UlvWLCeBP8DWJLL55MdxcrdMnU9oQTRBWum8Swdh/4pactLZHvxeSGxkH/NyH8YdU83
ytpUTnGp2lVg64X6gEAav/DKHEKFMR5GTJh2KnI1D+VFgfghnh7TAUiC4ib1Bf1qiw95uM2klgRp
0eiWZ2do+j2MydOjZUWxdeD2Vu6r2Ij2ddetxAsIo2x81tYNpCXGFBZGop0yMJD8Jio+w2FR0xm2
otRlsAwz/mEGOMda4pde3Oq2XiGsZH10zEYAGi6Oo9PEHj20Z3gm5oAhuq3nPUx75ZtYedIUUee3
0bpnnp/tlxRw/NIMNvqh+W4Auhwg/tg7QyYeETFBJJRSAoSS9RVNyq2GQN8bu5WfbYOZxCbQnhH1
CY8KK95FVe/3mPXOVEgRr9liowfRo2esFdNhpsm7qyjQrrKxxiSxgVHMoh+vNUA/uxYPCcyhZNmb
1nqZts6yLyhe/STpix0yKg3tNv9Ky5ec+UhXN0HurM91ZAt/KeyrtekuBtRfDOGS0c+NGsRRREpJ
ZinqRddF05XVFw66mvqLy9N2T8SDE6YRYiE6zsyvItH7NXqmw1rXBHCMo3LKyhQGXrGM1GLxS53q
UCw00jlye8Gd5MraK4a6e4IQOB3UMh4eMtkNXBiTsqeR+i47q9gvSbaEQzdp96OmRy9GjmbHm6PE
3KTPJdNmR1eP0qqn/GCUpjiraMN29PgUgE1cAxigKD858Gf8TZF8I5vE3ae4iIKsZBAzCLPkqrBW
+3LpWzChY84IJnTadLh1Ia4+ui1TGQOpVci7N7lcXaf9UtV5TQAK3LxP4IbLnSbHzoOt7ezKfnD3
6EObZzgn6pPbxUo4IDDyaxwJlxWBCmcQ1ygPme3c4JaqLnprVq5wQ6FjbkswaW4rd3G/WpedHmmz
J+ch104Qq+JzNy8dNN0V5IxiSKUN2saAotmC5w/MCZKFoBv2R10zLg1gjmzXkxlcFmEae5tUir3d
AM9DEAxNAicq6gCpPNIK9U9ccVUbpHJqzlSju7WirL6Z10G9NLK8CpyBMy0LLgNz2qmwvpCvJ+ZB
1/EJjL0JoSKys1ejN8tXWXZlQJ1bojYYoknwHrSWU2XzxvazpRWBRTTBQ53I8TZxc+cb2Ic4bFzg
Rm2kvyiu/J4SpPPJ0q3ZU8BVwNwSDxUahgvuqdzXIVN5o8Zzbl3a6CHuzP1sZC8RuFjw0mKPiHnw
1mgdfXJHPi3j4iLnrFnA293ntixwMBjqMU/mPOw0vXmNIyRmeabQMTpGdhjp8GpfXxdkdFakXbP2
gBDRT/lNpVmXpDxX5+XaybAcdEa7Olk0gw+QdGrCXivXyxhFTNiU/TcJJmSpA0op6ot0NQBZGGNx
sLVsBdrLBBWuHA/XXMDbTYzW8Qez6z0A2EaYVFH6GbbxvaJb9TZhU18S3U4PNdLpV4Z8t3LUvkdl
i/4zZUeg2M9VoalBKxj4zLkKk3aJ1vNGlQgMjfaZLJ9mt0JpnKo84tnZNOFYtXDdYoDI2byUR2Ns
jgKNgpdZ2kMK+OEcET3W2tTSdrgS3L2eDQnW1mzfjZBr62G+M9ekh6aWVAirhM9Mfv02UH/6gyHr
uwhNn5/2WCm8qDSWACLkGDIJHYCP9OVulkxrOsX5GsX6J412+1ltMeiRF1T4zDpvWm3guhJfS73U
CA+SIPmStDlrqvFHE/tql5NPXfCtZ0mUBJKPhHa7nw5OE2VebzaY1Rk9eaNjJXsqFvuWqUkcJMWU
7YBtzFfI+KNrwK6njh+9LhB7Jyqc1t70hd1wiWpOzD5x1oNOy5joNdkDCwvrNpoTvC1TKiSTEQAu
MmE+nvX0/qPFt2P9ZPJKP1fa3gp6a0VFn+63YrPVqqvaHuJN1A6IsP5OFs2hRRnuJYp6FU391VpA
wU0GQl964KFN+dIVLvjhfr6fenndaMPVoFQXVGvg56x14b6PZkCSkrnNCPh9ybjNoabBHBSkrEQe
uGNxXmVgUa2yrVhBdp6+2AJoUF6u1zpz4bP/NH4/8tDeDQf83+5NNyydLv9fN36XW/LYfwWf83r4
pe37+x/+3fa5FpFlwtqadmT1GBPp7f8RZ6aa9HD09Orm1OM/WL7/3fiZRNch1QCTwDCFvuynxs8U
5G9oKu0GuQKY7Yg//0f6yC+6GwLc3pE0mPavswX0RQBIwHnqDG4EkpK3Sj/0Bg0vKFs/X9mixOs+
7bfnXFDrqlcCnVJYsvLQYzzMTScyHkymsT4remFpGy/70I+Nch7x4gzx95e7mLGxb9drf1HH1SGh
KzzhDrEDs3Cts1pWCFyrvsExHitnQ+pAFzJL6w5S48wM0x2YVteZstfAVHqwoFpmd/3i8fe0nd62
aeWBWDT2WetGFHDN7CUiPuRpcmGxLDlB/iDVqo1uprW9IugqsDmPngny6YAdjTaN/YZvF9YJZlEQ
yRz+etx+k0KbApk1PelWXeZ3RrVcRCT+hNOgBgQ1fE0Ui1dw0StIkTOcrOq67kVNQVfF+h6GevXk
LmNGNZunwUpoVzF3V13OO4Yx3vC50wdjV9il4zei6ahfGJtrpQYObGlJM6kc97BgI721WTEEpaat
hybXXcg5QJKmhqCgeMiuOrSBftvnKxPMVPMkQXg8kBpeJyjVgjhVSJgr5UwrW/SnPLUvMHZETPfL
W1DGUzhE9h7XyqFBzu1FxWaBdWtEuwwrAz1S94A6NV8ky6MYxoX3+vYlmhymJ7RHHvA8hjqhWIx3
5RcQJQHJXOUJ2FJ61jCq9w19DuvV3imU8TsqZ4CZuYXgH2mDRyN2cCP3NCy16uOnaLwU8sDjYqTw
y1UpqLhwRRpynne6GbueMpLSpddJdm9nzXrsNUwceMZRns6a2Om9sgT9rJoBfke4zg4Tb4nUvmV4
Erpa9tLMjXnWKs5xqSJQEYKUBtl3GF6KeM9szvZc5JAEWChhnrX3dW89OvN6numT7cWjZe6UKsUk
A/iFSqr8vIrsJWsHc7/Fj7GcnapQdTPl1Oruq7kqWQBoUARcE/dFP3vWxCXhdDGw9KzeyThffD2O
cKjHgz8SY4FGusAiMYgj6gftZTFXJhhdfzYr+Rcqkjmc2aeFWZotB1HRHq9r5bBN41pIyXyh22jw
ma8moK5kmX32Vm2Qa90nXI8l/tA5CliyjGSbLTC5IGOFNRiYnZWVZBAa2UOnW/EFIolyZzhfYvBn
pxlBry8aS7kHKFj2Pt2WGdhFmgJToenFa0uAVU6n0aRud69WsxOgR8tvV4RpAYDqi37oip2T5RMr
1cTarcRhBEJX7bCaoaINuqJeM4BeQ3XNS9IBnMSXItcDIgQIUrMz66hRX/oprh8qgvg4iFE/owmW
AXii5oFmj7PoREZATIDtW7E7BQJnvKeK7VUpMvVhiUwVzpxmcee2RJwlDQ47uZIhsebVHfLT5Tqi
4T1pBGyQdMB4NvUnJU9CnLhTMA8ldN6iykOSavIdH1We2wqcc9dSzkHfF/sae6di5picYNBmlVMc
x9aO4ZONSmCvnM9m7cXBTorMSw31Ow2LE8zo0k9YNLd6a7hTnfQIsNMixcFGhdGJrfJuw0kl+itx
iQhcJ+DKJtoGT2/dr3IobtOFSY8mrwssCxtVXqP1VF5Lc112BZT4brAhs/Pf7+0KsPayYASs4AXH
SuezdGqCZVsSYCJ2IHCmn1vCSLzYWe96MPUHe9uKQ+ADP+rIwWfCvoR6SvncVS2XVGx1F9CodrLU
P7vttmJKiUoay17cRXjG/dJ2Q0maoMqttp/N9nXsCzZJ6xJdim7j5headoqcArZ/oY9hvkDEAGXb
bJ4P58D69qou9BfL6s9x0mTHXsyPDtJ6khWtwS8WwzpKNa3uXXd8oveeAjRWr1bC7GfEtOtPcXGv
a/LMNgegy45+SmtyMgX5eBeFTUKH2l0XCXt27BekTbTt966DW5e6ZsT8SpJyB280wMOShe00FOdL
AZQNN4TjCUIhD0UGJ9FIXhhPufeLuRzqotLOiEoDi60v7W5wCpLcHI5Yret9ywLnus+t8wy2JS03
4zT8k9zPWlzsOimAfpbirskJn7OGNqUhBKDYtcwaR0Nh4yX1rSZUg6Rsrecinz9h85YHe7G/1RLy
ehIXyU7qw4SpdlZ2MX03ut/RvRoK5EmxzaTCNLcPPl00LUu2AXkP47TbOlvrEOnhbm5TdFCWWWA0
U56kS/ADKMhvBtgJnoVSHh2c3jxrUmDAUcSkZZ7TUzKa0x5UYRVOjkLd3zklozDdoJU2xC62J2On
F9TQgH21fWxnT4SaCoIFnPtl6M96pFVeo8TfDYXkjKIqoh1GF2YXDY2GqLGFaGapnkhU0b2aAAmU
H3W0w7dSB5OzrEb1hXV8NTyY8BMILYgdBfop0xD2fw1xpS1mtUcWYOCV/QxJToZVlquvdK7Y3bsT
s19iULebjM2+6A1q8DodNd9uLD16MOSEPxeQzdLRhoeir3l6g0Zaqfhzr9IjcQtF0La6Z5zf1Vqd
YDv1Nn7lett6eVVWsB/Fctswheou/lNe/9/Kawi4fyyvX6f/OnwuG6bJ3evPaxWdKG7+5T/WKupf
OA2IG8I68tNOZcu1E7DmHNVB1fNrbS3+wsyrofek/sNnQQH9j6WKqf9l4bbCrGuwJWeqZPxbtfXb
neg29UBayhyAT4Gz5deViolkL24dez3klUh8g5GDx1v48aeT8k4B/5veejsIQmvsSXxPxGK/HmSo
RwXHtbMeZM7cgchU4LT2iA07N4cP5M+/dgpsITmUyWmxsWPhnHnbKdRlNGMENFZWREQBpVBbz3SQ
9B48fxQacTow1++U/byiYnCdpf7g8L+vmPGAbf0KxhJ+tLfKYL1YHTFZDB+zarrXS/vJgZj755P5
m9rZ4RDC1emtNknw2y121ymLVCOtPdAT3M/CeOxdDSCdrgHoXVuu0n92i+/8clgr3l4gyLh1NPcm
udSOycrr19/OiFvTmt2+P5iI9U5xXmp0Rq5SMjmKylMxmg8mXDNQzXE74Gw0eLbRiLiMwsu8Kzty
lRHw2XpMUFuSOflRTraLmqgeXfSsRcHUou9dXmx6qzXIThOMt3gvj3pWGl/0jIc9kVTfKxOsP6Ig
VX/EGYvMYHEp5HIqocuEdMPAYBMYSJDPj8wiOjQF8RR7tJMdwapQ5e8tkB1PKHagaZSdcQMsWVyJ
ocpvrS0pejR5Zcp4iC/lWBHBU7q0lo4E6KeKTfq5rsfciS8krLqdUZbfTXKp69T8aq3ODbFfaIIA
dZwadX6JeT1xiMwKFcHfLA2GbXmztvu8FeBTKw0xTTa9dolL2luWXDWLpfD6r7vQ1EsZTvVkXc4z
KVKuYkUnnXxVW9GiE/lVA62VTWcyjq+Gpbj3cGbSYNGyjFFwG9+DsCl8/MG+6o5M/WsUMDM41MOK
nTTMQEpeVP02JiN7OUL0dSZi1crDiYXL4sfTErvHwcnkvEtr271vbaQXCQYPX3dSm0FelqlnFcA4
bVfNXWc9mKjmnpJ87K6qWuPvOPOs39daPp4VXSoPSOZ7j8n+UPKriuSMUWGHUkcVoc7cb1dSaiGj
abPrtiYDhpZFCxFl6bsRmMwjcFrU9CO1HpQQXT7LVG010C6Ldq4AAb1HgbmGRDpo3r+OD2rWqrum
0jxHTGo8/4gQMqWRH3CiaRfabFiHsuJaaLccITlUIIdL4znJO7F4eSpjQtOM+WD2qXsDcCHbKwYr
iR+hQrJYAr2Xy8XbYKHaIu3QA92A7HsW6b77Z7oQUYnWdWr3pKwbjB2jwQbPrcUvmcyTI//saR7Z
1pURqqZmummW/CHTULIqIyMGs6zGs6GnKkjJs2FpFE83SjRpex3z9UGDTUqsF3Nx0fTtGd0rchuV
3LircuG9wRWNWNIj9Ea9MaJ2+Uwcg+oX3DTnY5wx2Ygtfc+Wj/KPXWLFHgLFWB61dtCqLUeLWb1w
vxCz5lOXR7sIxS0EbCd6dvIB5rsTu3uYJ9PZnEEht2s5+ZarIAce1Yh7v1Q83YQobUbkepUihzli
FdNp1RPtfMa3sosyy32s65oAwTxFhmQnn43IeHK1dQnjYVBvU3aKB52Np43cCZByfJdvodAa5lrP
SNcTawYkw1HeeaupDCDJxjxoSUzzrTUDtNM2N1kbFUHVrt9o4HrHS9R88ZwoHo+REstQU9SbeZG7
Ya7jQ6Ygq63dZtqvOX82xs340GmQIHk8TQqQho5OT6+Nz/3IVLlmlRkieW2b2LhHK+0CsM+xvVT2
2F9LpTE+89x2jmk50XFopJbNROuECeLHDT7TrJdRkQ+UuVGzPNR0wuc8kNYjdgxYdLpAqzX1UB8I
65qcqPZhQZBVpybnMaFZCS8A1P0qtP44RqRQlFp12ZfOsRj1B4p5cBGRVvmx053MzlGCdVUYJOWK
cxFH+WtE2pS/EjJjY3//LFWz+YIJYbxqTAKpPIF6L+CRYF2lSzafk7NaHK1SZyIEQiWop3X69CPL
jWqIIzNnWJgFW9xAnlLN2XfmDsWTxrrgPrJX88ZYM8IjCloOTLNIJjBDG8g7kyG0Kq4vbbbmbyAR
lKu8rQpOc8Wowc4eRSKqAxEPNRrxrpC+Zs6mDz7gh3Sv2MvVNs8LzAMtsv11vCp7RznAWbP8trW/
4isjVG1E3hUQxZMdncyxt8mHBlU8Jc1KNxffHpf0QHK8HmqWm0BXqOuzGundQQxCXBEpmqPPj+MX
R4RlnLK8XIjl68dkftB4ctHquw4b3aW4N5yYkZSqbcl7Q67fmS2RFlNZPg1sRF9mOvJLq7PWp55Q
G8yeU8psvesupdYMu7ykaxsWOzuYOWkyBbtGhuf19yrvdS9iy7qz4qg/8n6cjiNsN6ZCc21bZwSu
koUU6EUv/6eu+I946oMZOmjBrUr8Z1X0m91xV9QEJ/0yPv/73/xd3jvqX/wJpucq+OJNAEWN9Pf4
3LH/YmxtUccD+8M7jW/xH+NzQ2N8rrkIHfgAUMcMasm/dVO6+RdqKWC6XLY2a0b333I7vpUFugz1
TYOiWGA8QpX4pvqOp1ldnaaWTLAocngDuMi5sdC457wUXUJ0RFed5xbEpcBNPhRd8gWbnzRb4PbA
WTuM7FVqclDSbxoMAohW8mTnYT8xNSBrBYmqlnIFL3ZaHn76Wd4pVt89lLv5R21GC7/1Mp2BaEIr
xbA3NTwTha4xVO2TJjQcrf2gCH/vUJzKDSas8aO/lXiuGhu5xTQHEnlnlp7G2gY4HnN/mO2P4Mpv
OpofJ9DgOyEk5aIAivlrAT6PkPoKwQl008gFqazfkHJjfefxEjB02d68jGvaCBF1QwzLB6JOrsHf
fj0D0sO2fLEQ/mzNyE/GwwFzSWQ0wwDk3bQ8BGtJWJGa8+8Z5PmKzFxJaiceEnvIb4b8PnaMfmwj
uZVNiNJMHRMNeV7UoSHbSET3f75O3rQ0Pw63GeR1sDZcJm/diQL1q5Fog9zDXwHknnevsCW+I8gt
Pd5UZ4w//xamohf9Fxus304jwA3d3VrDTar5tmeLkjybHIP820wVAomKW/BjuR81n286wx/fS8f0
S8SA6jIz2C7an34sU/Liz9tc7o10BDSrKOfgCK8WTSdjmFnf/4ht/+V3eu8s/ny0N5cGs464BYUo
9844UYwjAYlHBPFNtkXPu+7gdXn+5c8/3BsmrPjxDdlCWhvzAwTH20fZkuSWQ6gT8ceJhSK+NovH
mMDaIylgDt7YOA9ke8v73UGKZ/bfrEF1To0wDjLu6v0o3TGUsz553WQ3X+mzlOOC3ZaCaWjvtvxp
Ut9idEnt+sGDSfv9NkJZBgBCs5hMANbf/v8//TJOT61dkxqwx/No5p6pTLntzbMYQ8rrjRFEWnDD
9DBA6tKEejGbLyrhRddSIx7OHlaMbE3sXoHliD+4F8S7H43n83aHY1Xf1sk/f7TMBZa9ktW1n4dk
W5KIIO3IF2odawghGfYPIMwIxpwsMlbrgrkjDMXuvI9YwATlPKCEwR+A34DpLVIZz9Aays3KATSv
x8tZLPXuUrdW5bjmEzjtcYAhZm8cUIJwHyV2qMeB6EXfNVCSdKZi7xClpShkOifE63wa2D55RFtJ
f4iEC0oVfrOZP8jJ6S9zczG8xVjxuRiMzSdluKpdJlltahMsbZIvM2MqOFeTRX1SkGvusypXNkLU
93wxbgeyQ8hJivPDgIviir9c7f58tf5+g8A3oDDgrkeM/5stnXw4IcW0/eh9cqnkMoFyqB61dL6X
a9SEUpIk/v84otgE2miut+fNr7+l280jYYn5sO+i6KiBZSm0+KtbmecsjPGuudanPx/v97egI2ye
NjDkNmO6/kaP3cfuCMxfDvtsIfxTZ/hxpF41QkfvPmIm/36ZOvSsFtxeouo2ofmvXy2WYsymseYt
6IzirFZa7VhPLEv//IXePQpqB8oUAkg4h78eBbQPql1wYnvF6lT8f7arHEATOtd/Pswbav/2HOPb
4BHB0U8SKm+/X4+DH2rVrMbt9zOGkKDW+mxnzWUcsF1AxRP1NiUFF76Ke/7UOU+dHu9rM08/eiwZ
HObX2mxjaTBmdrZhpWa++f3atibJeLR7dkyFHWJJLHbRlA07c0L24Bvmah61ijzXTq1ffwiZ8mGb
yAl1vCADwTgBX/kQ+/3uZwIl40C1cqlZ37xWYlNRCMcy+j2xU9VR7UToqhJncTW0l1HfYBy3ZfNc
CG5luGLLldwyfEgrATfkVMgpquIVMN54mTvI7tfphamd7iOjbO4WoKLYMFMaPYiOp2ohmFkdPiou
9He/AJEHjOeJwtikL788UIkwd8uFneGeHfht3NnNTk5m/JDwFPOb1s6CqNdU9pTWwBurK09kXnxm
zHYP5cA9yiaKfFZ4I6qJ2r1BslDfO+b6uooIureTuLupiZdgQi/Iu2JgkZcS0vbB1bn97L9dFj99
gzdXJ5tHPnC99PtFyeIT0I7qNAhszliIgyHteMhLknYZCh6NemGdjzzmg/vQeP8kspPAfcjk+u3t
7iw8SxYh+y3JdiCjE/fhF8qqa9vsUfy56re6GOcn5ELJ134DPI4xizA9CXLCxLwx7ne6iraGDER7
ixafcFTosvETDrifBeMqLK/a61JpGo9K+8428lCABw+YrD5hR+8O2ijUc0VoxaYi/myP6p21cCBS
l6XfTC6z1D+f899LN5IPVTY9VAhYb96uLQQoHcI2eSC0WfFURcRrZ0WgrBgm0Ngb4Z8P9s5jG8WW
oPM0bf7wW7J+X5BH2vHQ2Tdx9d0lWIe39phhTvt3YTTbc44jYQtzTdOCSPPmZiaVUBIQKLiSuvg+
ZzYDO2NlBgarAWnMkpPNrFqKcyI74SMm1TtvX0s19Q0Nx4uJwvvX23CI05Z8YrXfS3t5jgbnerbb
Dbz9vbCHL7S8VvDnk/qj9nxz16CgYyqnEbyBnO7NXUPaaj+nKZcsbXh1Kw3qngVlyFKhYofL/6pG
5T2KjTmIl4bixnTwOPZxF6hUK3/+KO9eTAJuh60bNoEcbx7rqRxGkYzcv7j5h0BtUB6YCRJNJa1j
JFTZ9z8f7p2XpqVSOW5YOFSAb5/YlpvlMcIufuSlm/cxewJ/hRX8QY/47vnVmGRwJXF6ofn/+oNm
vRbXmtn0e3pkWMbjTP5qRVSbFTnKceqJNo9HMlEhbxfhFCFOYhpQhPOonK0r/uQ/f+ffm3LHAtPA
BJt7yPltzTgtUiBAzvkw46CGSYztpu/WC8TesR+XJB43fcms1mbIW+dS/eAG1t67g7fVHwwrKFrm
22ttIIBcN1CT7MHTJ18au9vEdV08XMGzEKUHxt6y/FryBxCwb0AAiFeFCNQM3Z5XtnaSIzJaposx
MdgU6cMgGWRuXqQ/n6V3PiZmUHCY3PrUOW8toYnipIuorHZvzVG3k+Y6hmbfumj9RPrBKXnnUOwm
UY5CP2GR/XaPjTiwZ0Zvt/thjdjQGQu+sYrwLU+x1P/H16IGZcFsbSO1355qzYYCaRyz3Qs97W5c
oVm7erGjM1jnTBH/OWh8Z6L1zkOMIzEWoUS0GWq9ueb1NYqzWnIktFtxEA1Vc1fGrR7ydls9dS5N
z4Sh9MHj491TSX9tWnDgcNK/eWjHsVoNbiLa/aJrI6ubGUZEViLAUvX+g0O54p0XPZWGis7BJbqG
J9avd7VDbLaMV41LxCTIbIdYbOj8NDEnXAplVBW+1fV6YFGTsw4wxknZ0TnKOVxn2yhvUOtzc6UG
M8Zj1C/Fo97g9EQqljsyaAoMfyBh2uRzPWHeyIG49rs4KSAA9ShDybnmKxm+bSGhCdxRTNpuMlSy
qYSymXOWzl7DGvxAxi4s0e4tqUNdKMxZ6LtMI70gNAjf1j+5BNmXr1bGsCRmfaNaydmMqDja0lK7
5KEvam05otRyxT5JtRLNrdpop3KdZ2Xfy3zsL0VZSefCHOQS3Vi9VlQ7/m9lYlPagXPxpOligKny
0YwvHLsSdrAJD8FoC2xYI0FH0amrlPoAfqWKvCXudCLok/QR+ppBmrQ06+yIESxufEdC4954DEsc
ls1SdefZSDsJlIrNV7Fn1eXm6InFMgc10efqWan0kcrcoWz0oCnFVlylxPZ8tnu8c54N/cZfHZDb
d40AR7Gvhz5briccLXdVanZDCDLItW/JN0HSJJcxlkeKWPZmzuymO5OkWIKTmnhdfWBH7r7CLVWH
BUYgZIWK7iJ/gtf+gA+PDVpR1obfm8mosUZp8Gc68oY5706OonmKGr34VOClux2A1eP6yGb4SlkR
Gq17xdZ2V7U9hk+7uo1shqhmEodg0dK9buYT4NEcUbgcT8a4TD6mw89ZjmJXSD1CdD0bO8y230xD
mfCtLLjizM7eW/2khq6ZWnsT5oNHxbzCQHbjM/wf8xd7ABNkyiWDnDB+XltLHEZjXr1xxh6VFo/I
6kMLEPa1QI+AmLdKr7Eyrz7aQu3MKYvkwpj4PegWSDoHwTWjbtsLRbtJU0zzaGujY+SauT9nuaSo
6G2fZEyB4tVeb4hgPSIIRvyyEnWbrvnmiPXnyexOOXv6AEZTG87oYr0siTDY2Xl5NhkYHPllryPH
vC2VZA61yUl269qt/qIMMoh0qBwrpettFBfNS+X06nmV2GzqB3Aaszp03y0Fq4cyjE3gMLDG61WL
Iz4SKDMQ5I8YL/UjvHycrvN40jWkBqLRdrlYPpWqbD8BGjug6bkjceCTwJuM/pRlaCejT6WlxB13
ICvOUdrVblTaKIAre5+7TnTqIyMN8L44oZqZCr9Di5wvcxEY0Tfcpp0yXrdx59z2cua9aPTnwxLZ
XjGvqbco1WvfYvl2jCE9wOkuD1XpjN/NnmjoJZ1WJlw5KiIML7JuCQ2kNdfVLiZZJnWH+7wmD8HT
uXieYM8Zc2BDVs15mfKQyGI5PTec+0sigFLGI1HlObl2VCX5TUo91ASOr84Z/0sdztwQYYRneOnP
kWbEU/+8JJ3dtx70IMTwwdrr3TNG3J2aQSnxFJ3PvLcVvf4622veHIy8wExaOh0+sqXWbCxAijVk
Xm47cMBwPQrlxHhW7RnStumh6zhT3pBXRbA65Xj/w4auF5l+H6EASI9ThuFMuGl7qU1YCZEoToQZ
Yzs9JWmvfrHUiHqS+W4T2qtanDW8ZL8OSBbR3i/EvWeTSI3zmUC8O3PMo+8uw33pUwWUNN/RqAbr
4swP7JnK713TWcj8y157qWa7C2jRxJVbgYEjBxvMFsEl+4GK5d5ZzOx57Pk7i1Ig5B/09rRuSWXp
DPFQJ+P8iSkca5CsT9BYj5IrITHc9hORNO3XtjERNsxK+8luiWzPumgg/w5D4y5d1P4JmwRJ33Y9
TQHgE0zbcu25OQodfWmumnkQW5bwMwquo2xFHtiMkP+bvTPbchPZuvWr/C+AB03Q3aJemUpl67R9
w8h0QxsQEPRPfz5cVf921T6n6uz7feNRjSUhAcGKteb8JhiaLmz3BfsmeZQK5B6BAsnwsYnHZNkF
2AuJUUrGOIODhgBpIxkNnlSVlus1aIznhIClJ1Oi16z9FuULTjxlfKxCwVf0VRGmN4m9cKheMXwc
YFmNDO/j5JoFwOEIO10udYe5SqQAPZWjsoMwM+9p6Gx3iahEmrOn0vSajxrfPIPJHY0z95q03Kq7
qpbLfumnYk9+E3HWMHaTa1mqVY3H5P3KTdRwU3F2acI350KGcL3TVL23Q9I+iAU7vM74vbO8mA/L
XM2HgJiQo9GKmaB0u3lQbqveQbVV7abyFjVArcOHxi+bHd1J8rYG+CWrFc1ZWWCtlkGr925W7ScG
7PZu8f3ma22hQ44W0iAR0FYyPid0Iw592Olv4ajdq1gaA+lwHSbXKXNhKoweOoJvCxCjYOIJPDoC
pt9oxWDceCyv2m5SO42UxBx8qylks6DvY42V2rSelTW7V0DM8Yvy0gSAVV9/8RKv2HZ9SriubSyx
hauIItLtHRtlStCc59aMt4nRDzet5MuT3Dy9EGXKupjE2dFRvFqZRnLtw8ZbIpRUVOAVqJircJry
RC7kClcKaeJss2KMz6ns+AtEswRIOsay2+aLqjFqc5/Txqr06zzTtA7QlnzzE+Fu4nhGNN1261Xe
p6pn5mK7T5lMB9RTHY7cseYgSxcoQ9C16s3JU+/JgDhA4ko1pldiLZC5aVG1n0qyY+8DT/cfTTUV
j9l6unE8BLcuGIbHRgx8UGFA7PN9NNEUGelVaH41iEszKm9j/mEumJuNSbhVRNM+frRlLk6NmVa3
njPyjvVSgBQwpxd8ZPrbMg448peWlvjOkOn8w8cDjJgIZRrgQNfSGP095N0bz6j9ipV8kUD0EMM9
ipQtV6R63cwnOaCt4LtzJS1G07L0eoIrjTUrvZZFXlsbaS31veHkNHGHueRcm3g7BuhDdVBtQhSF
dWCwZ4K8lIN/GgE01bn1USQrAXLU1ndvyHvERfbUPLBaLD9qG+nGBl4InvU2d/vvRC4tLucMW6yh
FD+Lx5NcH8wRv0tEPqb1vNil8Rh2JquZ7w3fJxU0D4Rz0fhvbHWHiQnCZB43D1YXJFfkRpjAwxXS
uYJPWcegw83Y2E6VkXSvDYZk8wHLqmaNrwvpnuq55sdDVnxhTxzvFVi1FRti+/RNOwdbdewEXxYd
dHexVMlhIJviKDzJqeGxeeu0ougj10+ye0+Ax1CV0C+tGmJsKekP6Iv8J62U2saDct7dMCHoXUEO
VAJLse1M1cYdHO9g8XtFTDTFtuha7sPOkfMjmVcrhJddQyVy6KFlIjalUT91obgMwDyZRZqYHLq2
3Y59mJOPEJyJqSexS6qWjy28qzlK6y71JeuGszBeNzPjMnmGulazGz95QGBX7EmPgSeTS2RVDBsb
yzVPbtadh3kuQaP1w8VMxva2SvzqnKTVHFHqUwICssSylryFbtqciKybHot6cL4NpTg3mWmxpAX8
4ehmV3koXadO3MABFa/U22Y0E+PzTj4Wc6a626d0lk9NXPtMy1IK0iGv59eAhNdHs0rHPaFER68u
m22IPwBtYFMfg3F5o/8nPxfSX/CUIKZigRGozzx2OBsf6AfOgaLQp8IwnWiI8ecWUqi97nsGX1av
tlSo470ICvJy8lw/kXPqsdSFyWMPRx76ROzf9ybmXRrTc8SmVLyFWeh99HRXHrPM/zjlpjzQLk2p
AynlIpnNdVQDb7tgdIxXcMIpdhbrHXbXuAd8ax5IwSO9L+ud7ThwM5IR10VjQaswmWfvhuJCvObC
RV811XtuJxbgGkRolHjg6kKiyn4MRW+/Ynqz7kIZLqgWpHhW6ZTDuMX95bJ23chYlx8tzHgPM6mb
excYLsFq1IURMQAkQ02T+r4warI3KumyuybnMsgq5NyRMVXIr5SC4QGFASiAytsNA4QoXDp70/se
Bb1I8rd8nopzMlbHrmjwQrnCuK3RuD0spv0KBFXuuRX3QINQIjPVoyDz+zswDvFLWdSUGWLYFyyB
eaSCLnsMzBZdr3SCGz1nrF5mukvRzkWF07pXqfD7bFKsNgwtyuU0z/VwWXXGFTWaUXDDedVZJVN+
JfQkRYUKN4v7roVbFJXEQgLvq8fhEsZd/knCUT+4Fg14WmsQHXGD0NLoMwNMcOw0tzPNbHZ1/oBF
pCf7+ByOmfmIxffc5v50jIfV1qeLS8lZvtEVFkItaphsDHiiatTdLX1fwg11fiQnL/wUMjNlnwNG
quo3MnWXTaOIlcv9Kg2wBXXWpwnI7qm2/Xdr8b7Hbd18oWItv5Ra1ixa2ngB32jsIUoku87v5cPs
UbGURBox9A67lUUYp9iAzAnOAXnoZ8OpR7EdfFP7R7+w4IaRU1NfjXEFRFYItq+0b4AE2UGOUrwn
OWnhGsXzKGVePdhNIB+8jD5ylM0soITbdd9KbZvvFfCWb01sLmpjG7xhgwrgjAGsfpqFHYyfWioe
zhuxc3sJWpqnhOE5p1LBsVxCYpV4WtI7WyApowWlIXlCxQ4wEnVeFyGyFAjhARdLbNffdK9pIui5
lz8KCEIQdZYu/mLq3Hon/4AnfS2wy+lmir/YRcsmnLhgUD5qifU3w1VQROyFDMrdUrjVU9lMLAw6
xaKHX46M3r0IRzoa/ZRyeaREQE1RXZX1U+r1BX7BpI6/wObiNaGaAGL6eViAWqpMLiMS5LpiO2iO
cpe7yKW2FSotn03MxIfmoAn1TbYgetxqsxrQzY5YjZI9xSvvjGVqqk9ipP24TQVBQAdjXkuAjgkp
iNxJhrd5akJg8lpJ0VrGHmfJIOTI25RTH38Z2gFYTdJn4CrjxJU/7L7nU/uGWLvtKJzwy28/pjsg
xY2QIFnZZtFrepkPKp4U5sSrDw5JhhsHJ1WBc2xtCuCVqZ5c9GPVocxy2j0oC3AXVCSNH5VFF+iK
4Hyy9uQUujdz29VP7oiiglPIvHUzxg3fr/Bd+iGtMov8RqNiGA4S7Ex6CYdu+DEgQ+ZWsl2FX9uw
0udiHuxD1VfVq7RCYq78sIFMA2D/eUyVnsnkFVZ8FT1f+mgPJsdIVc5RZ1XMyfPmqTKY/yF93XBO
uHfp/acwxrFygS0xQNezSNj6W8buhQyjkYp41oP+TphcXh7Cvm0YYIQyyw/wlO1pUwKupN7ldC7H
iv4fdCDsqBHXIRWdmwqVn0yvpYnSMlvJWVwyt+VWx/LPaw2eXxtojTF+sqBHVmUvxI1e08HBuL2W
kKVf2R0kMzt9sXJiKJuyNs/MpNvjKHvnQSbBdIuWKfu4LOn4Mtpi+K2t/l8N6j9oUNdYi186w/8m
QaXqo4D62v1P/eN/iDfs5Xv2Jz3qb6//w23mfQjX3EI8XetUBrfQ/8pRff+DRQMg9FcJRcjAn97u
Hxi/4EOIGDXEV4Y2jqYf/+t3OaoTfAjYoK7CMm/VlfC//gOaw18HOXiIgEUIzFE2GjXPWb/5r4qj
GZGaRQvLPBIdtZHJjzIxrtMM8ooubMUTWmbmWZvxLoz7T2w+otz5JwtVuA7/fpnV/TwEx/OY0fOd
beZWfz6E2vWwVweJCaR4Nu9i8WkO1a0eil1FI3AlAJhd029D5qNwreKLUrhAfFvQlbI/i8HeLBCA
8ZFezAWGQB3sO1qVyrfumhT/nHBBfCvwfVRZAC+/CjpPWZ1GPbQ1o/iSa3u3/iPy0Uhk84sm4jQD
YAe7YXbDIzu4hoUT325j0m4Eqd6xFzRa7Thbs6AD4lQf56CIiEl2WH0CTEaYLGwHqRWPd8LYHkQH
MDBYEVmBcXHdHHZB5+idLm6F0T+UadXvpiqh8Ay7By/8bDnGTif+28LjeydzlOYe+aeev5ENybpp
ig6r3A6T3LR98YiN+BlK1kokIrGuU18A6ZmHrOzvE+3f5FYF+hutVl5sGo8GprdwGGPXsR2vqq9y
EuahyAMKU3P8WomE1kqvb0HnuFEJ5F55mg9b9lnhXBNo/f9dXH4jwfzD4sIdti4B/zt3+rfV5fl7
RadTf//+q4P191f9IXG3PnDr+yS6AGL513oSmh+4j5lBsswg2eHPf60n3gcvQOrK7IoMKtNax8J/
rCfiA+IehFxox1xUPoxy/4P1RPh/mSGhL0d9hpIe3QRZu6jm/3w3+3ML63h0q5MxgEFUB3aZST7s
YmMcKVgkML7Iggk83nY2hhVJB2Fr6QkvCuitYyMFvRc35npexVp3Gr/jMxSrYoeoqNomiYfYY2wd
vCDe9EmChG62M/XKW5hU1slWJr670IX9mCZi58f+t75S3YldTHJwoYht4bk0GysuUmAZSI7nwTQj
3LJkT1JostUBXUjibEAJm8/1J6Ga4K1qtTz1U7Lsaevte02UhNkN5mbIs+Rq0Z05VnMGaCB1Bia7
WgCoRr1df2KD2BzswVjOmJRWoh8r+Xsc+CqN6LyVTSRBxlxY8rqXIu+C2ylfzMd+bO1tVfoPQ2+F
FzMHRxJI3C+QmNlEgTo7Ln5PFy8DyIWeoj20flwdxww9YevMD7Wq/VMLdH/vGbirFtBg18oPz0lV
bN16Ku4xjEGoiu0isuaRrNiEQIUeO+RTazqsp40wN+YiBIm9kz71ejGOxGjD0yxS41xq2iVYhpdN
Cnp6q3OzvjRe6qe7hvZNHo1j/2zBr9/Z7B1vk1i6B3z/cm83jsu76uVBDba++JkBd6y3n9HYTV/n
ose7NZJwH/uFfljQ3QCv9sq9h+B0a6hpfhRZ7r/3MK5UNX8xZaaB/YBmY9uMY84O449DkNX7PI+9
b0HmFfMFwGZ+ocoFAwvxJ91MgDt2zHGGbQZ39qi9tt03HmDJGRk8/WHXBh7AqtiSTPIetNX4I4H8
uV9Wggk8R1ntuG8E0a2jhgKRq5eU4MsXKvL5zfCwkwB4cM0LqZjDDVt0NAbS5CRnIWYHhdUtAihA
2Q4X9BybXnWlTV1fgDO/pJOhushwRHNkFFg8THVjnEmDH662bKGhNxnIO1UK9tAZWFL/2Bt9Nu+Z
QkLTDZEuF0g7pvEM62+fVzZh0svUOuT9qWBjQ1Jb8ZS2PM59AIhxoXrHA9ib1YYBhdwy4BpseOaJ
T7KEzKLJXuQ9Xbhj6JJplBKje2k9+42WiR/fNk45pTfKKl+9rPUfZe0eYiOwjJPOehHbh7JDKu1H
QzhW4VcCO5psl5BRfF2A0t7r3g4kwlfSB25F1VPtdv2Lqybnvg3oKvc7+CLPyCzzXdj21i4pq/A8
1r4to5BGxEy2iKceFbukHII7U0ugRH7RvthM+YppS1+16igAPL8mN4QBpTa2kjaGeWWh5HeXg1r2
sZfD191hxDU/L4SGdBuTguGumX1M4SZS16bdaXe2HtBX9vE3ug9642ZLGLHCRaklDLEzIdlx5bpF
FABGwldM5A4jv2FFp5tdmL/7Rjwbx6AazPrk1uVoRLiWe7Z8P8NqVlycuIy4mQkNIUepQKDBlYKR
NoG40ZlDVDXjdF91vvgGkbYrDpBlBwDIcwMudTAyapoOFm+4q9yCj1wIqfAiOdH9Zd6O67nQ6yTd
HJk/sPatiO8iRttlhxqkCM65nA4Wg5z6SsyEXXtkVDWp090U5eia2xomAKlUk5/s6BV7V+ws094V
wIZNs0SM1rr8xsBl4/mZTDb7pvUMesNF3TbmZpHhSKCw412YmNDFy5isM5WPt25Rim5j945/6C07
PTB8DQ512hb3lV3eLkmIR7613Pp2SldbslL+nnhpgmVLuALcVEMGeamveivqcs8+B37L0LVi/A9C
lfUr8bJdm2C32Zs+aex+qfKdZ2sYScQdGZFnVNWdn/b1YzD43l3ngWR2mRtBaXTCm9kJnIhsWmtb
TCI5dC0syWhZenhLUi/z12Zu3nlGtXfsDb396Mf0vQeYzJFtNuYTEol4T9BT8AL/TD8IYcQ8HKoS
g6Cvr0yDSDdge3ceSDb4umBIu59ja6t9LzmxdMZHei3mp8K3si0+z+DzYOEmZC9vq2PuNtMN3cjl
gsyIAUQzMbwY5xzkowPxs6mHO5KS9gAAkRJ05pJvOswziggER+wYbC73CMByAo/Cgy4r9YJitcNW
MfQHq62AkA3SbWA6Q8hZtEF8UEmv3IfLnG/byQ5uMoclPsT3tFWI1KORz3+aMLdE9irQSDAk3Ks5
Aa+zpMWOwW5y8PgCa5t4KCNrFClL4yI+OU5DIsPghuptCOzuYvmL9X3AsLt3cU/sCrzrR083zuva
L9zZYZ1sFTbrPe02RU5NV94V5th87LkPL7Bf23uXrtstyveKWr/Kb8F1ZofGSdEV49TduKDljuUy
fGkCkd3StU1fYxi+d3Fs4WrItUclIJcSDBOW61o65p2emPJsMu78e5fW3AF3S/uGmANbP9MitAHd
QwtsCI6CDLyThM35sOaD31h5Ub+POmkiNUkTXlFtnlIzeY3byoM6Caq1BGwaGcbs7MCjgwoyLXIw
qtjcCZpNFzfLzBvH0CTY8PTHZI6ZfSsgp5KCZXUvht13AfyxBKS0IHgoNEaADMPkhZsGrd8GzuzM
7Cqx4Q/IwGbyaxaelfBu5hgsTsBN3Q7dlu6Y+2ZPzCQnAYozolPKStC2WA25qwAs+08OYffEaEBX
yJL0WXuzyh5+Fq3/bR78Q33v4i79u/J+81ZmP0i9/3PL4LdX/V7eo/3/QIIicnUcmi4RnLzhHwBI
zKiYq1GkCOyt9Az+VeJDojHpJngBBX4YAr6m8P6jxAdt4/CG/h9sm/8IAGnxGb/u101EaPhnPRIs
0F8J+gZ/rvC5hWvVMO67q0Yn3A3j2gSrndwvkK+Mw4NnuPM5nwY4aaZZdJ+7WgwvhWCIEOmwal5/
+fX+L6I86y+qvPVohAmABUUe8QbY0P58NKKa1xF9P9zZTWXdJQiJ6Ij6NQA2zJo18qJR9J/9gdSc
qJUB6SZEfvN4jBftiw3Nmepb2HVMdkKAADi5S+sFOQtjp9lz4+/WbCCO+fsj/mni+qXf8fOIcRKv
QmwXvfdfFcEi81PO7dzdOROciq1H2+9lwMfu7Dt/rpmDkqPGMNqPg2jxPe74uTCdA6xJmrVEI3bf
UpjzFoNYRbO4yyC6d5AGhshv3YLxTJ2n90UfngEvpnpLREn4UafNzyf9tKNB6V3wlA3y8Pff6t9P
gy8Iu+NEeFwb/+Zc80lcHA0CmO7INIUkkdAJi0QBl48pN5PhcWrDJxVb5ae//9j1Wvv1t0TIiufX
d3gomesf62H94uVzzSlBhZxUYLQJVbWKtL+rsAYgo08//v0nrfvWv34SAFXczIiNkUf+5TpjKDsv
TZvWdwDJxFszIjM5oGSf7ahQ6c5seoYhjjkHiG4cd5T/dNH8xQaCkJYLBeEp3vG1VfbXj8ejk6UJ
Oap3Pqmab/AKqCGxypcHd5F6BxStpo/DqT+MZcNGuylq/3tXhvo0Qh2+nTynNSmM8rpYB0jyxWmV
7YCVmefviqigLbm40t+4IQrLI33Cpf8HbelfRdLr8fvrskGnwRbcq6uG+5cTZXq9W7lubFyg0su3
rO3AqlgG7BIROfNcJecxzYr3JKD1Ny1NuvdqMWVsYwb/R+cvS72Z0XVvEE8O37PW8b+hM0z989+f
YhLT/3qSHeFwEdENYW3l7lybG78cpdcGmdmmnXPJBWlzYbBFewvPv5uccI+Sqd+0U2M+gBx1+yhN
U3/TWhVpi60Cqq/sTVE28lGVrpwivxwTGPZM4mbdYcR1G/XC6CTYxk0VI2HLERNmbJuQR+a6uhsV
5uDGoDpKgDMBsF/idSQwpPLoekAe7Ty5T+bKmaKy95s7dLTPnS0Nh8AodK5Whjp42wrgSGspkN+W
qRt8js1enFP6QhTb0wAh1kyFpKE9ZycjIOiUjXawbC2q5e2ST1/B1nRPvWkACxxl5+9j3fQndnf2
c5NaY3GIfcPKCAgpCORzzHaIsqoxvvTSl1ultH0q6kqdiPsov2WDQkqqHFk8Eeg6sTFsBNa5uKVh
yu9wgHEVXptRTjsxts3esiZr2JX0e5LNMCISQ+qRxjuJi2Dbq/CaAogxt5ZVd0ceNTYhM2ZOOkfn
l5+owtIbuw3Vk+t0LsMZVAB77UlMXB4cJ23SVdkDJyX1YZrMNxsA4A+dIFjdLHZHYie11JDsJwKx
uDnGcTcnQx/s2zpec+wcJIj8VVqwAuagN8gBHrfOc2Pjx3R3/dpFRCq6Mt44FOTy0AJfStCZmg8j
ozGmCK1JH4krqds7HTYlbIT+dIvBlxHzQz82nZQoG8Ght98whNj28hm4zeRLOj0tS3n91Z5l3jmM
mLu+V+ZdV3SymM4Ia5bDEBIHepJtxl4wtxlBmr6BUmV2GP/1nAOUx43JtG9J5drIB9mYbrqyGJud
V4yJuWlLdpPXtAF5UR+L2Sc5bJ7KsLtFm+BwRY0xlqRxg6zGoJeU5vGVHYbjJViRFbJHy6HlvCfE
tA3ZRvHwivF2ZB6zfsypboRYGYtrjS+ZDNWwH+P9WJKJsNMxVcF+hdUumwCf87KpQL+s0+01j2vQ
c0K7gPm/ZKueBT/QjbC125q1jW1XBH1w5wJQis+V43e+S1Nj0s0yHzV+mDal14JIZRfrgYTYsNUV
UXelJ+ejqTUhIK49E/frT+5cHrDpkfzIabVfDSVRiDKfKQgpKKRpoAMwDbIHO4aMuZQhPPw27Mpd
QSLM49J3jrMnHcC2btIxhai6UiTT7hC3g6qeeBg75zxZ7GLfK44AbWS5KhAtvFybIJ/VeJHBzKVt
cKu029iyesCRrltuk9hJeuyS7Hmj7GdCV4WAbvleFlBEtmCuSzo2s0QlY5mZOCaZT/wqoQCNs83q
DAVuHzMmNsZWhfc5rlFB2gFShkiqfDFuQFGJPVbwhKi/NPTVzsLmWJ/Qv7PDL0KRAjri70UW6pSK
yydxVokyttiomzLjS1shb2K0wn1k31kItZHrBijHnGeQqHZ/h3cWIVIVNt3F7SseSUwfCl4QotR2
9nGWWtXnBR19ekbbSQAaE4Ylu7G6pHsWDDrfUBgzfw0sLt59j/bU2cG1Jx5R0mYjAtFpCr0JxniX
WVnzuRxHKouclvKTdr3xXbWpcxz8ESFwUGCBo70U8z5uWefT/mcW9TIpune6c61nq1v7cyPdCxIW
rJktFsKHHBXuZNsjvKiEIO+fQY6V2awXZ54z8fVLtK/3aC2ITzabkdoxHSsOrNYsujc8wcKPTmBy
dUtWyXYbWCGz+k6HsX2fM6UpHu2AzshpEjkRyx1KV4pPJm73mGY95LOj5KPreqGnN9myW5gt++uX
b4nRHlmfOC6FAAtJH98CzSs/VUrSCMGxxcCto8qkyICQ+KtsBWHS228RyZbdVem1scTcIgVU+FdP
6dhO/QU9uYIHh5pnooXBaHIH3g1dBf+uGyJSLRaQKbTWOrmrJAHxTngOhiwLooBYIq6LOfHegKNy
GFObz49ON5n6JqHMzW9qVRX5U8DT4qArkwFcmDSfscR5TZQK+HFnQnDD/iZO62TYzviDcBL7s3NQ
iKiB5fnN/LUoC/d+6rVZHxtzHopX1KSJPkqEDj/mJVzXkKxBgsE+IFj32DPBE4omxKuBow+LhmJv
7guWubkd08cMC8RNKIvc3bo2vm2WPQz7EfgvIl0BCCY70ObcJlC5nPAk4Oc13yUL8nxmwsK9Ma4r
NnINgyVlGjBM8ZAZmxsLlbC3gRvSDTxpnYEZQtvkX9pwCJ+NmTL9vIQdkRSdxqEQgWj3h1NGzBPE
bmmlcL3HhFYQWuF03BiAAPZLjZ7nMs1++ZQPaM0DH8KjxPpxXEaPk1OYll4OCvVTfam8SdwaHXSZ
XYoed7hJ5lGlG9w0Mn2mEiGhlqBwwMF+pokySTX0snAcgoanwNw8lUljZZ+smnbBEC1UYPOL6hwj
5M1wkexS3yiSsxGr8T1NTFpEpU9L5JSFpvUwaYNwo7Ynp3lHEAcXaWZ3uXNPXNji3kkPi0/UqMH0
LmtLg0wKqhu9Q5nBWRsDsr7RMyIjjAKtyx3gv6klCc4O2sMSNFz9hQAwDo16NvUmVtprXkdass/5
T9kOT7qQ1PBE6vsqBO+2720V5vsAvdCIqeYzCtCRyVJRDP4LKbgYPkY36cRFxGUwPDaxXhWcxLXI
nUJX1uzZOMzTbUajtb71W5U69/Zklt4pnmpMEhluoORStMaabYvnBghYJfvuUpYxx9+GBQbDNCjS
LTQn8zQ3gvt+9ryV2E2k2n95v/9fk1LGm6sZ+v89KT2V5Cfip/l1UPr7i/4YlPofkHvb7JZcusmh
t/ZEfu+khNYHuBxesKINQAH93M/9EaVBu8QkSYNsC4/dHqiYf3VSUHMAD8HSGDJlJX/jP8L90qj4
834DABGosdBlDy5W9+hKKf51v5F5mchLS6fnqbG4ekbF9t/NUXLCJqAKoREgcC7lbJ2LBsH4atUk
qW8IXIzLuqubY2tJGAVBTUbFAosv3pVDvYxRZ5rTQ4+uSRysnL35QxHm7WuDnM/dICJO8s0ckxMc
MZBjCRtl0ERljMUq6iXzP6wpvccMkNow0mNLvLi1dAKqdR3ultJ32t2wwqcomWs8PzpWJMhB334H
Qeh//Zk80wUhnYiFoWLE7U+WDRl+tru1klHYt6HNwEaH0ruMYIMjOfSPGoPH3td40qO5HExnS4Rl
9qTyfH6YUrO7axNbPsqcfjHha7WBLjcgxTCqXDMJIi9Xj6WrBhTQLPxozedjAiHnbBM2cWOlwWHK
bDCNac2YkE0ohZNOmfB2o11YWyYVzV50vv1ahthxM6ctnywbO2GYCgiys7q6NZlRGI6c+97O29NQ
z2KbWvZ96i16i5XG3xlz5kWTMsp7xzfKO6caH11zZIRUlpgm1OSnX5FJq4OADrZpEcjdWFKii/am
5nFgM8vPnmbJBe2iuBvTyuHY+qW/NccdUPL6Llat/JEPXshORsx77YIDSfAkPcKq++rGcb2loR4j
0k+byKPVQ8bJ8hoKg1gDX1ZUCO55GBkR+VR3TznalUdnCqcbR/njPSYiXCJF+p5D4Xpza2/cslm8
AQ87b11ErOvwUkStp4yHoZ7kU9kWclMV9HkI3mJLwS/Cg7B4aMu8IyodSQz1qH4pJoLshLanuxkr
11bh0txZLkdqoMjemkOcPC+BjwSRAGieb3lVgyGm3Gp3plLWjcPG5Dyb/beSv39NelE++EPFYx+v
XfjoY1Z7CNC7RUsb53G0WhbvKEe7Ta4G40DyZX1YjL56NG2uaN/ru1t2GYLMOTtirkEpzGV/qeHE
fR5aH/Oz0XXpWeSptcWcxGR+jVveNkUxHhhBsHVs+hsPNt/ZTL3LwPMZLaoHJLMh6pqyfjKOTlUO
RaS5BnHfsbHuY6MDfNp9NIxyn+rlEeu1uY/9GzGwJyNS7tM89vl96rRXo0NrzeCZ8EzxaDVmuasC
9VUr3z+RDk3uyRqqZesv0ic7A9UhiGCZ2TcM5xAxrmdq/mYkxATWFmSOpTdfRR9OG2LO4qMaB+My
BmG4i3uVbHNTfGYx1FdbyWnPAA+WaZG4PL60+CjweWBg9PWWkE20o47NbWWcfRBUa4jdZ1Qcza73
ZXso8W2hLj4vXXbbyY4hcwfgibDOKtY8/zwiWVohoVHlPPUZR+4JkJ42osj1I5V5+aACNwGiyc88
LwWJqaE3PcipXA5VR9YHNgfqgWKihmgHdNbOeGpnMsm3I9vRh1F0H3t6skejmd27kTKD7UZUazGa
T1VuEBm0bazWzpm3jY68Rel5J9vgvW6INve8JXzOnVntIdox4Q6y+J4xYHZ1U/1WCQW4FwxytGTW
m6cGFxRda3ZfdMtXxhumtq0q7RuG03JPm45L2kxKki5EidEuLe9nlt0onVjvaMqhOPfRKix9yBQs
Zn2mc9TdktMxkxYxUQchqmuesMo8VSa1MSBZea3RMdOsDste3SdkNp8cxQaT0lgAmi5dakxN/sFJ
FQPenIwZ2ZZqO3zscv+Hqs1xk9gobcc0KHGSBGyUsNp3QaS8StbxRmQSBcum7t0cf1LmGWtY27Jn
Nif3c4oYmsUdy/HUf0zLWVviOA9Vd5akv/Q8W4zma2Fgp6CIzzF4T+loe1eGWyjhCLgOjgUCg4VZ
U+s9TDywGS7BLSbegkvv1HaD+0lbWXtOF8KhIoYH7nvH1Z9tLDaa6cYyYl+wJVP+Y4Nl2GZXbLZn
sqQCdouxgZgvr5Jj3DDGxFl+Tcu+fMLd5TA7HvA4043iwg2XMf0MBECznxPyaDHUeiMgm+E9RkwA
M+RTidvEaelf+UIxN1tIxT0NCkkeOXzDEDHyM5Cn4OKpCmFCqhT2eOkGre/nyW5MLE0zsYmLVYGU
xnD0f9g7sx47kaxr/yJaEMy3hzPnPDjT6RuU6QGCeQwCfv334KpqudLV9lf3r1pqWSrZ5xwggh17
r/Us2nDwWcZnE9n/a9uZ8oV3MvJEhLlXvb2UNzHDz2+Avkesr0Vs36OFUs8GdfI18acn2AzF17K0
vS8usUT0AYn8G7GLqILAeEciH1Cnkt026qkf5u1cdMEqhuAq0k5Kg6dRzS75uX3xxciY7Z3LUQAD
8Bo53cUIpp54j5DApZc1fXYWRlT7fhOD0rPS5NRR237OJSknbEYJUZZ5pVYaC3Dock6NW5l5CBYF
6VgvzJPza7toIDyreHD8SITlcgrHNv/iDG1+30xI5OmoiUgydDnlFj0UOvAs1gbZ5M3S2qizOX4g
MRT4psvdLELzqinS6cWd5ulrHKTtp8DBzVEZWQgcIgkJdNLtbJzJ2lO3eOvRaNtktX92zBl2Iq4M
6Dj4ro6jj0nx6BtT8ylMdMXkc4nHU2MN9rQlEKmdgcmV2XMbSHSdQW0P9xnoa8jA2m6vvaEpTqw5
dNyjMJs5Ikup3fDNw53td+ZLHA6xA9XcRF5iKYO2YuHI+zhsTIbOsx9V44gMgWEzIa92iqLTtVQZ
2bnwL+dpaM/oObyt1zgm5PSx3xbroBZ5wrKipJxda5LViRFy2GHgDyFo982dNfbDtmdIeFkYasQ6
FoOK0QRanRhScYAvi6p7ybtsQFOajMx+ALzUH/NZNNWOtLWZeXTWLl+hFdhXMRqQrS28NydJww9+
WpWvNTKvvZ0Wqtiyxcd0HVVeGxF4AXZEF7D3ScIMuQoXx/+k3K44Nilj/kgk7oIj2J7tN3/q0osh
tuynkNhbjnClrUnR6iBHV7Woj2jR+WO+jHlwxEcz3wewy1Wk4Yu/qhCNblO5zafEiYc7NxxoMmVa
mC/jQgG5S8xp5Fky+3ETVL71JWxFm+3i0ktQQ9VZ/BF/d/VhXgavJ7051RdjP84HlRkGtqmOpkWJ
0/uUJfmtyaH0Y1v55G6qbZ2WCr+NwdET2F81DyFa3NC8Hv1V6hqWvtwiUBA3+E0Mmk+JfyA01W02
bqecN8iFAk5P3SRPzH18+FrlhMHTMmxrjqxempipkuS6H8SCCnmJSUgo1GFx3GG7NHaxH01zvLQM
gqPGrvyaZmJkJjV6pBNlDN/odFbQsbyh+5C4fvzmOQTbqNrEsM7dXPqooZV/lQqdnxLKLKzisWvS
GOwSvOJJ7mRfGpIFKg6i/F9D0AxbC8k+NXANcpB08ShdMz2Y0jU4H8TjZdcAGucB94ILUiDCKDGp
EcspIWQKpARdsnY8BjJE6QwmMv/Yo7ToNikId2yd0l0jTBvh7Ug2Xi5yw2rOEzaLS35hcSkcKT/H
ixz2pRxI82hatU9Cuzq1RUIOV748N7OewIYLq3ulrejf2m1rfKWJ2Z2+H/3+T2/wG72BsKyVCfO/
T8lX8jOHh9fqx1Pyn3/pr1Oy+I9jCfS/mBNCH8sjU6+/TskmcgM6luDJwEkQO8LY7q9TcvAfixOw
wNuA0NeGq/PfU7KDPplDLekyzvdTNxrlfyEpfj/hh/6INQClM5gp03HIWfn7IbnVhh5IU7RIvXAU
jUmFakUfO1fJQ5yasAxIAJjL+jLLCTP/8J1CoLEgNh16A6R2vlQV07EZNa3SnK69ZcbX7KCrxNff
MncI44qeLCmTWIZ/uNL/IE5Yv9kPM2MRIElYBdHrlB8Z6ftvHvTjRC7Z0l2Qm6jvqVaN6A9XkfLN
a5hPyHJ+/YGovH/6SJTXlu/g86VJwTX7+8UiUtFuDOC7F54XXtaDb2RRoSzLQ6JHKAzmpNZoj1Zn
Ni+EwIOxj0ZH+c4x9EYV70ExWvUpRqLLoE/5XJXKi8flIAYPY3olac1jRtQcXBwiDIVFt9qJq/oC
HBi9w0RWtPGsPO48Xg0tMx5Xj8x7MHpyrQ1P6ftiwYGIhdV9hZ6EhTJDOizB48S0YpEy01WfqH3/
atF73BG29wHDLdNIY76aPSkeO8vmIZjswn3tbFzJs2PQ3AMCZV1Tk+YMecgJoHcrQzq41vrNmXvi
xkMTLh4ti/jlP0csfZe1L8baik88XMEbLWSgifUWzYtQmGojrxZ42NGK8Y3C2bVP82IRPNARo8II
pDWE9Sg4NfYXoobtdw1U12da5s9e81HYuErOAyqyV6YKzBIM4bvqfkGc/WjYhdCQDXF5frLFwJWT
veZaz0PN5KBrAqZmCsvYEsW43gh+a9YUPiLL+XYiU8yFmZCbamMQBZPexsrqvQ2KI3SepALx+wno
dl8zJiJP40yqxx8C1HCyyOFGUnyHWZF/2kR4n+zk7HAXPGcY+o9MNRCcOgu2vx3XkTkA7BAuizRQ
FNAnGdrlYUZqSo43OgXrAoNfkZ5JbRGP/npxwlZSAE6NXV+EsECtrSwGA9GaUtNVmkzLHUCgVG8y
zeK1YTcGW/JZLbjGHRyRDckU/MjO84l+rZUodk7sJ9vCba1sIyY9P3qDoMPghhovTBY7yDWBQ7wm
2eBezcwkngyFX2BSDU0YO09exeSQkW2gJY0wKPqvVUIF3tgmUyFGWDXjO1Pfqkkx1EkzYiKisojz
+UznB78x6XPhE0SgfrgTcjG8rUs3HWBQ53N5J1l63Y05aNemF5MYYLFKnJTWijkGQmNvM55I8Znx
NvdO2o0zfZuzeWxe+GOZfWv0pEE7INzNPBqcEcWZ+9qLijZIWofW4yzWO08yTOsRFzNxb/NpoYOO
lLN54cqwuPysYlHmTc1gtTeNpv/Yx66+R8zEQiCXhwssBa/sQ16Y9YUrFlQ4se67Y4IrnqzFWOhb
x3bbI1ANuuB2NXLpyYzhUzydMw+xWG3hDqs91wV7BLOe0e3qiyrNRffI/NownozRX1o8HJ3RcUYK
+SbkMbL9LiXa+Q/SMcv8PlbAO3UJ7ploats+LQroHDntJdeyA9C/0gcmRhVhmHAhGrPsjrTrmRA6
7CrpmR4oXt7vDzLAGG5cbYSsY0+ti2LoHP4VPdnsoZVTi0c5QuWJAitIvY+a4Flxk1HItxGxIIzS
fXsCYuBhXMaMVfKZjDmgUuFN6RjcWB08LhBTyfDFjoMhf+4YwuLB1fHidhzNqwprl06Ybu98DHLd
js4h/xJJEtmZdhD3fCg66zrjdKufgzFu868u7k3i1dDCM5ksTSXETcn7Z2k3YswSBg0VqngU4LXH
BCEV9tJxjIAgBBcyMT9JjR5ZEpRzXZFt99FVIzSAxXrwVaKnyCrr8cM6k93lQ58SMNX0kT0m6Yl8
l3hrxzEG9BJS0MaiXHVJdyvdo9FP3nRZO1lryOckdcYeiITrcZCpmxWIVDQ0F3DSPtHFEpFdmp8M
ptGboVqd9DPJojKdOOtbuUjeij72v+qEILcKWfHNUHiXGFfaeUd4ir7zaj/55Nqq2pUrjKKuaDgG
bVx9go6IG6Qykzjyl5LEy8HvbsMEiAeUndbGeZ0XV7JJig8i6/FQ49/dL8ZAno3SOqo6RumKCd+N
Kpby0nXUuMNkV9yxrTefsnBMH5RT3E4+mo9DR09rj4hbE4haVwdFU/Ih6b3iw1Q6CI07pvuXIS+w
bQFf/lwYYb7H4kG3BkJUD3meXrxUdv3IS6f5WLllk4KB6as98qD6OYUPwaUtZUhANBPvyINCdN14
2t4kUpUM8/3+m+xgKBWj4xzFkiXoH4S4dhOOc1sSmHES6plyYNt3Ql20+PUPQdHORZQVdn3yYe/s
E9e6y+K6OaxdhC397+ZjlncQPrRQ3qlCUK52cwkXAbpY/AD6zjsYPfR1FwJdZGTGEuwhQhBHmw7t
BRs2Ooiqmk+TYYWnZSCCd+47WL2CEXILGu2YEt/7qKRaviD5zy4YmhAdW3Vw5n9dobxTWFESBbbJ
YIeliw/yp5JoLhNOYd0AE8GreIf5hskrhseWfa5i/k3XGHGhHRml4s+mkbFIf/0F1pHK32sytHL8
Dw1fuOYgrl/wB4lXiwA8yAhxOuuBFgKMvgKevs1b0DG6gCapqi+Y7Ha/+dS17Hr/qS5aXsHRSKB+
e0dWdAge83HFhWdc3DBoyCwlY2AQ6BB+/eve6SG5vL6Pe86jXufqmua78k+ltTf2IRoZJ+/XTd3s
eGlUMBQQWbBj/fsPQz9KXAEVehC+p/pabCJGQhV6Doop3NV16px6+A2RIcdw9+uP+rmSplsXcN14
elASvsfatknoN4Y2vbPtzdZ1NVL7uxPBHTB1YGn4dfCbx/QfPg+TpLB4TNBau8E7W7RF4wGyQ+me
F0JXnv54B1ZElkngaWDqtj2ci99dzp+fkQBSMT8TPivCb/PdZ9aV05oaHPR5HCUm/wlBl7am+uLX
V/IfP8VnIIqM1BWcTP7+/BexmKpY9t45GdLuCDFFHrAETb95NP7pUzhQYp5DS8lz/+5TPERkrWvw
W8K2D7ae9ItIAF3693fJBcMGlJXTDsfNd1csp2EvG0l+tojJGKKzwj2ByYPQYo4H63poEG385kj3
8/bBnr4uMrzqNn9698MqqeKZCG7nbNSx99Eag+S8mIpSZCyYjlbBjFjA6xc2r1/ftp8X9qoXJxfg
u875pwcSUpKEn+KKcz6yuOKabWrwyIci1i34Ddz5H34iDwcRJNTgPkf+d3sVytWOjyrFWXdpGc2l
VV8s/QDm3+GBydcTHG1++Zvr+k+/bw2+tbA3eNDs3n2owj9lpxgPzoXXdqAfgW0VZpAeOOj8dqF9
Rx3/fTcG5AvA0gFRDDD6p5WWBl0AFsqEfdbDecvIqZo2aPWLe4LYu+s6w5e/iWfKZD1R103UWv21
ahXBi47ROxwuave1SECFWCkoALSMDCdvgxwJzG8uy8/7ECQ2JsBI25nmWt+9BD+8rSrpTnLGdngW
q5gukrFsXpg48rpSGcqqDZT6372q3ufj8A4Bo8yq4u2I6SDw1+/0w2cmBf2SmFfM2cDX24HEtDk/
DLhovwSdxRsrbeL1eSdp/hrVe/uilLtqKIHL3Le9aCGlJiMSG6okKGqzxdj210vhn64JOyXPimVz
7977J8wWrqQKWPXlElB0mwCIrMSwz31hV2goWjDzv/7An55NprvraljtJcwj3n9gK/FWGt28nJUD
wquH/JkhrwXEwov1t3lY//Rh9I1skwYNW837ZzNYGJIkbUi6Z6L1LSk54SW4PE45tIA5Jf36l/20
TfPLGISBBLDXWuw9urxc27nom+YzSEgOliQy82SxEDkl/vqD3odFET3Adrm+u11+HEKY9Zv88FAV
dio1Q76JF3iHnNLkDDdGjHKG/ENs1Et/0WSKToiTOMEl0loU9EXj26S+FOtrsG71Pf4A+gTGxGEp
6q2leVn8rjuahkcri64XRNZi7X5MZG4th4m8o9sBWQExYr/+JT/fH3e1BtAwDYmR+qkSkdUcNH7Z
92cBnW47VWN9UeJdOCTm/K+LHg9fIxfOhwi0Eh3evd6GxBQDZP3u3CFEOqGw5Pe3Nch2Q+j6wqlI
VPrNj1vfXj9sjA6vNT/ASrP6W8DCvL9L1VLaVtu5ztlrtfPV84Q6dw5+nu8NEc/v6eq0S+F+qGEX
/2aRifePCPY04cGBgWFhYjHlHfD3RwS2yyCdSWZny6KTtADIDzyg/jNuFFtEk46DN8/KcwhldW/1
1+C2WIF2l8gjqghcX0KgRzXHki7i8l1DC4J+revHju1qWfXxXQld7TDy79/6A8Rh/qWJBJrQSPJ1
PkIo3J0LLu+pWx+vwuBlcICAzsQD7xWqWeH1yHYRhY5RH+f0/XIaRzEwQYVwMUjQE125poEW0GQU
ejfRbbjuvIF8c8jUt/VsGcsBjibwNTVUGDUQUpiXtKWx5Pe+O+I0d7rmcsgd34rWeeG0red24QC9
yPMUSCsCAOoyxByttAUqOIKTItS5NhH3vK6svJo1YxHpEY2NVVhfpi5A3JgZKHsiKGprM3QGnX6L
vYw/+0aLBNyraVEewi6M06Oncg4lBPTyX5fW/7P4hBpM5yUs1rqmbVhraVXAP6VbLqcoX9mwxH51
OmRUFRj6nqlzmd7aZV3Ul3lCwthdb/fcEEHyCAZ8q2zy+3oxeV9042Dh/TA9oI+mCC4B+9bASRur
/6J7k18x2Zm7fLW9anSuuhbFVORPBbcZACV/kZ+Ocnzi6z400EhCyBSZc6m4mjA5G5DsgGuGXO+9
Zubj6YPQuRqWlEZ4UM6evVP2ak4YvTS23pZpnVjpbDQeNKEggPbyhbdWaILqYlJW2MjCqwlNyL0l
DTx1OY9Lestxse4iVOQTEeiGdE5KdQjftwR+GNFCLsG09QRbuLskPEEVKbveRvgTGd6Oiq3plGoD
zfaA90VeY+SipxUAVMVtVHCE3AhAkR3SJ1N3j1bFUPYQSJcHDPifJ64N2fFu+F4H0LPn6VsScu6O
qVfTN0PVCDY/phGCrG+Za/0N2F98G0BjuP2jBUdQIF/GTrX1hwJfximuhH7s4W//sayQfeEqXtfM
5NsZFBRA6SBCV0Eubp1UHun20psXg8M23nkuTxEhdRyMUtxPGJf6tWduZ/34NksAinuN2O32j9GM
FTivsWuvhcR3UEFQ+85raWVrJ7ajPc8sm+OPtkw68N9ffyi4aDKm9K78S8al47LJTamzfQ14s78o
w4RlWjYGk4ZidriwTqwcXBqhSORdX7V8Ecukd7JHwNPfV8Qb6E8jLgND0ehx0ecHdYgw3tUFqQJZ
hnFl7GI5fwUPySObIVBz7maroQucItCebNbf5Je8jxkDQIxM6RbwrDhMc1AVOYPtP1OY52BggL3V
DZgB7FDgUeJ4KenNG4WbnYtupTLMBU3J/WrMD+gIIFA4l6apabXRIR8CGmTLqGBefH99/d+c9Ddz
UmyTgkLyf89JPwyv6Y8z0j//wp8zUssM/4PvehUNrcdm26F++cuTjV2btCvMvJaJS/e7XPivGenq
yaaHQMPiv8NR2ydp2KS+o527yo7FvxqOQmf62xsbkXIIHMqmpqKfRpX6rlhH2ibTeg7mq7BajCXH
KNPM8770JkAj6yGKlAHWkUqS5qJ3YT5b8wzDd12N3yvYDiPrhWhqdpP1XFlKi0ILwvVtyUZs2pu6
0DIGcGZP5qiWY1l6TjzdGz4oxRbUEgmHzoeUHPOyOY6lQC6aTAodgVnExk1YOqo81x2S0xAnp1UH
39CcznI8TtS9Wp0Sf7Qk4Qk+3f0zJUmrHhrFRX4wKvgvu8ZJhbNLMhTIF1xLx75BVaIjk48FRtGY
1KulwO8BT3Ie7rsScyPzVgljueTc6AuCOifml49VKdLHZaht9AkE/BXLaLxRYUq42Q6jiaZMM9g7
7vWgu/a0uFAp0zoeX0NUChsWKkQiokNI5WCAHIUkcRQ+79PFFxVeLyXhNm+Y/IFLnyZTtReC3nZl
sXMF+jpl6GScwIdO8zbPjWR+YC42LljaeIMk+5gOPIxoIWnxHlRsopo6WrTHrZUPkas21/degVTi
qkHuA5VqU7pClOr/lBP/X/4CGxMmy/J/7wiPX/Vr/7ct4Y+/8eeWENrYBDiX42jEEkC84A9bgglv
jaxRumucEwJQbP+VTdgelgS4DmuPlvoabcB/dwbh/ifA7QfVzaQ/vroL/pVswvneM/mhmgfQ68LP
xQDB+e779vD3gtocDEO1NYySqRXdszIcYLbF/DnQorjG+tPuUsPqoZGtddcUXPV9oz7CWm8fmtp4
aM2uPzNARuAbrDyaeiSgN7a9+KBWwgCAKON19HEIhMBm26MTxBiHEUEkOHR8d7bB4sgciBPzUcvH
QdAF4jpkulyTwYPmG4tzvtR4v/Khaa6CpjN9gm1Jt9B6k4dqIE2JFO3MIfYkMeGsN1PXtR+KoCL8
EMZsWVjnNNQeRalgzLfzU9Pp9ym01OY8OCBRaI2QOwTeTYOZC3eyzOCY+fUsnhxcpiCultqq3Yjh
iQ4OsFRm9zTSSTRhk83Szx6BOWE/3Vg+63Cb1m79mlVx8CXxsrXaEj1uuR00AFN5UdDjUn3QS5c1
24Gv0B9gaYqLwLSRco0e+RFxZi3QdjCt9ntKVHB4S51xeqTLfCzhu7/oSlLKF5U9HDE5BLvJDNwX
skIQL9pJShwK4ytyIbhZY3bViqo+ZmJ6ymppH7Jh4uxCFXTE2EsGSlsm6bPUkip+VvLkB/oKUz/z
7nF87hP8AGPRU6CDMAYGE2IBSbzPg44n3IPTy5K5fSTIyMi1fUp0/gRDAwlgaGVnughviay7nR3n
48MSjDQKFgN8OZfUsElKdf0G35+f+uiKqwPH53u1yCevEN/qQg60EGuoWXlyDYCLEf44vNRlfy5V
XR3zQTZbX9pbDg9i088N/pfGtPZdu9ymSVlvcpE/NQyKtmNn1Lu8VF89WXlXpUdZO4W1t8Hojd+U
HIlNT9RTPo/5wVGOtdELMLXM9raIfHWUWAx7HGRtl2hBu6tgmMSO94p58msp95UmQ2A00CQvfRu8
yVEAI1aufEOmqumFzvOuoad9n5A1jxcm+RrbcX3jGsODO0ik3ICLD2ZTAuihJ32scs+DDc5LilhO
eFSVO+4H2tgn9oV033Ui3Cel65AAaIQH5U1fazcvT0M61NuYvWOTQ2sGZq7lWw2eMFIu1rUkIUIm
NMseYJddbvoKM4CLPIHWENJhC67QJhD60XKJfu6K/InzxWlZqmlT9k27cQfj2cWZvbFznZ3T1g0j
o3HkN5vZ/qdx8aPMGjZZDlUN5lBL5BJO9vwSJjPuB29gxY8dJkJyaI1v9eBV8MQI1XXJTAlIQ+sy
RTLPXGKGELk53s+WmvyHwsmbW0qnsiICoZPXDR2AvV3LAKI7Q9LIKsYM+hAspsG0luQgiQ09V+SD
03a2yfbY8mDlyyaehs80Gu3IjJW6zUh1iJTisSDxuLA2gdbzF2JlTHOX+M58HgdZ0RFAYRwesMxL
HRmzB2u55dvmmAWm4ZvVthMJ6VPc7D09jikCjR4pbjCFa2CR2TbTNZnB/QsV06QEVT1ieTS+5gWK
3fIwyYD0UuQ/B1PU/LJ8Ovlz5h38lHTSTKOHrgnj2DECh6XdLOgEmtbexeGydkZjCT59+YixK3zy
ZaOvi8x4ZUk9EzFDTDcWz13ZDufBaB1amyLfdgXO2sqQX+I+6LboOuRT2WVFjd7blVeim4ngKkck
CItVWrdtGX9oC5GTeEN797JxivpshQAIfFtdqlE2944dGg/gePxXUbpym+RhuzLcsPqgIGAZU8kI
5guVxj4/m1dePNe7IR76bTIMwzVe6HrHv1MhxjDnQ7eu2tyJvbtyUXi9W8QzBv5cTNPqtkgdjKJz
f5wsM8VCyfGbd8kSgAfwqrvJnl9onrlHisTwcyf6Ox9c1bTpc1sd7WD46HFwx6hsGjthq5NTIBjK
R5SCm8Fqhm9x7UA8MwbjgvTHdB8AzNxWJkEI1LIQcxKQD7FjsR8E87WcgvxmMQhKniVC2Goe/a1k
2rzRPeAHRRotKmpSndPQQTAwiSACooZRwiLScY27CuzhCtk7WiZQJZt1TBMh/6lOtGrcjTd17iax
pvuR1u0mRzlFTB3sSX5beGy1BtXe4oPA8xTVlsYqTDbJ57mp1c5cLUujZRhbAGrtFlYI/YAwEP1j
KLNwawf5vG1XT0s/tKfQCJFHGc033fofSunXuyWcxr3ZN7Q85xCBmbM6giud7sex1Gcjb7+ofLkq
hni8sDTW3GVCeI4YvboRVCaXQnNjK3PO9pMcTOpe1zsaBIzT5aFFpapKIp3BJmfAiIERmsEShF1/
47bep2UxZ3z2vgVobvgk6jy/cIlK3lgzrqjYnuYNTRfrkmegP/SSFI0pz7+NXhHudbN8Shr+VSIr
2MsyEkSuIE3EgnEGW38eJm/U6FNkFkN3G+cijlLkbTh9AsXLHRS0ZyYvRA58a8L2qzPIYl+4FAxK
O89lh8y7zPv2qViFNUvndGjm9PCtGx0Rwe3It3jo0db3U3oLAj67C0XdnMxALJcc17kMfg7NJKY4
V6wudin1HMw1L4zBfpDSqzhEaRwvOmBf92TxJioyLUox16fRKb19pvw5qkKj2vfk5FwKS0y7YV6c
SNnzW5/GM2ZLjwDkkO8wpTlwrLANnnpTLKTN9bhrVkSnt0nRklRcsIavr4Y8e2HZ58PVMFXBY+uv
caJAhh6IYjt5pLpERhEmdyMmjFt02tmLn3kPjNcmKC/JtSPq/mgzobQjnWbNzu1jLnRKnuOH0M2x
e7keCPwh2DlL7BHL3fsJd1pxVlnact5IT4VWlNQCl4qu3O3Mfd4ITlA3Cjvo0ST08QhPI/g05T1a
flN/zpp4uMH0aWQ7pVJ1zJrBvnFLT2HKzDT0brMZFGD8OQqFCkG+ui5PhFnet0Ho3k8Yv82IXdOg
xEC+FnFcLb71HWCzdaEm3FPECGCO/M474BJ0WTKVN9RHjpcLAAPmG9s5sR+IICe3azAvOctnH3uM
vm9VQgLTlMbLNqtTGCaJ/QX7jPtQIV78bCWZUUYLg9BVfDXqUzMBtuTMl2YjssdZfzYRpeFpGfuH
BZnTCfGhT1irQSRA5d1iBbwgdmbwt4rXgT7S5c14nD3lf4kTH/6J6P2bcHDls4usH/yRdLddORU7
1JVQtutmKbZdC7mkHuz6vrMdjpozl+Ja5yLgJB1jCfaHZkwwOwRDuQWpOt9UgQSzYXUZpsJp2NOC
4LjM9zoMnWccMkCXJSfgQj6zm+XPvOLGjwVe9QdIw/HRzHx5Mt2JijduvXNbKdpTkmzJfDPDCX9K
hMzmC2VgZAwXpg+hAWBmk5KmhHm+CM/QUlXEhIYYEe1UDYK8xNwtZt/dDYsens1gGb+4mA+PQV+H
F5COhhu8KN2H2na7nPVXZ8OWHAkyW1wGi1RXyxOKoLImCMbtp8fEYoeNOCeN4XYJGxsfRtHMaicz
1gPCJGfVp+Je/jDFweJ9THIUvVsVaN6sAeGcLMROD/SkPZ3snNzxYHjmKQZGsB8UK+NDsVSMMXrE
2FdFpeULoOJqD8e5dLbEgBYn3D3mNkMpGGwcJzeCTV9OJVYvHd+Bz6wQNLK9YqN4gJJUUYS141tV
EnZvpH6294YlQTdFSVpUqh02AzqmR4uB1oZZkjhMQZlfZnXf7mesk9s6IUuzMZaip1nYuPvJqqa7
wnFJY3JJzgXrKfOdyqzxsqyWceOIrML6pJNb0dgxJhs/6+obnaTa3WKDMluP/o/vCYoFFGvh3Aeb
EWsYSAjKTRkQ0ZT77eQ81AORajSAx7kO/K4/ZmFahpspm9VyUWjHiJiSWLuCHna3tfuUfVSjyqR0
8uzjkHruswgwFG4ZFDT+sctZi2947+Mtcq04uZRKYT/kEe6ynWAqQhd8VE2UGz5csnTo6ks1GLSL
+tC61+3AWcBqjTXOkghphjLnduqaE+a+jE66LS+bzJVRLEb/W9nVzmcTgx7qUdkN2UGXzWOfh7F8
AakIRYh0lquB9QhhYlncrdcHwdc6aJKjN5aU4NaQGlGLMO9pycgLlR678y4kgH3fw419NSmsL6YZ
4FPB+bj2sXsRcT2eF9EOd00jm4+pdsp7+DOogvDaRYIwqK2bWnazsdIScldOgEiNJxBMDHMrnSsr
6ki5uXacdh1BWM6Hnipyxyg9jJbKynYJ7zqKc5STWpDPOhb+yWgqvEsc3O8JTQ/3HbORV9fRzrFE
/beJc3YmFGTBxifE4CATW2272g0ubUTJ3N4+nd6K0FCHQjg3tk7DL2bV3WA+xAs+mNiwhJiPrUUO
FjKS5BL1W6DB/jjTjuem3TehdnftnHO+4aE0N1YmU+K7y3SHOznlNEJiQk9Nv6mx1x0NSaK6MfEm
qSavAhCzGv3R882RkzGOrWMH3mjoGzeDvcw4vNIjSYfFlc6RTLoJkzsqcOO7fzb92jSec4VwVbLR
tvg9a4O12695uQ2sgiItoqVDntzlg+KlM8136WCG10on+S6rpHfM8W7tRGGyYfZ1fZamdRsEpdr0
fU+uBfbnV2BN2baqSeGhsGuDawTWXQQ/LN9ZBf7XrAjtl2RlEttTz1C/lGn5grT6pbV9+vqgix2X
mQSzJfXFJP0Jw5RJnFSJ/9ji4Il01CWolCiHIppz3NOZn2ACXIpXN7TTHQJU0gsr/RGF7UWaBFtY
gl+qrPjYZ2p93kaz3oGcyuuNtu0djE9U/6DTzplEHJ73Ot6UiUlmDnk9ZmRUmizdjsHLmOBcvKyh
W/O09P6BmQkuTZTRl7jT8lv6D6a5HR09BjvVmAq/GvU2EzKBTZr2jw76Btk+Ee3LRHM3yQLz61Rx
RMuGTB1Lh6jZyWjFHb5DOgINyaKpHs4gXABNB7l/Bj+6TdO5OQWNRzdYGPlZ+KWC4p4m+0S2b5zX
KMUwh89bZ8nKUzViZSAZvp+f1RCTA4g1wEZe/kQp9SiNto38bvAvUsIKo1YvFI51eoqnpe0hkhvd
tlLjp9BqryZYUZs0E0+VwZaXKccBAtQF0eTawTNTrXIDgbhigBcoANSx+7jU4LHcJRcX1ZxeSqN6
GRoYO3OfPnSe9Q0RDPXfTHVUJXC80lq8gFUml1RVzpfeZfJlJp29JR7qSRPz961pSmPZJ1XgDRu6
HhTfuhlTqADlfTAPWGnrJLO2QxMQvWQSKr3RzAZpUMzTfWsBqAB7EMe0nYZp2ru9M0uK/9LijPP/
2Duz5raRNGv/lYm5RwUSO76IuSFIiqIoWpJlWfINQrZK2IHEvvz6eRKq7rZV/uzoue7oCLeryhZI
IJHL+57znMm+yHrTvyuZsIAGmgAZ+HrEn228Ju403gQk+nrWHLE0bMYliSaOOuGWRyXdazBHiKOB
1cFny7RK6akTsXGMJS93gwdmZNfrsTwrtOslv+E/ZaX3akTGnZVWTB5eEh99kpiOs83iKszxW5jJ
vr7I0MrvJqe3Nq5LL9XOpyPRUhmvunjAbA9QXrEHekPVAmUZBbPfQ8cTzqDeCXZ5ibAvCEO1AvBa
TAnO1AzjgST1gzvUXyJvOU4M+ACQun6ZRdp16LfsdXB+7NLaJZd06PbYWtwdyLP8KG3Kf7Wvt0Ao
6D+yMzWC0KpPTTTc+mn7omOt3/bhbO/8qbytLUlUdzG7lyUsUsTGXXzB2YUCIsbHD0QmfU6E1WJs
1YglbUjejpAQXcS6xBlTFeIwYTLdNnbfXpaIMahcdBXIZftFjqF/22tAqoCtJfg25i9ZJKicdbO5
B06fbOD2fQ3tQXwcPVJqnWkemyDtq/FPu1Vx3GaDStCxm8AFHHpsaopRukhJptCsa9zeGnWWJDF2
jZ5lWLPKayiDQJEW0wJRm4x+v3MjUUAj1OPsWLM+CmKvoUPM8rkVVfWEBscstpm2LN8yUIoTXepM
e66covmAyE07pCx4OKtdUum8LG1ObsYRiXyQNEbaB6mRFMQd6ZHzV/ZZvFqRhNiZCu9Dhd3ieuni
/puWOK9RI2bMG7HWHmvK0LfLZIV4hlwCQ2WijyQk2P2NYcTWcm4mryIpy0XoThVUEQ47yNfLAvtK
VIlwt06WTFtpJATVkpQt94k0yBDUQ+2M690eApvF4JCEw/0c2Z/YIdgf6zCq9lE9dwfegxkCais4
XHkPI6KRjYxL42Ok5zJoY9pGog2fC8K/grQIvUCgvk2Ijkf9dDUabGpOoNKJ8+uG+Io9RDftIwc4
RpMmTn+0SuafjdPpMr2IwnFSRaIcQia1MPY0hSPwQCzEV8DCkXZAen3z0EirvqprD8BWjJFI3/Q6
Nb5ZpmEwMy88OdXkm2eEJ/r9wA+A71f3y+c+g8fNaxxSNKJATYcLeNi12cv+5DJ66kCXY3cx1mVy
WiSUjC0Llo8Npo/YMeE73wgDHAfLvNoJMcs8FZnjfrGaGFxj1qfdgawzIsi0qWbT6lleuYm0fAjQ
1U4f7V52FJ/0TDpAQXWPJ6H5D7TLoxebqLtoi/E+mrbU1Oa7ORumDNJtkaASmaATuy0Hb5zeOXmC
ekEopilfR7bXO1oEtzNRrpuldfSjxO+8tWU/XkQJQatTNBif05Qd+Na2mLCXxhY3bV2BaAAo6d21
dM/Z8UL4v8kXbfisWUl/hAtDXaaAg36Naaz7nElNP+s4ji4M7HQ+h9fWvG1tz73zSWMoiBcIfYKQ
Y+Mr8MfsSDD28NEwTIqhE47shPA+plW6al6J+KKNiV23W4A2Lt6xedvD3W+J0fWj9EyFv2M98Rsz
J1fJmO1954w2T7rAqd7hy95OWXuzRC0kd2eWxs6kDHWvL250TEmrCJCHzq85HL+nELceDUMH0DuV
juYc+34SbaI0qT/3jl3tRxXwHlXY1kaG1JbDTrLTI1RLUhs9fUNp9KoBqXo5jHq3k7DZTlKUeFaI
E9BP1VKNn7q0xDPjTEmxjbXRChwUXEwnHYCLrJZnm+CXQxGLaAcpU16MrW4FpgSRCrdl7K5xR5mP
VG81FrFR3uvs705NVY/7vmP3TznTpUqjxXdznA7gswH5TfQygki2xXXf+d80zKY7Jqfw4MS44TUs
k4T58WqYqRHvktq8rGLh3ZSTM12Osz0cHc0FWOWE+dbqOHX07BgD6s3NkdTd/lrDcnfCYvCVdqrY
ob3W90RWPUewMAPDQu4Xwh6JMawV1Mqa+UFLzHDvNgIcKP3fncZAv4gH2WKonEHUtqSVB1VWQm32
Yd/G5iS2jgBC1dkVe1l9aZ6S3MLi38XLAVkTgdGuaPsbz8V5x0Yvz7elbQz53WTH5MfELDYppFYs
UuTTnzS3RiJD+4YaK27luYr3iMqWjV8tZztb+Pd6iB5qmj+MHUpVY8ge/NZ4NCMma6ItdollLgrF
++yXiDH9iIbHOMbRttVyfVu6WrU3RGYdRpLCSVG9Wzx4QxVO4MDvdTJeo+UDKksEJ2n9WbZ1euNE
Pfk9BrScursYFmv4ok20QQxTe0Spqe/1hR3yhCHsQg4s1JPXPxd+Wt+OfX3bV0ZOTG/lsbQLdRCM
c+2DZ/ozQZ1GfFmXuoGOSXuxNLe/royyAe4HEgLjGrwKy7ceuxFGclRMp0HK6bLJ/wK//0fI8jsh
i4MG+Vdt689J+w1TXfKD4998+1t/ta49hwxBxyCL1GAyXDvN/1Cz+MYftG0c2nMWhTVFA/hn69pC
ueKZBrpr/ovh0vH+Z+ua8AF0KK5OhdIydChS/1aImNKs/KtvbUGksqHh6QaKYZSvf9O0GLQLMor6
ztWqRWsKgYhOILde5hkty2qq/u4G3bz96P9iz3xTJWXX/s9//+yCNNWg8KE9Be+uRDbfiZMRflJv
lIV9hfnb29K6Si4WH5+7A57sEEFEOv/6ej9qiN++IM4K7hddGOQB74S9kPWWFpK+deVWsfOMhl+c
CZAW961iGvz6Uj8qetdL8ah51tTvwbkqkcL3X62h9BT1mbCusmK0n+lsw3fvFgywjhHhkGEL9uBm
qTg3ykH860v/5FsykmxGA5tXnw3/j5dGiD3MOjCwqxZp5iVYM5R4ml2y8A2Q7H+jZBc/plKsX5QR
SG0QNKAH6fHdF50qYo/dKbGuxgoOPccyWi7UtHQ080Pn4n0rzVTGx2KaUB7OJCC0j5aokO5NOTBo
3Sj939ho/v71se56joMGBEseQowfv34qYrrMUWhdeaPF1/XxKl2gDuaX/9u1EJoRzMsQZuC8G1BR
aursMGbrymzxOfeYVF7crpju+tSQT79+quo+/vhyOjpOCJYVl3wc/b1lIME1SYZzb10NYfzKOcLf
9YDof/M0f3bvmIQIMuFizFLvHqaOucXtjNy6Wliyr1JvUIViIISBWCj3/kb0LtTdef+VTIMaOSIZ
buF7sxpYOjEsuMevUkMhDMyBa3IUo0KKUFM+eSpxwVK+w9XjMpMPcBkNofmmw/o2/b/oz+onk9BP
RrCD1wc/i3pVLeP9gAlpGcFpz8i49zrjaGal0Gib+95Jai0jtPYpfGeZwdZgXnpK2OvLa8uWqO3f
u4B+9gQs9iks1TxpGis/jt4s98nnowt11Q7hdIegcdysXgdLNr+zOfzsUsj+PQSRLC2wI368FLbA
pmrc2rxKoDvcvcEAtFzJFj2HJ/Hr4fvjVM/0TW8Te5NvsbKgTHh/MYnAIq9rqR3ZSkI6wOAknyBu
4iYZPYAQnLl+Z8ld82v/NbzUJakJuXBrgMbygN97V2W2WOCqiWHU0UBccPLCxgHZBHEfuP+7RFHy
oY4sYFW8lDJYxCtVTNhaXU1pyL3EqQ+LchutM0hH+RUw7AKXAow44YzbhBP/b26SvcpGv/vMLPx4
Wl0GIkY5E+Xsu8fPbjslKde0MFXpEA8VLbBS3ECqHFlPkbuY4QkSak1UQlClcnbAe9rObQPHH84b
/mqgVUXI3BuCYX5ZzKJ7mQjEYlcbcxrcGHB34i0dAkE/EGw6FSvId8917MGIUQZAPFbdy2p7cQFi
NKRNGkjRDYAt3eBWV15kmccm5QYSjpPONwi+cKohyfMfUBnAvIn9sBYH0ZKIs0GT1MBx9mNqhXlD
0VoloZvORV7WXEMZiKGmzjec2JGLIRui8oBQgvDRuGKESEvIp5kG33IB/tp3jivhpO2iAuYz8R/x
Mcvj7oUGef3kyhL9WUEcx50A73KjGZ0G8EJmUfJFzD6PDFaEQxt1hGf/sFrBoV46z3A9Ge2WguHP
wm9fWkG7YeNgrHsu5sz4Rjy9cRhqt75rnK7A+exSKU0iCKjMvxSQR5/ONkUeIYDL1FiDJsK/oGZq
AZg27miYhA+zZcBLMk2aQS2HT5VhgCHC4P4A73Dv2jZaHozBbl+kb/GcVgWxmJr2JSsig2qV2QH/
bUHABR640ode0mEDUDIDfln5SUWKN2Cl8Fi9TmluXeWokKp4OCfHJELIQ3qgYE2ZYwZIOG6t2LHm
TVHOi3ukd9YctNSFxVOTZq+nBraQagaQn+uaArCgIjzXK/o9Q1r97FIwAriS0mIOhsqb6c7roesc
VWjLCRQM3P7WGvAiGpPBhzFtN6N70LEuOhWdW0ZwBP5mNRDGWkGBd7aLzgvCysPD4JIhh+NxDVAU
pclYhjbn06sP+bGkV2KA1czpRgoFL+o6F5vJnCvTRsfh0AzgKy/Xi5svUSASXCpDVdvPTkw4M91C
RVTARdF8jMzFOCz00NytgXnjSzkM5b1HKeua+ke+relbiA12AeHtBaE0xySHChnlM5dpc3gYY7lQ
ftfb0LnP8yUZN7rjIdwgF2M+w1/QKWXF1NyKzPcDyhpoAGzNCuZyme8zX7fJdo6lPGa6SpRjTFK9
1tvytpMtlaE07AsEaU336lm4hGwDzoS/oi7mKaWc2GfMTAFUGhCvOpTlTac4GU6eNe2+tWfnG/Jo
WqyKslG1ehPtcXC7qP96mWzFCuSo+urspwNSj3Jp4y+RqdHlrjoJ4gmSRQ3f4krMnVtfeHBLnmRS
dPu5RDyCvrw6wrVGqTCN1vKlzOtsh+p0wRI48Bg9iq4B5N7ySypTt6NjoPw6euNeqM1ou3EnLKrb
pim0HWFOVKjZvOzJ0uvUxATPhPbdXZ+12mVJreQyxaq4J+tn/pNi44hcNtFuZyyFjwnZCwFBAdTo
S2ArKUj8DXXfZ7ezeD9ABm1DgwpFPzRiX0BWSanpni1Q1kz/qAZRNDY0GLaOC++jC7Lad017A/zI
iyr15OV4YqfrHQh9hN+C53wELK+oLqiBwq2lUC/UU9uAhhsMRAWCMRQShhIbRcmhbPe9nSFGifVv
4PurRz9PIBH5JJlB8De3fc7n8MOuuGVVgjiDHSs+OVZNCkik80TdyEhPFC7LG72DRpu3HYNaw6bY
Pa+2es1IeSXgfiP2qoBYpFfOCpcwTDhtWNmYDaNGZ0KqFsUzwuxlwHoZiFxA2xLtvH6yyU5MYhQh
IMz1YVO4IaYrw9YqymPWdJNTkwhcsKeHrvVZj73eprlPS7O6ejNK6WKSqGwT1A40SSo2ZsrBoE2c
o1qEPkS5DIu4H6TFq9/HgI5ooAISsUUmnyRxBHw0FxPhJsvL/Mmo6oj9XEyoqzCBWdLQi1tZfLFB
rcrXWQ4WekgXCmLudu2uTK3xz8Ib64iatGZ/9p0QdVfst4e8moncLaco6ZUPL/7aDt1zKm1zZ1tJ
FAXhzPTxSDETm1mySOwInhF754E6c+BQntzF41gj/3WW/eyp7E4/osTvu9b4abCb4s6J5KuRIx1E
7v0h64zuwLyquAo+GbpWL40XiA7Ry5Ik48eod3lyvPHprsY/72+syKWMPeChnbHUtu7RsZO22k4j
RcmgdZjHg4zgyfHQ+ZN+ZdXVfA39yrxzFhJgNk2B8m5DIF6SBmx2/AfYQKDYyayknds01gfiWvIP
pI30d0VCflNTifYb1aEcUctifq18Z4BWINHH2aEBK731zCTIYmqvIwxQKL11znThhzZ9MM86zuPw
NaTe+XHsogw4aq9fN0lkf8lGJ1MZHrHPWllSKa5nM0JUPifXDTSuo+aPPgqqIWqf6ZLIK8CgIBkS
GwGco2ugZboWmrNgyttrbGYpXQrDwL8JamxCXlaa9w5ihsNQmpgKkzg86XO/3HaEp2z8IRqf+ryr
+53etlZyxKM12cCR8R9vvBCB4dmZ9FFeEEXYoqMrtVPqLtUn3BuIWbSsRwJraK6eYZPxxvPICv8q
hrq97iXg+omF8KpMW6DwEhheC82b4wVOS5pvFnaQQLKz0GicusMtiVV40Mo0hFVKsjhc2KkzN82c
2yc490yj6MN8AkLlUI5bA1VcSChpZVx37oy+efZr4e283LWYEAWqY8Ppw72PGXQfyci6RKpA8Tp3
lkPbu8kdNr76Uy/m9sHDW7eDX0XmNAQ3ys0IhC09jpXGOnW30Kpd2lBgbmjB0cjedPo8BKE20NC3
uFU3w8I5pczxbAc2AaUfDN2dPunNqBGK2oH9T8za3Hua2bigqEt7jxqNHPcKG2R70TN2X8M8noDm
md03EIHuy+h0TrLXJbiboM2FDTupyt1mE2LifV26pU62DXQzmoydfLVjNDPYUE1WuaTtjuY40Qup
qhJp/5RAC7awkhOhjFZCy0dkK7oTdkhqVHQ6hDREoTRycDf0VgdCtUf9iJdieIyduUJqFi3pBx09
s74JZZl/KKkSd5vSmLTbWDN5am9I7eINsD0hJkdusB5q/lML/V0tlEYmdaD/v4Xn83MbJ2XUVT8W
Q9/+2j+sfYJQD0gS9Fs9X/lvcOT8w9pnWH+4JseG1ab3T/IpVkCKkxZHI8qdqmLwrzqo/Ydt2cIE
1EIVBmLEv5W0+v5gDKOHrhVEFFoQFEPes2aWaql7re0RVw852MUymXqCFtqOsImxbr98d2N+Un54
XyjkYoQegiqlCkqB7P3BOLInK2fpthi0M0dihdSb1aL9tso6hi6fMOJYz76C+v0fLm1SQyBXBezM
+wNyomWC866wbhd86k+l3wAffMP4uL0j7k1aP2x69YZtSBsuv63//FgSsMjXxSFFUZlCJeVY8f7y
hplEpQ957TYvKM8FnjawjWHrs8hjUqnLTWTo/aY4+A528NdFGSoQcgXbrPe8G+a4sI+kb9ySVmTc
l+SRXxr4Weo9LBiSjjo0XVai8Ju96DFXx13fvTiq1pNrDvehdiq6Nq5iGLZaA2JwWRbr2UE8DmuR
tABxNciQGlGywMDctFLgN55Y4czfFOp4N34onal756yFAroJyob6Y+3GGz0TL3VssEpzQsogpV9O
ec+ByGsnELHJXF1NGYfKXw8YqMN/v6rPiKWCQ2lbAZC/L2o7GmaxyW4g5IlB3KNVIw7cLeNX6J60
nMUy3dkWB3jU7Bii5rj/XVH97y8mxLMVjaPjAvXevyuD73M8yCZB1jH4gkS9MIheOLsO9e9aBeJ9
XZs7TFWXN8tTh6S/kbTC2e1KWNvi1lKAHQ1lQ7YfEpxMKO05zE+ZZT2TuaXeTsit7BRGXpb1JJ1m
6B1/feN/9sVN3WK2VMXmv41aw9Iqv9ZD/bbval4Si417dUJ3wCY+UaSaX1/tZy+Jy7THe8n/3L+V
gYVM9UQzB+N2LVkg3eKYYEWwT3oXsCk2GAuJFiVCQLKMcj8nArggYQUJUgoKGvniUl2t3OGotjl5
oKX04GsM/m7FAsfxwGG/nFPeMiQA03j0Y6Dm+19/iXewqfVNd9nNWFTNbRMX87tXJKUH0HtY6G7D
MNXr/UqtWcfN1BXySR1FgxzX9lM5cwPZHPqAlBcqZy17tYOcCyo0SWZRyljgwDZk/egtICZ40r/+
nD+ZBZWHFfMpoUtkj7/7mBqKiMHBMnNrg0ohyEXdZiGpjgo9FPe14pv++oLG+8Hk6DajmjVXV103
8f6KRcc5U8/m9natqK1AjxAB6nPom7Rrep0SS2M6VAspX0FioCkQE7GB2eVj0mfUx0yg/i9mNeBd
15kB2IlDVjThB1lqTKy3qGXVcIjHjf0TZ7jqaqa1eVphHQYigTP7w9+VTvkG7yYnFmud50wvyjKo
o75vRC1e5rs1BOrbioJr4Mt5abYpHO4PtZmjVqIiMYyEMA+o4Dny5k4AMzSM934coavM+dl6ME8S
x3xq4BFSSbzDEmkdcI+2F0EpIrSPEMEwM2AwxRSkx6P2CWli1G11t6qazRjNsR0QjEbpg24Db0ba
jv2OJYDEL+qU1cbyZHnbl1185bVFejIKrzoPaYh8AaQJsbjSyLVHyCbZB1HN+Tc9ayGlctpGwzov
i+TzDfHLTDCWc+xmMKYJsZbVke5wYW5q2mw3NRtmMNUA3Th1UQLa2m4MjGRwXU0+9GWejmBqXfej
T+iAvqkJb3A2jTHU1ALsqEExQT56Ezid4X2lUoyysywgRR2Waelw/Pa91Vwa9ZxolyFAuZMR9dTr
5BAedfY4Hzk+CrblxJs0t9qIp5vIFipzGFwMIquKOJLyxo0o+gUT2afh1kuBJUTU5x5kxhhxcY9G
G4fUr11dxNho2RrA/QV2zqerbPsZqyDbhDVwnC0gE/EA+/XujQg5uy2F7dDktOa1iOc2RLnn7gm1
bNazMgu0LxLtd6+78mhGejpfO2ZVn7TJ98Q+mkkBQryWTN4lHub4PGR+942qnoPX0aBooydps4XH
HJ0bw2r2DflCACDk06jryyNotuRoYITYUnRF8dQRQ2QnKsDUN8I9apjqS+G39mOlam21I+MXBsr0
Z9SHaUdOcFRu9Z7HE8RhV140EeHyhXAHSKxRoXNAC8tpwrqnafPGI4PeqtEjT8AS5L1me0l2NZRe
m1lwbnK/uHdJKdJ9BkBO5XxbuAUwlU03UztAnGfZZKPy/zikDBsRnZVoIt6AuZudYutlwpePWjw4
Jh83S1GezMTGentNV5ufhS41PiQeUKmBQCT+jc0QMzi9A29UybE5/AvE0mH+aYKHO+A1BASJlBFm
0+D6zCuIcUBFrtzz2BMsplZZ8zNQfsMRa1qerCMWHipeVJpuOkzY0SfDEmWw4nRnA1N2YuG5cr2l
C5bZUTCbcQSdxoF21+U0kcgKsZ9BR/sPowEisF3gojo9mEbNYh5yrYL+ThOjaa55Q72AICB+/Fzb
fDhOHNUV2zrQ7QrumBFrcJWVmXFPaoz6Q1Xunzr4QokqSeG4yy2/iLZCdPybaEGWviFBWJwNXJMQ
/F2USXuPsu9zY7BSbzqqje2miUV6RpvHFIOcA/CSKrj7bjXd0VpnUU/ALd+scyR7OO8U2iyibkpP
huJ4+wKZjlvpNxZqhbbnt+unLXATpIiuKd5VbDsJtLMTOirrXiSDltl8KPEvHKKIUNt+4YkMFjvD
2Rip0glMmyu6q084bpg5PbCVUB531EG3s9o9zgb3XhQzX4pXkitltO9fsOtPd6n6HeIuKpJRyu5T
z2iarDxauCk0M3IYcWsOLWVBdr9T0s5360ZhyagyH1HSO8+GapekLU1AHOdwzw0vfbFMgs6CxAVb
XtVKZRjzSjtVqJ9brNXViWHEszPUpy2rmoWnrZrDimHXU9X+qBSnbS04ogJgNaeNQ4cqNOhyveFB
h4rqwWXdNqq9wN8BWwUmZDrVGij/YN3goByHa7Wk3cvb4cdUa/Kc+oiwYXBZWBNxeaZIHZzeuh7t
GXJeYVvPsUuI4QXLDh9QGiSgbzytpKqB/DD8mmsxyLJyfYVEaMP2GqZGbYNYebptM9561ti+5EqS
wgnCY3PHP/o455tdadnMbZU6qmRxkVys/SamAfPS4Umf4Xy7l3yd6goLn3OHCw/jKOE0fFoMwwpo
y4qL0599uWrm6Nju8IFavYIsDTR+LBKy+2s4ZVqMPjHkDCgc6MxkIy5E/ULm4cOENgP4rQXaCeqQ
hI6792nmYWHoaj25oAHIGMEuYj8TcMM9nVBocgRQk0CWm9MdvFvuSp4l/smZCS2gqc4L56jLFyMN
oFS99WSjQ9lUbdVVgMR2vz7UoclTTQxotjjR1X0Y2YL6JZ21NUJiUrnIazMxIwu62L3lBkQ2b3zT
tHySdSRaUwo2jgQBNTbodu1EkzP5kMwBNsOfYPNS2FcPKK0tpiaDSJ9D0Qj/IcFah9qX42i7Qzyq
WqgeTcqNMUbFRzrZ9vMqIDI0jzMAGj5Bt8ET96OpgtVNA0EnoYSpT+st8eUTpWRe9FqME/x1xi0r
0XQHH50ZiFY8fCB14F1Gja44CPl75Dr0pZm69c3IkfZepR3c0yDgsXRql7bQzczfdozrsjkvOiNK
KnKj6cV898WW/qk0PG2T0m/ZklPNSUYFbzRymPxtOop82Tbq48QOMqgsAbMpcX+Z9DAiQrGyEgnC
MoN2cM3F3ON3FaRutRHTUZLxcqFZY3aM28bGFsKQ7xngqBbiJIT0NtINhHNs05i2/T6376ZmRGZe
AjrAuNHQTLQmNbPwp/2HctI5tsJtv8zqCtYEhNQxh1Lh8LfzPjbqj0I3RoZImHGjFzWuknSd+ybw
jBdVJJjk2YpE6kiOan/BKEmDeb0Bb3OROrgPSpazTqxNpCIl1rGLwpplbaWST24yfwVCGN6u49PC
w3KRUgi4GEqyhq/d3mOIeHrfHCw7G45xNDfeXwMCr6L3Kl0sXwER4qqnWvpEFJKDEwGEvl9HxVvI
A+5qcXYsSL6iLuGo2qraQOsrqQKnLAXNGbtkJiKlkWZMbVCEaOyUpiu9OE5VowpRQJqfB4018t9m
NkIA4gh6Ogs0IgeGnLhHw1eNW5FHvFkESLLCgIXHGSYZND1psg+mmYgPNqim2zddgL5iQTtYL/gc
eb8sGH4krYcuNxuXhlq+u5S7ZOIlpBjEAgSdJDLnMUDBykRaRQ0xNrXmEYRRQqhdGHAdr5lJp8Ck
wj1Pd8Ws2tu0ZfwHf5rZ+BHhQZVlHlBXj4bVaVuoUJPKTtXk8nEQHmkaXT+Qpi7aVK/e0tjRlvEp
bK/jCkBRGO06tW8Ig3bPJiQi1PuBZgAFbzmp7+v6442FQeZj703FB+CX32It1AJCeduDnZPK4zbM
7Mgg0tcIL/jGNWqC7mCcZDS3iYM1J8iWaSJZkeYEu1FHydNnhzI7D6gfuM+JZJarbOg5F1qfgkIF
RD1soroixnKYistEyvTatFohyGe1i0tO9tOhFLKcg1zKEg8+VXN/ytkvOIpZiNiTEda0Bu5wBHOd
fqzV5H/E30kh0qfsfy56i5A6gw7a5aolQLeNI63Ow1H7GKWo7IOmkPxa+4KbtOpbVhWRZ45MOI2a
/OuBPU6htnSr8COLOnZ4qvfXKyrZelBeE0xG0+dV9eMa+qPe8PHChXyWDPs+IoJw5JNO62ISxszb
i51UGc1rnykp86W/S9UaLrCmPoSeYuCvB8NIj0p5RMBCoGPTMadVzuSGV9TTiBUkh+WU+HRDRumL
czTZ/oPQuvbFWGD24Ca2LjmD8VxLx2D9pH/HaC0iZqs1DGfgysE6b/ppxuSIAtTcrbA1I1f7zVWi
QCwp+vxQUr4aJ0s+ZZj5NxW5g89NzSvU5QyeJMRQp1X23lHUoc2y4BsmyjKODwbq8z+twQF/iKOC
N67TcAza9JFP2tsOAxFIr7EyF1i8rEvXXYid5MA20TTkfINRum8uKoKV9hCT4F14bWc/A1wU94iD
KdnZPrMSdR5uiYv0gVpTaHCSKBwWFmeYnfuYijWYANe8lNgiz80Sqelg3TLbevHqRMa0oUpW6Pso
K1xv58ydsefK8X3c9NOnifDkU0zj7hPG9mzb8oYwO3PaWfYsiMo+5hTYVWdLajdKbjhhfvJLb2c2
5nQgl1D71kvTfiH1Y/kTq+MAYmhq2W6PObYFZzaoXLT6SbApu8gprqD01J0GXxhNpE1dl2m9q6up
PtrmlJwTFy59lDrJ50J20UeHPT4KhyIH2dba+gXJ1fPZN2X4Kdbc7FtVz/wku9STlp1y6Uc3S6lx
Ys31aATb2qFpUrl8zpvq8j8dnt90eFx2Ed+VlbbP3fN/vdHdzs/Fn//z30FVln9+65Jvffc9qe3t
r/3V4HHFH0rjLhwWl7WXY/6zweOaf7iGTc/jH1l1VJq/YzfCYlvB1XwIfvOvLo/+BwVJ2kV0i1yB
te3f6vJAnf+hYsRFmIF8g5YSSmEKb8a70pttzCgH4Y0cqjISWyNO8l28lDAQuu5xdrKvHqWvjayW
jjUN63iWOoDApjk7egga6FR4997gMVXkXXY99flpIAkXs6NzhtSAHUTXSiKjBj+YsQLz6pfLHnug
vq0jyXbJq/29ZNccEAHnYwI0bmU4AEGJCQVKLQ97dO1OAG64phbpQ5ASgsu5mFDcNGsfh9y/56yH
sUxWRuDY6VdHk/o2B7S8yRT0rBrc5lIOzaNgixYs9mBu0sXWdkXoPmijfpea4iveWE7dtnzMq+S1
ijpzM1V0kyEZ3BLfDne55Ps4cup2elM/OiJVvjeXWqDG1+NcbuDjhtlAHvBl03iXUdl1u7Dl1jAV
76KOotSSZq9GpmGLgm+3qbyGyljND80HboGVRZ/4CtwG3bsskrbdhg1/atD5DGhItF0cGi3HEHJO
2RrIPWyVfOuQFhqQx35LvChGLP4mAFcPlQ1ku8WAQRDN3AKZm+S8dmK5jar81ifbfpe3XDKPFvvK
tmAnl6Np7PqaD2RKJ9vqS/Qpa/1pg+fX2/pV+TqXdXWoMYwGdjiTg03qK7ugPPoW5iS8d41/73Ny
2xFBjtkRthwbzpQH3HkeIjeSVxvEwfesfNmpphoHbSJf9hLJz2H0uHsmDjI8S+6lJ7T7dZAkNYvc
bNXtll2kvsVpTfvRS4JG9+9HT2Cozvil0O3bIeFDRSnLoak1/l6khN1WOH6Ort8ZGM7VKOr4s9DG
z0krsm1dtQDXhjgNnNCZuE0MrD4vZEBQ1Jnx/ApGmhgog4+ej8lX03J59gv/hNgByI8A2M0ZrQ3Q
7vB3Cu4SMgryBF25XJMK4AdN2zyuz7sgU3sz5AyrbuT7RjFDxlWMq6rGWUktJj/qInrlJWdUo5uD
QsLo9FyGSqXehaju5k85UIcNEO+vpuCD8OZ5VPqy5Nxzu1zLvUeF3e1Gkq02rjuGR9gey3Xs8nb4
bvvoZvxAB1UzLxyDyeNtXG8GIjZIgBp/VGbF16ICQccyC56GEgeZdwzaPGvD41xCxyjaVAaGhO83
gvkKTEiJewh5+IKzSt8WjcUt1Qc+QxS3VHK16SKijXwidjkJarSdO8qZLKKjeUrGtFREKkYZ4S/B
NJbZtWfwouLj1LfI6/NdNkf5Dk7yq54Pye0Qk6+uXi8zXZaDLnpjR3/Y2/YVwIiKvftGL3jcFLSy
YxTr5cVEeu1uEOo1hIEVrM9WK/j6WlieHDTkTCEMgVICFzSpp6G24PlRokJYjKT8ooUFTaAVjCiH
pGK4AwzndQCoEc4rfptYS3lhzkxj0CE7mEU+OFr1mLsePUzHZjOAmNMpXEr4LBOyb+2Yr7poXKuE
snWgrcDsBc8vmfnNKLLXSKWO0Z5gXtF4mwskroFRCsrITV+e3ESfzjaOfG9Mv2pRQjEDa/MJKlWG
FIw3ApCrdohs3tNqscVpdmN/7zoMsrIwy5PW+lydoihzb/FctkwOBA9ikLPQCAF80bWJHyZGLLit
6aidg4ku0aYqaLTN5Qi8ZOuW7I/xceoHvUJGpuWRCrckMjEceXTsRvyLsDduYzIeLpb/Ze+8luNG
0m39Lvv6oAMuYSL2PhGnPIvFoqfMTQZFSvAuYRNPfz5I6tkSe0aaue/o6J6RaICCSfP/a33LKvUe
3hIcIHfAL93wseXAKYw9jE9ekeqAzJH/IDn8NjbZIczary/tAOppbUQG6B04f2jNTEzv7q1NbOHe
kxBwRFct0w5kO91M9a71Eu5fhSkxbszyhHppIlY5+4KVgEuDTnP99VqTEZttMjg3N73FfXVLL9si
/203RsA+HcxNQyy2IW/IA0WxV9HhCmTzBZXzyi/6dPtV4RQljCeukSc7S6mXwDTEtjQsouwb/6mo
IJ5lRnxjjP0Z8SgFyJE4Hp2wG1gZJJMjsIRhSFjfWOFungwPZk0+f8woBQwresuut6Xs3hosrVX6
ySbMfkPLMRTrxLQfBPCzTUtjLr0CGNofk9HkFjqmJINcRkjdtnTzUhzeSXcDyNyT9AzY6fo71U4D
zJKsM7fsLxX1GtTE1tprGgN5cv9sUJh/Rbb94hImh0XSmbIvQeMYM0IyHPvImcIJHV6pql1YZFNY
r5QB+7BOFe98iqpuEzEVbWwrkFfhSEVoB7RgbM8ZakJAB6HbFgfAY53xXqMQX8d9NOQnGYcO5nAw
894awEuTnMXg2Xob2aU0wE2wfIh97+GHpdhvJSVf1zWktQUYH3zEx+FbjQMgGnt2K4UGK9GwAuf4
C/LDgCEoeOhV5fBY8da5CU/6r4/7cyvz+3FdC0oK4AgfYcnP8oAQqTsSuLo/WOPXwY530Emy13Kk
CTHV2ZdfH+3nNub3o/n49NFdhkt6189HQ8GNN52WziHXPCDLSiDMpEERgLbX1yP9vQn4zSbAcn2L
Nfu/lnldvD7H1Y/r/+8/8Q+Fl/UHxhv+sdwlV2fRjP2p8LL8Pyg5WQISs4fE4H+X/4vIC6fQ8gyh
CfMWUxg8my7+n/8i3hqHKl4eCjUCq6rp/CecZtxAPy//6YLT0+W0qJciB/pLzEtmyYYlhfTOInaN
i4hGW3NZ+lrb2NfRf8MXJxgxc8rjZIZefo95U4Sf0J99jpl37sELOGJtVYhXPWt6l9G8v0S6AQIt
twOAkjXZpQvIrQ1BlAFi6u6MfKGmx9E4No9m2UjgtMg0neIyC5N2Pwx5mp59Ow6b1djkwS6B5XBR
YPRY+yk9zEJb8CCK3KXtFIhdnKCh3bIRv83qsFMgSUZ5IoO6PrW93e21NzRHFMrj62zlH108Fq9u
2Jof8rHy9yYul49oi821CyXwwnPaZwpDFp83iDV9DVvFl7OOp4NZV+6OG2Wcy9SQ08b3wUEiKVBy
rYh5GEA2UAYpBmA6OdQIxL/ptRHH9juyTk5uD2rESiaWx0ls3um2rO66viH8pTPf5SIJHyeBJX8q
J2jUdviONqe3HUyM7s5Q3Lopedlur+yzKgp10SPfX5tpkgDGrcYLoGXJVWjkz2HXYHcn9GMrWMZf
Ntgu9nllDJ/azJdws8kjwc+Xfy7yhKzqNLA+oyBEKR20qjqEdvIZUJvahmMyvRdWMLJ9SCj5NHUA
rbDIg4+23eNz8AGNQFJ5VyTFu8bg0HTxCJKJx+GD7JgaHTjMcLMSfy3IKGJdSqQzmxwoxhYjYFjc
+3j00VOYcX2xPJGPzdB6u8CSCZiePs8OlPAaKuG+33H2g7+hyTo4e3MgdZF6/jT2MIOs6M7NrOxG
63a+lmNsruPZbU6xYxtk1pqT4CgOlXMfjbGb5op2rOEk96xo8pMoan2KtedckXgGLS+W4w1sE7Ur
4XS9dIGblytkZmBRM1CnIWJ+JsjRtfaFn44nNcvkMBHAeOpA/8HK8sboNUarsBQxxSG2qIuudF/7
lH9CBL5Jt8Ssl9pceQr67kqVNlk7DVzLVUQ2+xMkBkT/jaPtXeZkjSaO2E9w48TDbohtAbKugIxY
FXZ4OQD9S8GzuLDLYKqrXThOp6ThpHxa6cd21u1jxJ60WA3Mw1+qfq5oWeUhU1/mnZQwXr1ZgF6O
45S1iYzAQisDHt40RwX4Dafe+akZvksGDXtV+Ze1LJMbujDxLo+E+WlgabGzE8t7yRo5H+epGOK1
N2CVGRXdfGV14/uwcp0bMkt8ZCCBhNdRhdG6zEZ9WY2G262DQFZHmjhjvSmkEW91D3rUF6yhZuKE
1p43lZtucuwLZBLqLselSijt2D+JWFS3SVLGmn1YZrCPipJLo3b0ShRhUAAB4SN5Ffq1lU3fcF34
I7EzatBQPwcgfZ3U22QM5sdhIo93GBtrF6MH2gAo5JYAYL+Kg1LdeF6DtilQD8R8eXeh0x8UOvzr
sTeRgU/+UfS81mDa7OkikcV4CEavotVuG1trtFrqGnWg7zOauFdFO9gPtt2kH8HAwZD2MvKrR0Vr
TSPqvyjZj95PaWMT5kBuMgDSq8I3tmZZjbeR26iTxjq0ZvCk1QsLcl2JMkZ/kpAZhAd3ExGFcTE3
1qs1Cu8M6qe8sK3BvigQ6q4Sq0X2UtY2KFEZ7ZUtEYMkSCR8QpZX2na6+zmM9efCrCmGEKNxAHLs
3vq6KciasOJhQ05bjG1MZHvMMvUmkQzkMGK7yySmbkqXllzjBbLlBYN3RVoMTEv6xhdhFI8bmYXB
B6cy44NGbA6ULA+3yoWpuElb4X1gEpwPbhgany1SoNEQx0gnPLf/kpLAdnYpgdy1jWetayBdizHn
OZqLaAstMN/Y1TDsgwGp6bqWTfzBnqPupIr8DtheD4gfOq6jVH1p0+qhILpwbKZgvjGtJLwGIJk1
7NLkTLqbp/aFW9Gxc6Zg02bBsOn92P0c6XLAeDSB+Y4X/9aiVpDZGK+VJ4xTbLgN4D0xvqsndjSu
Vc93HkK5TedU3oc+iHk3HA+elAjyC7LDJlKSeqjKeYRpWSTux4xIw1WAKutsybIEAVZZzyNJxJup
mx9lz5Buj9o+sCSuCzZmUgD8teBRmTMFoTC/m03rgtWDuQIAZHnoCPGkovAXIdT6AflaFr0zJlFA
+Crw5nplfJPmrS5XRhONT2bkNcfQgWUWUQILGEFleGDcNNb0VU4tGUt389zf9FHSYc0x88ueC7YW
PHsPqbaLo6xoy7E/3VMSYCs9Y/4KA+Mu0yGP2qgqNiWOjNZuGQUHMvb6XRR0+bZ1+mJtBvKUZnW2
r9COXUgC1aAMm1Bl6sK94IWCFV3Qjow6ilb2lC9EQFmcIrLemYrk+Azfpt4bqEsv56H1Xyw/zz/h
iDfOolWAbApBDoD7aGqX3QeG29M4IgHAZTnvAwxI20b4wyNJR/1ReMVzipDhIoaLuGuypNoPvcYM
M+c+anYjao+JLbExYWq9a6OyupkbNo8QHMWwStNbK6rtD3h2xlPIrAxty5LDOytJjEM+D+JU1KTG
2YnYVU66OE/N68xznyboR4AKi3xLtqhc+eyDHsIgqvd9FzTXddBZ66mtaZY18nOQRQyBURxjOGTH
NcZtfmirfGlSuONljY34/RAuJr92qDYge5uN64n5i2jyh5h4eIpiqX+fSU6hs7JuzfnplZc6VwOj
6raOrY+ydQ3kY258ndbVKR8NfQUC6USOt/uIh7E8Nqnjbl1DDUuObbhLpkx+VL2e9u6UqI+TURJ3
ExLRA4houPDHlNaN136EhAgz3CwQj40Daoroa5v62eiF3ijt0FmEj3QMQ409Mcovpw7kCNAVRHnF
cAYOH63jwKzWsennj1jPynsWVdlliZiqXwlL+qtkzIL0uqo6ax/6UX3OI5d0IafeB5OprkbHBbCH
z2wfpy4+8diOTv7ScVZ22h8imSaCET/1bhpRTxcxEPcdlCEkXWkq1qM7fqSAl64rXwlIVKM1X2Mj
StcZ0u5jBUhoJ4Jxeu4DGaBhb+A8SbC1AtteBMTM0427EdU8vZTU2j56VMhMlrnPRYRHkhP5UvRF
s0uLMqywvRrqQrcmaqs0o2gzq4ySS5MVRGe4WUnAjg3TDFgwaoGiiYGpR69wveyNW84jU5qnupUI
EUlkWXrNunfdJWa+G228eqasmUFHaR0Xn/eaSbjexEFgHqRjmF+g7wiEbznyiw6cV+V1xPAlhSL/
vVeo1bJbgQXTWbVQCS+lBIDdlHZ6YXKrP2Kiiw72JOXWB5yJvkm32VG1GJ4imHubZkSmgIZM+u8R
US4F2N4Xq2Q2b32giTYgN8Bl1thZL1Pt59cEqzAgDHa+Jm3A3skSLKR1Dza5T+VGDsDhXpIeoYOL
I/urhG8CUu4e5VdxXzcFYfUwatJOKLS8TosKMPwqCEwVcjnkgYS8DGgqUrERYZL5sLEQFBowyTsS
RpAZ1l8FhyFnyBpBvOdnqo8GCQw7bQ/1Bd7ISa2sRbxoLjLGfgiaq6bmu4EOVx8c3jwn02rH2ty4
wtHcbPpI2/vEFzXSyHoqX5U0ratqUU5SAp15g9nMnbGPPMxUdleNEt4rGOlWUnKc60spwnErYNDf
qaVGmUJGPBpFXdyaIxQ4JJmaPmI89gc374JlNNAbVn02tC2WMPbYFtC2kuzgqdzd+rmwL82yJdJ+
ERsnwkSthFltIzxNAdk3OB5kvepxSgb3HXVwatltUuPtbC0DNauZZ2uTK3c3gshYJ3mnP+Bwu4bG
ymU183C6n8Yw2gwp3Lw1rhTzStcRRPuORgU8uqlZtSLweopSdXAdMAvTupia/iIlJLXC+lEWx6lI
04cIPu+HjqUne6Z2OOMEj+4LMbc7mkfNFZDfdG+EHbsvgXX5bMhhVADypmHr9ZA5YeE191IWiMRg
2RKiCa0enppayLMhJN/Gap5UrKz3VOSb92UVPcnCN08u5WuUiCWVUseua4Q5oQkrdDAv6fjW90M8
teVG4pvzr/opdm/LuHn2Qf2igp0BW6MfM8GAjCbTfjJHLi73XHrXWa7zdylIxke0u5L4npCSoO4t
e89WqHvMVD++DgBd1rXtRpdtEdWQf6Nyl6qUl3AicW+lvE7oFVsP1jpwBeyNjMX4aWbVx4rfoAyr
qmlRMAZZvMHRl9ypKGQl1swAmAdUTNs2MKwtYV/hxYiC9SKe5/QkYhJ3CsTh5xzrLWZzmNY4Tz/l
QTU/UiSUxEVY2ORXDgEQWxOT9ruMoQKyHDg/jJX+fG3oat7kfS333cKZK5d1kjPzXCnkRCurMaOj
tGnOk89trJMkrA5YQYkbY1tWsf9cFrKWUCfhsLhOSlMsI1i0DXUzYmBsk7Ro3lcdrYprK0tbh2qt
x2asoc1mrnBExwF+aa8F9kJJZH41dGmON1ZopND8SNJNQMXrdx2xx9MD8rCU+dXo2PB2NyAfSLHe
9r1PqZmauprGSy6JCoIdkPPYWzuASfts9X/IhGtjVDbTeY6mvQSZh9yqmJ5+KP/8k8rjW+YKfAMa
qSIQPqsyqjtvPV11M43Itq3xTBlObIwQpodlD9yR4sIIgo2MPtqFs+iw4OyInYGYGpD3NvDlVd3P
WzCBWz7qPpzTDbXS3yC53hQMv50bhjkLAhh69LdwowLfb2ki9TvXtTr7NWtFeUiG37gr/tlBrCXg
nEDC0PTfXgCRdhOb3mE8J7a5Wv71jHxX+tXu75Jk2SWd/k1JEpsiVed/XZEkYKNSz68/FSW//cyf
NUmTbEgQe0uKtAf1KPihJvk1a9JjAbl4n5AnUHr8U5RAIdOi7Bh633yhNrf9e1WSYDn8m6TNeWB7
MJ+Y4X9SlXSXqvUPACCThUngg6fzEdALIFCcw48WO7OIa+i7s3EZdLJJWVyghNT9ezWEbqmOqVn4
QP7ZbwbMBT6W1EScnDAvxm1U0AbyWS5VqHeioxvKIHOuSsOmMksLDUSBmQLzAsSDsZs8iknuIU8L
KmqCJSzd2Zm/lYArm5ljPZqCisEMIbUvmCBO1lAIFImrMfANtAsGCSgD/dvi6PguYvTMIQASwoFE
wvDBLpXs1iy5VK3v02YmTn4buNHo3wbx1MfhdZLQO+1Cl80mvTGjWIu+RFCY92pmfeNrQwIrF1UT
1H/7tf+tyEXuscMT+69fm/Pn4fn1+cdK/vcf+fOtschaxaXmgG73vjqj/7eSb/MI//ma8G7R+PFR
iKBHxmGLrOfP10TwJWwNJsmpKAkEdr3/+98/MdraN3/+ERzJu/fmPcG7uxzGxk0QevZfxlkM09NQ
qtq58mXrP2n00RfasQwFbZ7+qI6LptlMdXXkhW4suA4Nni44wdsRDcK+x657EtLs7fcinjNCJ3JK
3s00OC59/4ZYj165+skZ3OE9Qli16SI9o3DW9kQXPBiiVd1hI2OZUQ57eMXWXY989EM5yOF6JtR7
wsxcspPLZuWTDCjVuEsKlzKvSrEYqIyAMgpT3d4LOUWg2Slk5wj4cAq3F4muq7Xv7eIpGKMD3MGZ
OJwsNT+lJAjqVa6z7LXxjeYaNMdALtFYTNdSVi1la+w39Cpr2FUrYBGZf1Fp5c672aKktW+1zVed
VtT2kXAiFlmxaPRFZJQi3RSAxYxjwAki/pWzQb55g0Hm1g7q6jZ00+gOKc9w3eTAalI/7zZjXFAj
l2017NNR+QfKNSTTpm41R1RDOiTmAbSiDTM8yuorJ7MfUVF07AE247fAVWmJpN8X0o4cfx+IMot2
viLbwdxMaaFKc42Ccjo731JdO02eKzLaZSlTf13XpB5AtzLbJkEOs+5dW5P/6NwNmHZWioGfkU6A
LZ/OWTMwFG6X+n+IlitSxa6mZInPkb6VB0zGiFN5LS1t7PBOWe1IBYhuPhezBz5zak1jiDdRY3p+
dTDb0ZKXdEdyuUHFNCwPjj8f5onA9J0xEZC3gkw+5sOx63oW72dLF2nngOhtWxI2i1WGUrK13kcy
tu35w5TQs1ev3dh0RYGKdJ5zefv3MuHfWSYsVtBfjXf/L3/+9Fz8NOB9+5Hv413g/oHzmbalR1HB
8iBB/GO8C4I/aIvazPSBzSBkLQ3K78Ofs4xxPu52LOMuzfcfMmYd8w8bri6rDg/eBT7V/0y6+PPg
5y7+MEQ4FtpFx8ae/maRkFrsr1rHNQ6hYUA+R5A+H/rQbX+jI3izlv16mAVHSIfWMQNG7Z/XIrPV
In+aB+PQztjOsgrWt9ObwXUxDgwQP1z/f7Jz4IL+uO5ZjhWyECBMm22ah2P752NxL1K0GY48aKsK
r1END1es05wjybUQ3zxiYX5zQHYjfzmkz9yBB5rlngUokpXgj0styPGisXzFJkArVCQS1f4J1QT7
ucrAcEqDBX8q86Fj70zEHA4JHPmizEE7Vu4bEfVrMQxsjQmOgwmxqNHDasLTgPiE6DOqhyj/2nBP
YEK4H2fsPQUK6XUpp/IIwLC4zYF9gpVQ3aNFrucxHNA4GrIgSFt3yRnSuCg3TlTGe92YWAmiVm8b
SEq3tuHOn0NMFk9x5qonv46uzF4n1PFzUmbr3DzMtpNdQeL0gnWcOv2t3fbFl9mZq+vZGdNHGz8r
qQMy3yFXKhdY3rDuq3JE7iThoM2NTc8B+JJq9Li14qle5Z3TXvpWV51VHYwYGjPn2cwjysDe2BCQ
ZoyHhnzuaOVOoSSZ17CrlxZLFGXzYrrFsxf37OFRCa1U4O7M1ob3noGNyjZTrPwW5ZEeo7H9EApb
6PYUl3W680tQaOtR8pyvsTVTvjCdovzUKwyjWH+Cd2mY2XdhZIbk1Zht+JoSq0NdMVwkqks+IL2g
NMEngMOEgk7gxJ+yOF9KPaWbX6O2CxAKulF18vuxJ82yHJ8CPedrqslqY9s5z17KimHlJqm4Thzr
DmSRSRYTlpAYSee2tUz1ofCrYVdNZkc1x6MjOBH28UrHOt7HZfyil2jiiPLSZRQGPUD3WcTFtuXi
xDjsrhroMu9c+re3TpnMJ3OWKGbgd2QXXjmYxiZLUmJjDUKhXdb55N+Z7mEYy3br6CSD1Rj1r5jH
uk+ZBflzO0ezV26NLgmPXIJ2E0vvpelyFHejOtPAwpTn56/4xqD+A7uVBmkFGHofQ6xHPKR1vjeI
qlgx90/rFqUiECjXXJPy5bFY6S5TQ7kIhFkJrT0zSJ9hFFPUM/yPDo0ckpo9wrR8r7mTY26fvLi9
EROV5RW7HZdHm7dnAuDPQsBFtWANnyd6fzuhjO4qs8v5UzdVes2dFZ/qKcuuk7C0N9ncdXcN8bnr
sgvumiZMtr2Y3xu9cs72HNtbTPHtmRiDeQt/bLwvy7AnazgcCHmjokV4nA/zzz4kWTACk+tgzekX
ogdJpJFD31eo1EjkxZoX1PYSlpEOmywqMrElOE1nZP40mCWwoenpIg/hVpIpyEIA2pRhRPNT1o44
3ZGI9O2IScSoqI3qoU0fXJUGEbBNK52CYXzwdUeMl0XII/zJpcPE7obqvGBJgamKNcyeDCjPfz9R
+w6wamS2uIBGgYgpyQ0dkGrZJo0L0b/z8HSMc8QiR/CdTp0M0RlmKwFIFQum8SbyjChwVrXXtPFl
CAOMBlYrR/HBruMeeaSJ5IxYMTWF9lPajwawrwmZzas/xdyomAxk45hR4+zVfVbIsmj2MFGzD4ao
s/twwHiqzJJhuCp8cRjMLn/yCetWyDVsmi5j7zlHMQ0o/sZ5WLoYRhzuBV7C42jTorLAth3sAoLM
aiLpW+M/AlJoxyQ20WJY/holjrzXKANePMRxdMwQvO/cbDEC5xPH7d0Sa8hCuqlbszwmVGe3HQm8
JbErRJavjADzUuMu7EF/8K0dyvlqw3a3RBoCmK2kCzGtDHYG3AEZfpwU/6/pjPJ+BjBKBmJp9ISo
DGNxOzlu/dllgXniRJJol9kuZlX6fvOm96I83io9VhcBNeJrdCzecw5inN5YPlg7NiMF8IOM7JEM
XXIJvxGiHRejK77YgcqfUL0CWsRKMG+CuajuoyLGwdOyi4LoVmVIJWMiOf5eBf57q8ClvPKvd72s
AtvszSJw+Yk/N712+AfmOTa8GEXMb1K0b/I1kor+gGdNrccWCGagYvxjDYjpBdQJ3w6gRIDrWQqA
37fAgi8JKF8BHjWwNDY5Dm+2vL/aAi+0sx9WTMvpYOokowfsvukyfS0rqh/CEwJ/0EXRm+5nSvV1
+oW5RDomwSW20XSbrktt/QQDJ+l2rXZyYJOtFuJlknldnqyK6oq9qw0XD1/WBAZzZRlKU8YUiLJ4
elQmChwGZLf2kMcihogGYz04Q4Ow1cl7Tew19tvWvmaXXkP/i0ywkY/AsjCV50zOgI5duMs2gpSe
cvHeaYmlY3ZkKg3VmkhUA6VMOaQtKcqakF48/j/cyH+ynLR+rqO58LPRvVoAN0hCYAp9e3VoX1n4
7GbxuW7HASNdEfkxDQDmMJZGYSRCDjlZSVl8aTyV6Ad34X+ptc1IyecprTGaHn99Sktd5KcbhvIq
tEDvUB5HnRu+zWXwYSsXVauiVwuRT3ZFBnyUHWe3B2K7jxEasH2kugclAsxCHVA9SBHNLmFjdZU9
V1OrG9ZJPQ2OI5N5a8bbWUbUBuZ84lZsOwDcrAgVwvFp60FZ8M7znBHpsaUwyEp3RZpRT8z0rz+U
+/Nnosi/PIPUIE1hUYcJ7Z8fQhlncErBuX426ax796JMjOquyGU13/z6QLxRP148DuRQD3Vxfy0A
sL+ofTVjbDjDu31l225TUKxxgrson0ze8MnxU/eazqMANKk9kRvdurYif7hjpi3TL78+k5+3De5y
JoLiLO0c6PIYxJZL8sN7ZzmRNsMp9V4HguERj5K53SHxRmznO0fWYzNp0r8+4l8uMqVqKmZfq8sA
ib/WjH84Irp7wwey6bzkGJYqvWl0bQzo1YJZ6vE3x/p5H7Z8OgYuBNVsL+2ArdibG2onZZ7h4rBf
JysiQ/yzzbI+Jgyy7nnuIojaXGKaVz2KiP/0Q/IMgaZC3hvA7vfebDZBZ7QK4277gtqWSHeCPPNg
uJOE6nJ1f32oNzu/5UMCnrTZugmbJwqx8c+3MK0qKxsHu3htcUMU/oHIz/IxtzvGqHUHBSaqr6dw
lmZxqhJVeuZWDHE2P6WtX2Mio5ZEKPHKJOw5vE1Tz6dqGA+lnZ8y0EeBPvSj6xa/gzX+5caIwBIh
fSXuDp7KtwOaFWaBPaGjfIG+Rd0TcwKUni8DhSvQQlXhkaMl0cZ28ncX669PH1hyj70iHRBwjW+H
LWlY5lSjpPyEfdAC+I2WIEEL4Qd1rMy15eCgyg+8Jpn/DCgOVMqmUUqFOMVgmw0PSTGPRFORMDB3
nyLSd8Odg4FbXwqIAL+3IARvX09O0BcUoRmV8I5S1fn53tLMqFWBzeFTHCSAdVbElnXzTUv6JQ/V
rFnHD/uwrVvvbDgy4W1qS9dlMig9opNZqaPl0S88gEX6hYYsV4bpD2LFiA/OrdIv3wZgV9aMLmLq
I+99G4Uh/Y6h8DOe1AE2OHenVJ3HNFw6FoGrK8giyxBtEHXHAW095cGtjOtu+jDrZQmxInSVvPmN
naYOgzxUNa9Jd7bbEBq3amLUyZRA3LT47OEqIlvUIcR1vuH1D8X7ElrB/KQIg+McFxtN2a8sjFfv
SXCpU9IAvSmfn+bO8YeHQSHCvWtT/mZcxWXKCLKKYUVwz+wYtmmzKkgyA2GeOrXBi85+FGYEfsY0
JVkW4phXilU7pjbf6VkkOoCP8vy28PZimOLutiNpkskMs1LKENwq6sZ6m0YhhzaSkUDeFfWH5WhG
pGvvDF4gaT40dKGGgyQ1ILnKXQAK+0VXWl7GjaH7Yz9hAMRiFshl5EsgMOpLBJExk6Upu2XObAKY
7+qA/KHDkVqRjE545/cPQDs25qOWPgr+dGPSWeOCCrPk8WunaBnEctQSRrFt4PnzP3jSKdmu25p0
zj9/R1ODBto6iRRJvOaRqwijdOJZcA16JyGJ+DDVRF8ctVPxmaJvV9WFhc+VE0Hd8w3j2BEYWuaq
N/K1FYfLER20qSmYc1ApgEu0D/p7w0C/PC5V2DFrOVlV8tCk0kuLu5KgPN/fpYulYqFopDbv1FCG
IU9NZKPb0ChqEWZ8gWWJfGzXRR3pWkcDEZt+aYpp4BpW+KM4vmBgtOR9kCNETzczftd8vJBUHFA3
RDOEi2CTWpPD1zTpgMuHSENAa1eNI4cy2laGWu67bw+MAls1Ax0qthUJOpyJgkTFn9iFNs5wRO3i
8lsqjXqn24DHCPiTEXVAUoDOVR2npPn0/OXYp8u5uGFMXRX3ps8rqIn/4UlxZnwlB3qNDqeXQjlf
1m10GfGDtnRxxfukd/nDOnS0z2mlbrhc42YouII9wnku50yKIL8pZwnoHmh8gh3fRaa3PKLL0np4
qIOS/zYWQh1yhRH4eGeWjqAktu6Y8J5rpedl8Ijhej2neIKXV9ql2FdtFNBO7oRoWTdiiawtZ3hA
ek5Tcwu6um71YZjMNi2uBoIq+IUYjiEDrakr9ctTTdqs6jZ1Fs6WOExBLiaYheZDGGOPGDYWnpZl
ZIrzGGuxZ1IwycII5WSHadQ1NzzbAJGiwaznG6H1xOMftFStSVcvKFuULBQI5Tp7QgyZWsVs2RsT
C3DqJNeVBXYHiwI9pWW0Qv9uWjg9kFkaF0lLeBc5D6rpEGpPedsa42XGzpZzJJ2Je9O4ATgTzJUW
mTpUNFMdVffE5Ei3PFdtFU4BNaLEHfMtAzHDzRbSeKqBaNR9FRIXyrp9GlbA6LoYuV7aiwg8SMYw
673Mo1hIPgy2ms8c0hmb2T+reIpjctOruLf8czdRV+XhSdJlSPG7UTf1LtNyeS7Nfmp5hqSTNFl0
STDnzNcae+gV2EnhMFS2DeZQ+CcZ96NcTaBv+uZM2gXC9V1aNj13qQQxyVxQ6WLkd0FeXUZBsh1C
nlwzqWU37MyuHvlOtjANX+sUHaTLIDOHpdzZpcuKMCYvguGpdieP69fFBqPDwFXkXSAytuWBGsAE
wCLj7jdaXAaQrNxDkLczJx5PRs+hXQudGVVhik/M9br2meULCXukpaOeL5MsnaaGx3EiV6CCFxQo
zfigA6Tb15OpFZgVhijhHuoGnG28hTMJqRIz87LEWkJG9UsRIPm9+r4PYdRfLs5YNU4V7jOqveDU
sHGPjnHRY0lWNNbQx20aOZZy65q9RJ3WTHx41Gk5o/3Cj+aMsY0YXCW4ij4vdop6jocnSPrlCn5/
rItkXL4GEdDhwZ1JsOTMvQokI44hI2DSsgyeSmfr+AojEwjMPDJ5P7EE8+a6JI74JA/H8APPNiTp
dNOGGRpoon4s7X2k/5qre7OY0B7TRcbAoxR6s6NX1gOwnWro65e6YI65VFFhuIsOz3egXtRJ85Gy
KwLTzC+r/BUnzazuiiXD+XnESzVez/iOKHJBfaAo5IixRuKO9BaiYoMTDrTLOIpgOKuGAOhqBU+l
wBqeM61uZdAN1rrhHikG+SloZnys5aDciQjfbFiW9LMaEZC5hHDYtCuVobsPoW317r2HPtGN1vDJ
solE89zWks4xhERL8pzKqLvoYmayfO3P+TjPmzDJZ1PtpD1TFaPiJrEQgakYTdOqdwOSYtoZLNDm
B5hBccXE53UEy1N+Q9budra11hYjHGLqqGvDJbUIfbDpYw1DmZFHGJacDq6AOc6XMixNc2+NVoy6
tZ4swlk6QniI55aOMG5q+kbuY982tJZxnvm6brZhZU7TA11ip7sy2q407lzDbeenDmhOvhLK89Tj
7IM/I7G983y1qJ5FNJMHMADd24TTnGd7mXRQgGYMMAU5EVm1GDh8NbdN8Mkq0qDEoVQDqd2Qf6wb
+iXC6ft1jyHbX9l0wTtz38myEXjrM1Pk3l5CIffO/5+981qOW8m27b/cd3TAJczjQfkii0Z0ol4Q
FCnBJbzH19+RpHq3SPXhPv3eETuiQy2RVQWgMleuNeeY8Ci1LNvhSKCsjX9gkcGdbqxKL+sx/xoC
h6+zcazO0hQMlA+TXv2qvvUZiaTxBTBcWbbBCFfkVS5o5ZW4I3G3qux1FY5NCHBQ1yNqlHlwBdVY
qI98YZppVrUmemn6vTtwO4PaVnwWEr7ctafKR5SRA1+H2HbUCpcLXVWYQLBDI9ymsxwjqT5YNXpn
Sx1plKQirge2HmYOKbsMKNbIXHZkQPE7SaopVfUHdUedHNyUgD9aMfYACWDX44pxvuL3Iu10Z1Sv
hndIuPQaqr4WLJOibansPdwRlbmzTUEVPOrUbtrKn8eKtSz1ErVphBpuBvbwvCV5BkiBs1gIGkxJ
SYQlzGJNQSuu80GpS6AQroTIG7Ug5tJkj4ZxblOaAB7uuEBoLNXOSU7UxDttotjltXt3ccvlZsDT
zt+VYIz5ZXpahnyXWlE2vP/WT9U6mdl43gltSQ282+sirFqjefIbX9Wrfjiw2phd3zjfMWcWJTCu
1C3OozKF6L5FuKBqqaJyVckS+526RkQfOJ3xk5wA8NHrURpDj1ae1CrdYFwS4sLBHgC4LT+xhs+q
RHpt9zhtrnapXzsYQZhcR6ASqmPhYG3j3RtWqHEhCQVJ/XI3JzmHDgnkncLVY1/hHfSthkR8/88r
sdR8hYK+shYqUmjs/MaSYUFurzPYBCj4KYjUo5jgLOPMkk+h+ApVmt7T221kwzSMe45/fXfr1eHE
J7ZIeeEe9S19dGZHUTaM8dUypnroPw4ZUVfZPq6cKB8PNuXocLu4wOpRei6Vaj41TT8k8aHScQAa
bJRMKvEDmbM6yHtOzcOS068zphXW/oasKBuiGIWzGapqHsQINAacp1E7eFdk3ptlcu6Ers77mRdb
fQ8sq9H5qAMUieFWtrb6itTofWh4QZjiH4SDrQo1Q3I0TmrGdEXAkAqx8a42XeKC1tHb7hoPQ8Sm
2ZeMh1DKWhVVoGM1qt7s4I/gRMWSS2WtcwXSn8DPCv7A/6/+NVVJs1yN0nPZLo2Y92Wu4thVpSFN
/EgV81al3u3b1yPrmH7dyn4suamQCqwuP7cma4i+Dah8GB0DfifbhVEGz4JcJTM1Qbq1G1s9u7Iw
/eKUj0Y0dOtItp5BJDuaEYuidixn7m2vDWBBNsXS8BH0amA2jAxdldY+vNPhS+T6SfM0NH1i5QFJ
glXH4oJoyjq3R6PLiiAUJs8Z7C91CEwrwYlNNyZ1Q1rbp7zk4Ml97maxzGcWeN35DPnDPBGhY1p1
9jTEBgbXVfhW+bSRPlBrtPB++LQJdBkKg18nYg/AEoXBFEU6p68iqi3+FHFmaTazpmnTszX0NQ42
3E/6CkBvzHFkiJuo1fYEkVr9rbNIq9dW2mhw/ZkxqUM3NHBVhYEPVId8gDOqkI+IehpuwzaMuGtd
TkMXCTqkB2LZmkEwW3J9XCz3XHW14i5GzZn3ULsVTAd1fuBxAo0U84uacFFLZcWa7OzxRkwM9Ap3
4tHfIx5hpjhnHnXU21evGKQqraSWQ2GDLkw8br3uhqFVD0Yxqv4RWWCzeiRd3RuLS92epqLmgizq
xC18reNCjoarvuKclqPq5DCuVcz0MY12YVxM/TXMvKU9eP1kyL3HML1t2Ng0m/qAKLCBpROte8mv
8e2uYa1K60JVomZhsoqvxrdT45RFZIEdasLgWKQo+Htn1dK5MuXGjwZ1Cnw7WMhwUW+6XCaMLSu+
ZTPzqs5bOPHag5fyoHNIYqK/GuOi4JYmRq/eeg/XH1PUFPch1BiYKzb8zIrmCP9wmXmisPKpBavj
NmoxCJkWqyti6aRdmAzEVpE9WeWkTujz28rhT60qdHMjU0/l5w3Bf9MzQrJDCAkDHRf174eekTeV
kFR9OX6fwk6dMweiCmPk6/ZcSz9o+4bP+zcv+bGrRpsKBL+Aw09AoUfh9L5NNVdF4ekdw3vhgDr5
Kd8eDelpqrP7+af786WUVgmlpBoYKSXP+5cyAa8vA92J7wRuqfUJI5oFw3tisWbt+vy1XruB/9Iv
o0mideySU2G6yOf+nEq1ugEKHHnI98nK4bljqsxNnkTR2TFfw7jJDfbCBepM9tQDNkb60Q+y9uSq
6kzO3XQh1GQDUo/q8LRvK/Ov2UfRQO+iRHJFy56A1mDkT5+//T8uFTZf5ECEi8CsQF6l/v63TvvU
hKQjjK546vCh8j7YoNSxkM2VI9TnL/XHM2fRGPYZBTEJgkD3sd9NGZWYBQXUkx+T5TLvwxlPzb2x
uOorAtUG5/bffLiPIxQ0ToaSzApeU5h/yLmaurW8iP79U2XHao3qgHIvV33Cyv4lMgESz+vQp96n
mJj58w9punpzyWqXi8Pnn/3jZWZqKoRBk5YxKTrhj0/kWHTTgLfK+kZPgqMjaE26VB56H1bAz1/p
41U2BfJ2BrFEsLtMkD42rzMKQ88yUuNbX5RuduoqqY7mScpJbQ9rQFWNn7/ge6gIQxM8ArSdGfIK
Jny0j94/QV0KIMEb5+ZbUzAnQipghWqZY1Gcua9hU0sYt3ECThToXyZACG8+fwMfqIa8A4eHWGVk
uZhw+Ojm+3fAKTGWRuUW33AnzlGxYZa1ZBu6HrGf7t7KlgHHGHseIVtq/f7VFNfIp+d4kTsdKo/D
+HZxckRoXCNa/zPf4hI+LaeFRZKTiHcSvpPXrj2rQ3qBBT/rWK3dUajNciDhA8duHOp88QFhM0NP
152Le/DZQIGCN23IaNFtPIp5szskjJa9ZV1mmqqtWmQ0LBaaoufTRiZ9lnuGjoLaxm0ttcXj4Kl4
W+5bg76ltGfVJKNbFU2p171WfKahiuUwzZUuVydjkevvRWlDZ9IcJjjCZzEG1uz4+eX/44FzbWRR
DuYR37T+fLR7ThaxBjP7sYxri5o1qjp1BPKXTlUAv1rWn7+kWr9/X3LVUuu/zmg8tAB/SOEZlM1d
DTHr0Y+Qs1qbPvGd7CQ8F/Lihd7qvIOAANOeQ9REviE3grBo9W4+fxsfP7lloZNl5VQ6Tr5zr+Pv
39bOwqmLkXsZP2Yl7c8jZtsuv4MBZjbnZtv9jc3q4wqCKFW4Fp0ix/KYV4oPD7lj6OR0VG37bahB
MN+L1FWPBbHEqrL6/HOZH77S/HYPRSqJVy6TN8vSP1QH0TjpUhaDeVcADsDDRvuyi7YRbVROukk6
sjsEDLxz/selYcNzOSnKNYc1AR68oq1LC4Yjj5rfVyPOUfoIi60K9STihBK7LALPZF7Hqq01aaoN
4HVwSePDgL+UZxg1Fv9aGSv5cFom2IuiiMBplpWB+BlOVQZKtvqggaaZcZsRsmyfPr8IH64318Bn
XdH5ntoE8/0xMRUi6vzcgYTR56namcOSUQWaqxGv/v3nL2V9eJ7VPWXxchBcOGyL1kcL3VhW9FQN
O7z1bLzAvFaP1fEiG2pV6vcs9SxBb7N3iUiHq1DAEOLh/vWnZuhVh0AbgdZ9Fbar+pmcBStWOjMn
G2Y8aFnaa8t5y1fVYYJV5dm4I12DA9MmK0KOxwnJBxxLfg3+mBapIZJG5gTfncXTF/5uKHN1wxeR
8ira63TcfWtNEO+peryaiNWdTA2qljFwBxb+ct01WAI5Gb2N0PhG8uzCH1CH5zCky0Fct5GPtEA+
v6Te+9uHU4bUIcTiCJbwqCmL5vs9oeYToIKtwmc5WO7XtCEvG6yNKfZO5lU2Pf6420b25J/NXoK5
obLDYp+bmbwfyFcZggJ4LUPTCGojkkSYsHFX34WcX1syg1uQOLE3oLP00+ucUdsz8NaWGPWGqIEV
sxznchBheRaDbj6xI8U4YvJ4yNZam1oPC3Pk4YhDJhVQW33dJsRHZPc44DoOBxJpIly+5spmVyIy
hmiDkzs3w7qr5nrDTFzeQ4ywAYqbTAnSqqOdV2YjI7wO7BWqCXE2T6+c+aXWDVCvjXtrsj8/VXFp
iCBsnJgWRtS2OzMtitvRtfr7xIIWFHi6BmJBo2/3mPVEw0utam4cu20pi3DJpVOfbhkTzEAumRdN
K9SIBPb2dj4ciX3ddCMeUOimafrQew75T17YZ+sObMjtkiI9pfzUCC1Gvr/SHf0aWIz+3Zy79hvJ
0PZd3It+FU8OaDC3TaBzzMnZ50/E+8WaB4KxMouZoFSwTQqFDw9ESfvHRcJevHC/CKMwiZLfOFKx
HJ1Gd+4+f7H3X+i3F3MRyqltnhruY0USLjalXeMXL47u5miEJv0WbafZBnmenQbb6jn/RWV+zYgQ
3eTnr/3Hk//6MdHqMLJhEf8om+gF/DVU8vlLXRQcXC1ZEZKYWwbCt89f6PU3/Wsbfv2UONsQHmAH
ZUP+eIicYMWZA1oZAEUAgKl52C6CkgNPgshdul8KMw+/JG2oIWSXwq/W1lAlcjckwiEiskP2hVjP
uWywDx8LrXbv2G/hL9BX7O7znOLF7Iqc5JHOsK8BUxdwNghVK2jPXg/mbD74KefUwCgNvVpFWXRp
5eQFwE7NHbo3GbM4Y/RprDX+/JICe2aU0DdbIxL6kz51MPS5f39TC30Q4XFJVBlAGcR1sdijP5YE
hua2k42o/gV8Fxc/Tqx4Z5Wp3E/L9FQYvny0NH9a92bE0KMGOL9H44vr4fM7I9TD/O7OEAmrTnWI
ARGOYf5+v/oZWZgzPojdlwjuTUY7rYFHiYfdX7dMSbr1YOfT3s078ksSrcqZ9pT5HqaFfxoqZwDo
50ba5WJE9h6OH42zBvlwntBPXzWZdkrmwj2frXlXWLl1Sw9UXpYaNy1wGIzNq6WbGLukZRuu3Mp3
v1A2DmCa7OTn7KQJBjcSBzI6xfskKqvLXHSY68qw7b/PMu6x4ZrZtVZgXgicyRi3ltmhrbaI5b4d
pQ/ROa4hQ4BzMPxg6CJGAERGpQxC2BNvbKF550k82w8GXe0wYOgAA+Pzi/telsQt5tpCa6cGdTjN
uh9N9T0tYe67G5IIY4sLgKnpfZVYM0ptzPZgUJRi/PNX/JDM+fqS1AYccXBhIcH7aJE2dFNCD6nS
H/DC7CNtM8xIYT9rZzQq0y2DiI6Vnji7l8rS5X0STd05wAb9Wht8a/v5e3H+fLQoNVk+Tc9UebIf
xYDNmIvWi2DlRxMDBs7tZfithLg6rOt8Ju5NN2FwAXvC6twJeoXrNHYg5iGHXdMn8X2irTQiYpsS
B0DSyUG1fmmhF1obnzInafe1ZU0XTh9HhwgipR2Q2GCOQTsbkBWiChg0+DK4z2jNQfkAfq62adZp
J3xP4JpoZWjnThvPV/M0sp1BYa4AFrF7r0p4Xec5Y14qSivHyCBrWSApGVNmuAw97wX4mA21SHvT
mVNxiHOpjIwuchmeRMZFK4eu35XlJ6DQXBR14KlBzm07R8poRbBEdRorQIJBmVQOuloYyMYBccrY
7HRSKh66pky+4rnpftqJmdDqIQfx7xpff64/4MAhhlK7Q4klF/LDLmeZTEKzacx+YN7X3QA/V/od
lcfM1JBbxpnKfVnaPsRuo32fhxT8I9xMUGSfPyT/7oH1lASZrc/zMRWq/fG3kxFKqTZvF1f+CHGA
9evXG+IsfSzPE+l0Wx3D/W3dFP12Bsy4qfAPP8ZeM1Q8JySD/M2b+TdfWM9WvWWWDrSWHxW7S96P
Q4mf+Efk6s4N3Ln2CyRHbe3S2D1jX+wvell3x8ou8oOcLOPUFXAGIEbjW0hIk0SQXIzDeaL11k+U
87UIPMKgbv7mXf5RMgD2RT7PVxzNNIfKD5eMZM4592u7/0HXu47uqCwEOCjTnoOeUK8L0xkyZkrt
4nhrrxHlz5iglSxYQrA3O8st23sBqv9cd8fszmzsngkJuwCRMY3kckepu7Jrxr1vN/q/nODbuSLz
4+klT8gUbTmkPHe/swJ4stWh+X83WjwQoJkU0b/5mX9aLXT4ArSqXEd3aMDir/h//yIFw95QnlqM
/urBpZL9J20Auy2LPbIxzBYOen8ekl9WC1sHyuED46ADjSUXe+d/YrV4X0OKV3CMKukEjVok6Aql
8Pv3N+xHwJBhPV70OYY7uY7l99+uxtVbKfI7zuB9h+HPF/hQoDQTBo1q4gW81EEpmwe9/wSZJvEJ
lXj5/KVeOyP/KoZ4LRzLwmLrtPDc/pk3PButIQVitFMqJAF2VZBriN1BhFA+ZbX4hlwr8mhHIFYh
+JQqXVuArggC/I66pddR/kL0qedGl1FvxyA9d2ETqbSeov+ReLqX5OewE1rNPtOdajlIxu9hc+ul
OhNDUqzD27nutinMwGPbpcZVWpcpjtk0rItupQZUgWc1ogtM3JQjKorB8jt8t7Dhspv6DTlMdBqR
wohPvJxOLpbaloQF89gYVXKHsrY/k3Cd3RUjDzlu8zfCstvBOBCTs1wQ3SLGb1qJ+y7TIuifXoem
BVe3bV3aSDKXM2bssXZD9yCxiw0T2tAnnLV7I6bAiQCf8npH/rtq/M2qYfg2X6T/fdH4nyZhG35v
z3r9kb/WDFDhNqsGvQ2OGK+W8b/o4vj3Me+zbjBc84nC/GvRsFw8+vwUKjVatKw2vIdfi4aFP8sE
+8WvU1J72Fb/gT2Lo+27U4eASK86lCrBiAXNZhr2ftXIa7dtp8wZicMC4VzT1BtRjiAWE06pn5XV
4JmQS2sXXc0uM3OZ6w8d51eDHlSVt7dmbncLbD4WOHMj2bmqMcXYCHnau0lQsWH8XfVpwbh1VY2T
XWxtayQ2EBPsvE+1cWSoSpfHzIdD09PuHdpg6foCFkch5xQI95DQyPEJpAaEkk5HytBBP6R8n06z
HYa3CNErjqHOV00hPkag1NFKJzPSF2l1nirVTE4PxAiEyMzb2AHEv4KUOyJNy8nTI+yNCNWRFuWI
BXPBUu9IspqXjJBY1hQqPbomwykh7ajZmLE609C2I6/OJxJT7qDfyR0KKIJPhF8mByePavfCRziA
NnvWsStrWsnvVAyV7hWnoinVRKwYKxW9pG36Cl5xXyEshZ0CZMkVm8UUYfGIXBSV1iu6hX5Ht47b
lvI3qhTcBXHrwlwD4ksqatgvigITLiXCjCaqIWkyKJ5oSDaCD2q/8mOQiMBfFYbctabTbGwjA9wX
VTBnWqM5H3GaVGuq1HHDQwoQMclGcXBQgd77KYx0TnN+u2McxaJIjKZOpjWPOrx48jOua3I7TAyq
+c7qZMhJQUwMVtIOOGibphr0gXxwUdTYTUmEtE3/zBnyfV3CPsav13tbcxxHQEtpucojc0DAb3aE
jDcR0O6VGtP+dMNEfyJDBYur4Nu4VdZ3gMz2/JTDnTK3fpOLXV9O1Y1RAMhBSSe/YgZQJHO6nKsK
MfdeDpCl1mbjXsKQIevNpIRt0D7Xq4o5FA+NMRnDhpNpvZ2HaNqgkfEvJ1FXeM4bBHm1HQEyDic3
KK08Q+doiSoQcY9VPdXKAyRL89CRZL1m5hJ+49vQ0I9ExfUdt4vB1tF2QwZJtzZvQ5n0h7HJ3a0p
acQAygzbG88ennU0xethZsAE53rOA74ByYETikXKZoQ0fhU5nnGeOzQSs1h4jwr5sMNjQIi6oAI3
1mJgY2pxL1vrNqxvBdLbi5o+8HfZ5eG6r6P5vqeNvA8XbNMrTdN9csO0BXlwpbWXczkVF8RMp4AT
ypTtDul8CGYmU8KhsLxzorpDT+oXhIgk0UMHFgCsdhfKL5ldmSv0wNVu6HIkZx7PoRvamKvtTL9G
3tevZkSU/rYsbE6FnkAKeFZVXopYuasumzz0t62jyx+Fkc1k7rYl0eCEpwwEpARF2D2nqLTXxHhC
vfESxPGSE2lpm09oPR6EbAQc84gGjT+YbkPoEafqSBGACLnpnauxhbXNy2bC6efmv7X0/w3VZbAt
fbYtnsqie3q/LZpvP/PXvkgtzWmTAaSLmhfO3W+1tMOWyfQGaQZtC9pyf+2L9ie5G/Y/aDUKtkUT
iSB2i/+MXfPBuCyYeuiQ9/jPwkeppnfvN8ZqKYnADef4Ejcd0lqkUjA7mTeLlWDJm/duSejGFvFI
zHclsapT9Bo1kETxC2lOsFXdKDdJDdPjGrbxUhO4ULYu1oHGJOG9SDw7sFXeARqTRj4kCyEJZbvo
Lyk53j6T+Iw+H3ZWFwaBNhCzkBB0eed2nQuCvwZVccSW0YynpgKnEXfZRFfAlHOQEQl4qqhqVgaa
JuRz2rnezxX8eJUWYaTFYq5rBv+DSpQwzVgebLwf82pWqRMwgXoRzBYUZ98D/0SUVCHila1yLOQA
SL6XvbvXmr45MFmiKodbMF0PtcZgood/Sz7GqIIyECZ1Ocs5S0owz0v6MImWwK4e+DHM6vOY0FeM
S4vRsGqNJJzguyllOhGG9VpWG6rCNkvZtFDwQ3JHA+48V1lfeuOKPoxQzJP2qqXWcM4QoYlnrsh8
RmaYquIXVdGzJ6rq3m2QrG/SxsDgMDrgxRr8gHKDRXE8laktE1vuGUwzKi62zgJQ3FiNdhx31h4m
S1zW7LVZNfTu2QI+h5QINiQEOdNmjLOebPnAjxrcgwcDm4Y/nNEqozTpgsmg5ZAdIk/Dd76uTGE/
DtiBv7Qtoday9rXpxS+Ur8on7/vnHKJntC5oxIvcuHHz0Ng6XUJ3IKgUvRlWvwI55/5wPtIaxRrQ
V1yoJgtj4B99ekhsv7A2mKuuDaNkY1T8aBzP42WrwNJ6krAJyykr17MiUGumYRy9NCvZ7HSga0mS
7TCsXFL+TV86p7eTdUgEzDrxG6A79Fiio+d1rr2icEsdlMleuNcLnVw5ac0wQCbk+4SttU+lWcln
s6sNa+u/crgbheTuXuncUYegISha3zi2VjcGthXJIzap1KCV3n+DDj50KzTy4krjCoJ1hg35LWps
nchdwOH0xbUd1Lti7fJyJ+kAGDcWY7ouFHic4SsMclvhyPPao0bLTD07M42oVnredlh7mVMchlEX
F4nap6HDSPsc5exyLMJFJ/1RV8SO+In3mG49RUvvJcySuGUW1tsO/Rm3/Ror4nqs2OtlvgyAlOCx
Z4rMjtWnukvbhdx6V1yrJxtOG1wUV7eKjVMbJ8C9M0OFiowNqxJbL6nMhitQ6T9LY9YvS0WPj6pk
OWtqezwvhwy2vGQWNydOtEtT6oaQeQzgp4qM4TFrd3Qq/ZvIhuOD7MA89zL3fgFqX1jQ7V0tdM6z
Beo9FhFtn6bt+CDqcmTsSIvxfEos8xFG5kS04ryUUTBK3frimOSVGUVr/dRcD95Ix9XYZgrI33fy
2fFsshPxYXlrrZ9rP8gGx76prHGKVyZhi8/MTqJbkdqRHpRZI753KjWgoKvK70CsKj1prpAta0GN
iO4w6k55RAdANEiapqigsUdYKp1gElQy+FQGL+jp3W47EZFN5/Zdcmb4cX/bKSyN5PrctlNN5Eha
fvHM+RxzCUWmSk3QXIAEnMzJUvDIDPUDn0zCl0kFLvjSS/aQ84oXcvv8tdRVREOV67qzwfenB0jA
MRemX7qchNDZUn4Mnu4bQyvpsxoq/cFXORAjgRAgoI31zKQGFozKjEhVekTZ69Y3kj/HgDwDbT2N
BpTECQHOo/BIorBUJkX5mk7hNuNDFrfMZ6y0PJkM+tpgINoC7emwGfCrkDtIgnwm6mVTyrjdTbDI
vgIfypntkJcxqOSMWWVoqOD0K1PlamBg0G/QwC/ZCgNLVm+xdkQImwnpwNnZrO2pL7+k9DU64h6J
9UAHzsHA6KKfBMzo+2Io3EdGNou2Xni0NgtLzioGZshhUAWHFCpCxCNKhrgAYkVMgKtoRzRra0eG
eRfVfnXmjSI+ln5TXQGLZu5d6wNXVmWZQC3rbujS1+mqVnknoOwl8VIGSSihOm4aKh1labD0rGyz
/pGrJBVjKv0A8WZ5mhierNCQNOeLCmCRAKyBHvmnejAFcQuviS2Wo2WnWCfLxVCpLlLlu6Qq6cVV
mS/6aBD/ojmx/8X2CbgevG46lFOYMKQI7RERbaJfNiR3PuR+WT8QGdlcFb0M7yuOGWf9BNE9VvE0
BoesTayX6Y7B/rwBflYHulO08drm01KxdqbeHQoCJ6ogcvs7Zn36HCQ2AHMNvAMBtkTp1HqsX9VA
lqwNITzlkcw5oncQduAzT+c8Q/NtmLjfbIvr2I1f7QnGPa5+ZzdPOQKGVMX7YK12nmkB6hpWEnKA
og71gZPq/sO8iHav2wsbvVfoyukBHGELSsohrrKqbkN3aKJAE42TBVFIKb0mQOG8rwksaiuVXfTf
ltH/CehDC/az2vh/mgzT6VP7e6OZApif+VUbe/4/qGSpP33fRqZJ/+ev2ti3/8H8zndYkgE5e0yN
/qqNQTwLfoQZp09h/daD/mfPyKIHTd4audRI0uj1/EdNI+rf900jyiH+Q6GDjhoZl/g4T1REfM58
PSkx0oMJLzSMhEU37JYwno7Eb4j9opU4U8pxnF8EZe+5yOyafothjF/IBNKZj1Tak3SlfspAJGCJ
Ca1bh1MnMZkUtOuotd2LWA7tlzkdklucWXKX4dc55IgHv5VV6AHwcdMjNuJNN7f1d7SY6R5eT0Mt
nuJQQg5fLc96lYHBJ9QATSvxrzfISbOjX8jiLHQtALsW0Y9TV5xKYeLNlmG+1tI8PhpDOx6KJM+p
YTXHWpta5B7zuq+IHZLTZVkB562k55/PbUR6r+tM5jVeHf8CT7V+MuaEEAZr1gZsQla9ZeQnd1io
oq+Gn/gXhpZdGZPTn0LTuF30GZmdg+2xqG1fgz5YWT+ZS8fBmM8QCg2AHasGjeKVj9MRWJuL0dQW
VMoNbYSdkHr1MtLA2lqNBWMgaehK9WV2V9upUweTtNNdRTTZ3m87YLj2mJP+NRvIjsz+ofSS8LLr
4/G6K5PlGevW/LVoeus6yqCDWHPaXDhWOl1D3UhWaO6SbR2K/kyfnPp7bvXTGp+9u60GOexcg/LS
iKgqiEuR+6Egu6zO7P5F860gaQS2fzYJs4gOtrJe9QnW1Ewvi3UrwlOeVQq7T6GQuRkQ2xLaIAiI
XV0P4mfkEybcptQAnWOPO+Yr4YEAivwKCfpC60dLiSadkatsLBRLZxV+7PtoTvxHt3byDdV4dQwr
Z7yp4ITf+qGdnBaUTKex1bF2942VPISd3Z6nvS5vbMpO8qc8PK0jptG9mKQL5Uha1vUyu8kpiqAU
Y0yUMoBBiFQmIUmFFmHtMY6yhnMHh8mV3/CsIFwhTDtdbPncT1N1ETqO3M9Tb505aLt3eeUkBFO5
ydea8B+ca5W4zrES76d4ni4wFVln5ijKfdOX0WVnl+1tulg+MeatPORaf6iKcCTXpxDehVlX5iPR
T86pJiL5kKAgpOiTZHTlpJ0h4IjFpazGMzMmjWEo62avEWjMoL57Ql3PDjVPGUEVVeg+1db4Q9RE
IERzNQQ5fuxDiVd+i/SNyG+3MO8tO3smL7riFBHZ5qPrFbflYOFVb6uZ2KxCvy5jh3DzKQ61o9Cw
SNApJSgtHpB5rUbNqZ/asEmvXKKVsQ8zSntOQi/eFYNKRF8Seecleg7BC5KFjvL6LI24iaNl0Vvt
pbPGdpvfuFbbfWeCPTRBlxm3OBwPtHecYznWO9wqeN4cFW6YyDS7Rvosv4hQ7p157I5OuBQHO8vL
dVtBaO5ZLB+JwUsOrshJmkmses0MeQqI2Ey/VC3MsmWqS4J/UKossaJVk/T0FfvydOciaLquzLxc
cUPRGjRxxrHaMaorrZm2o3Tqs7rBd7Ty/a3o0nwXtqN+wmojd7W8HgDQf9WU4DpzLOM61SNrXwB5
aFdyZGzM6ap5trqZdwI+YdQnd1ca47QZpNETN89c4GtHJlwVkEAmk2B05xJP3RxdLm2Z7TRSy2g4
kgy6aobJ8cGcjqTgELPXFwtKh6XsyaT2/eEuWmawvDJD5CVpHLPMITQK/Krh2FXV1WkuQn1jGNrX
lMg/j0wbWoWJ9EEjOhAafJBDdEWSB7iV+kHqrb6h6VoHJmfL79KJsVyXsX8tcs85tK2Y8mDB13Wd
dFpGQmexwtvWPjmpO+1S5iBXeuvk8LByS78YvFJfETVGJqPpSWeDg9C/99k1LshKjh9gs5KvuQzf
UKs7e3bEheZFO1yQEc6xA2nIeZuSOEewnX+e93Zz1TG3O5E8Wt9rYSIvaJxXG5WeRGpBGa0XMyaW
s62tBxSZ5t7p+JRN6JXbeErNH4sb9acRHdyTTRXK5tIv9ldUJskd7vNBBhRXPkZUPyLyJs7wuEdk
DhhhfGUYSIpGJkUEHNXTjd5z6YtYLOt57qpNO5neGecq5n2T5PQNGmzkQaNb7WuYQbizPR7oyOp3
RTJ1B9gL1Z3sw10COmeDTX65yjgPb6oBqkYwd/qSYq4s7EBE09apy+HCGCLzSO5N9m2szWw9Ak6C
VsF2m/AVP2tRIOyxY+H8z+rGf8wcJ1nnxah/lSGkYVYmWFqduZ5NR1wtfao9V7arH6vO07bwSVq6
BYU8CFsLt7Bp22s5j94dXqBwa+i1fkPOjc7LuaG2mmfN2Vp00y+auf5ekIT5TBeH5R8V4ALZY7Kj
3WSNxnpBRBUwxj0ThW6iZiuahOwiTK/4/xUpSE9Y0RL9WrXW2fvTNLrtBYVIkPa1nFcFE9jrOqrl
voz5ShPk7GYoLdoGtYwbevVPzibZYZAx4WbTqJ0nZr5hGpxfDUOR7TvRP4pGAAYuWzImPFC737PO
eYSl86SH/U9AAY9eOX0pjIXG+TIip7Xq/NCQw7uB13Br1lF1rAhGveUgYd6ThV48A3WeHjBlPnpD
4Wg86glErOxY4WfU+2NVt/VAjKoz1YtzotQqIidYTDz+mwTojL1RyvrzifiPdT9OvXdVd/UMxckJ
f/Yk1HsMNEZuHKBQE/AG+OtVWOq7nnjTZUc4R3lK4AGVjxULKLWXorRMYbatIbLkR0/LmrUSd68p
8rIzg3jFY98k7qOYRf0NlVyUXoWIQc/cWBjNbR8vcbiTSyaZnk3tuNCZiphUv5CT0Wp3AjO2gL88
hByDtSQrcacm1rrQdEK9/bLYDk77wJFnxPgaybXOYAzIrf0waea4JyreXc1511/wL6etL13KSRkf
k8Y+730TErOulSLIInYZzYXxTS1yVyy08GKkVEd2EO0m1pLoHGiwsYLbNV8w6KkvGu7mcaHT1MXJ
+GRn/nxsfEfDJqz1O6OYZobxqtyyFrMP/j9757XcuHZ221c5LwAXcrglmEVSEhVa0g1KLakRFtJC
Xnj6M6Btn7+9/R+He1/YVS6rFUhihfnNOSbadHOTpgesN8Rs6fKqog7CCbw0oJNE81FFQQDZ98Wc
tGu6MePDbEOy6KMoOjaFmR47PT5RwZozoDfqE0Tjbq1iT771lgsKYHLULpVDugXZE2y0WGfylObV
ZozsGjtaAvSmi+o2hNPl73vmjhjKzWLn6JH+y+6h1oQ1rLspZQxqGZ/Umbj+j1bv8Tt99DYtdc5T
JO3FKksCKS3y/044/q0JB5P3f3qJW3/l7+N78/X7Je6Pf/PXS5yH74dmHIKsxE1d6PTMS/46+Of/
IvTmOn8tKVmG+39j8wd/YXjOUw3Z0EEhXIrN/3aHg+hP2pMrnuvAPDT/s15x8q5/f4fjkuiQs/Kx
HMOp5Ir5J9ehyIYEf2Qg98pVyQsj5rJeE11HP50g/oaT1xTdtpbqLq+gs4RL8yoepgCOko57c0hL
YNTWbLxE9AKSESipTMS+On5Nnautfb45Wzh3kkWkKskLr5jvv9laQ18ZQ8htGTNRVpYebwA9Y+vh
RUz3UeE4D1k3lqeJQ8wlzxyeYL/X570H+cxeUnLN0TV0ZNkqQtTxcgTmhMo11trmZoLdAsjG4nQ+
Odlu5Jcz8SC79cGb0+gAEay7lkFMEV+bvmWe1F7SvNAeY0l3pi2ncseCE2/qmHhLDaP9dp5QPIup
vR/8+NPRBH8k+J0VAJl721RiGwSUvynH0lZZXHY7YCm/ai4UlNAFHewO8jcbB1l3a8oOttPMT08G
894FgLZKve5Mhy60JtO8Tw3/EdL32QBRs0owRNNoZJwm8taczcqBM9C4/BeUR1WcbL9+If0Licjo
JjjY8Vvg4gxly18t9xShxJt0ljtpVdFirM2vUE/1dU1WZE2Gpt/2OkWYZNhDPoKPkxVtIo9BuYjc
5VcAl+fwrQPJCAdkiX5rCU3bMrkGAN0G+XOlevvZmKxyZ5U5IKE4srZk/SbuQKhhiV78auf6Tncp
Eo5s7dgRTH+vII891ngikMAj0wqtOt+Mvlnf5SOcLn9GsHU6eaugJ7zYwn9027TaVRM9BEarWFYj
4W1m3Jf7QLo+Uw7/KUdUltwexicq86iQglbrhV68VA4EUf+h6ZhUQ0/q1n1n5talSGXClAlyoM9i
i6qaJ+WDpRnThpxak1BebF3phWcE7Uc0GVi00UU8OasMih8eOm2AmTjJYNdIixNEXBsGCQhVEZly
fMYbg1tdTGPqb8i6dVCVKNx+8mAN3NiFq7/Z/OHrlqKEkGGHmTKiFxXKrd9EDcqD0m+AgjndoeII
jEcl69Qvem5mbec3VRX9UoE3nnOzwVYfQybY5GyseG1wLtdFZjz8V637d9Q6yMAG+tb/3+F1Theu
eZP+vtL/9R/9j15HZI3MIcfhb6vWX9f5gHUeozsBwd/9oDoKnmFgava+V/Hfl3jm3jrMNo8vwBKK
kfQ/8XY51p8Nm6CcTezk6ITYyLAp/8me3Bgu6RkZJ8fZ0TlMY3lfciIYjUy1gtQ5vOpx4V00x6mu
aa3KyzxyJpJ+oRshJQXZxmBYwnosZk655iRuE7/LBPQLlv7Aa3bMM6xjB8RzhX+xlmvHnzjDgzci
S009t7dViZPcDORKTzTWGlhngM+CYxV3ZCP9XUElxi5ixLmzRY4MDuAsWjNzc7/j3weBV+3ctypa
z3PLiAezUdesCtaOG2+qxjc6jBTFHJxWQyvp6XfSTNT9soquFXh9kt7aOB16/acQc/Xuidw/06Qb
LfgVv9vwBfFmHNwJM9Hk3o6QkOINumuuwwOr9AO9yfZeNKb2MVaN/EX6JbgFN+QfqqhoSFHQFYCP
q2YajcdkR31Ac7Vbezxmgk19pQRifmhxfcx0rrKZk5EFh2AoAfvHMIQg9dy09ax9lG68hKHqyrxo
M1XxKpUvQzDJa8aFbSfIKz7BX+0e8JRxf861ufkJFjJ+aYB/BeiuGM1dN856KlSDGUGj5B4uPKw7
etocEicQXmiaEKQkwYo+NO3xBwRdkxe5zH/mgI72wQx53bDT9GNmXnBKISloc+wcRdPVRy4v800d
5TT3Ol679SYgLuuGewz8QoV9gPczFi9omlyZeJV6vluhtVuztfIbZXhR2AD85Q+d8Bm1RtRjMXQY
STp6sptklD9iB0p+iC5NBLSX2jLRoqqKZL/DgI2WdW62CQ0xLf2UkzjIxu7Pvc2kGRIS1xYiqEO0
TWaabAD6IZ2MbZms89laKmqDafzFetvTR89ulWKlamdGtkl5l7pki2ypvFPcUKUKKKhfmY1fnOtO
y06mZhmKIPNIG3dlK+a2TlXTVYvUSA1GH9s/JQmVeiVqx93hsuWrCLfs53qOvfXg2fG68ksgOIUT
3KO40Pjia/R7U1yTqGHtNkyg82D4KD1LHPSGCogxIw1NTLhXO7tMppsZSaPdZpBVn4Iqi160wo21
YyQZbG2wDBifctTbnq127K8DzLxoMyhhvHZo1yXXH9nfG30p3xqls43Xo/EuGqthB1OdurY07/h7
2xI4lhsKm/epqfBWFtZkr6IOuMWqjwzr2QKKdMOgyv7ZI/NA+rL50C7Iunxfx6XPyUn3EO3ZvA4g
k4LHmS2Ne37mRcXKRrLP10Cxqq2flMU7cbbgqUntn5o+LqfLxjobvau+nBo1gM+EUZXgBqPyhZKY
Fo9Ns9gGkeebVxwHpMiVl9UHBmXd4oHp6eJ1nOCUmBMw0q65N1pyLIjePM+N7shQ+Y1Nt3I9E8Hw
uE0Pfbue7Dpd20nQb+axk0dRGd7R0TkwzFaS+bwOKOQIYqxoQC69UAtqfQcENb2ag+bsqlQXE/2w
XWRvbK+hNFIkzEdtFtPB1GsVQk9KabhE1EU1teRF2BFjt6CyumvDfI0X1iuyHzTkSGonjc4aWcyi
/hDFU+kvwlz9Nniqbva25hOi0oMYL5+u2lu7bbSPyvGwcrRGNtwpqTQWlzkJuGNnNCoHJPO3mp/I
N3dU45cERPOq7NI4U4YdFQR7W18xQgXhSDeOJW8TFURizbkLh2IyRofE1EYzJIT5EIu2xiIRjDdk
Ojmn5EKu3dI72thWkfjL/D4gvLwmYh0dMsGyWRm23E168RiXTr9DYYmwP9ko4W2TNh7Jf1WGHHtc
pp3T/Al5dyo2g+HKdWX1xUavOAWvcrp5IH8a+dDf2DTYYKu3m7FOf8xanJd75dml0F98JVxqcJLG
Mrrupe9Vm93CNNdWkDLdW4NyZ0oD8+bqFrl+pQUtvmNZnHa0Ms+HIR6fHbssr5J52LU3kLzwwmTR
89i45QsKM9UFpVeOTA9i8cylmnKdduSxwp9R3sFnLe4CT5fbNi6grafCvgRx0YbVMNMM5DQxyza7
HZq8Si+9GfRb6Xsyo7iwKC5ZoPPrukLb4l/FJdQSy+ZRp+t3ZTSte5IGv/7MxPjsOFhQKG/uogcb
TD/OZjE+xr3mc5weouTLmjV1W2pxj69Sk9VJ6SpCKqnrB+Co3iHmD//A6DGDH2yc3dTJfjtRjfom
7GyqQph78z4G7LfNbIXvxej6DXSqfiM6h/WoT435hrG/d0jSBPftmN1J2k1XjjSt2wgkmM0iK6Lr
OHN7cjPz3ExVXIXlbKPZ+H11F89eultez0egj8YpwM+8Z7nwQHk12q0Q2NawmI3OfR7MySeDlpTS
RQ1TciNhtfNJ79RRzZ66R18ed4EKgsNg9O1zE1UIcwa8bZ4nLoeMtDgu13SC8xbFA43hQNDXXVYy
+O6tQN6Plk5GgqA+ajd5mw1gYn2fydy+7aFSnLk/TIeWjTFd1eZ4KQP/Q6/S4MNoLbPCPOtI+Mx5
8qaPkTi0lVYTkk00f5UOLDV8/BI2aRvHb7ikeLbpkIm7KOAIUnveuBad4b6C//NvTVXy5BF1LRF+
ifrvZhirM6BB06weShW8gFKKWbETP6lv0P96A2afDw90KMbgNcXp9kB9RSvvXG6o7Z5JrtRWM1w1
J+S4L/WTiS+MfSwwSl2i+uIpCtn4eeW5oauHRsbriXmLQm91GcwFrhcCO1sGUfF4z2W4ym4ArbXF
vu+05MWpLSd9J6JWliFuGITHZpwbVEjxhyZp0IWEQln9oVfykTVRL3H2L1omNoRXjr3TDyG08iMb
JvM56Hrv0Vh0UIkgKhdltFg0Um7udej1QxF6CKguQioLIGlK7FYIrEup2U/rW3S1F/21RYj1vgvF
PT/HA8Fd0S60E2+OiVmf+1cpOvnLmh08N10tkXhHafmLLJ/me9Dr3T2oW6HCntQPKnoTxPGj7/bN
ppjN+T7BqIb4+Iem/N/b0795e9L/5e2JCxT2kj9foJZ/97cLlP8XQydySt7rjzYixKq/3aEMvBCk
ZozfVbLf0jD6XwwaLBefvx1A/nb+I2fD3+c5MRo4RLbZqzxmH/o/4u56vfOTDgH5gBw0n4F5qp0F
IjpdwETKWOtx0nxM/SA/aqOJ/gWGAGrMnxU5Ti9QiRAA0a25tvH6/B7gS+nMdkTdikORVfOZISl1
rWZr9iHQHiImXaLvO0kMYmVi3aJCUCqxzHTN8lTZlXriuYIyU8Ut5lkquhrOIYaqGpoCTXpuU5ux
m9Lq17kWzWyyWDLKuolST/Wbsq3NDXvsfIa4zNw74Di5Uok9CdT0cvjyMthvoUwRs5rEClr49ZZ7
lRoHpobUys4fx+lu9vh9EZrUzhvs6EgMhNfNJeB/4td0YHdyxn+3gnLGYhmIddlr1kH1KjPgtNha
We/zP0rdjGju6fj9bntTGu/S5xBbsbsdA08zn/UhitNN0ccTYp9INOc10QNFhRyp6S65qQAjcgcd
SZiPd9L0aJ3zYtClF3DYib+thDJi2Me6u9VzUUh7lcaFTgSlHTp9rSW65RzYwPjKmP4D2u4aUZc7
jsHuKtaWPjykUkyI+DvpyTOwhVl+aAjXiJmbFm7ExX4FxPJnsQxjOdhVTESXCW37Pa3FkOq/4CPu
NMjtjHPHUnq7noa1jv8FbZmhr5PJ4eIRQ2xDsQyFcboa9zMDIeqIGRk3nMWWEXLRFNhMWlwofrCt
v+fMwzJybopxK22JCW8ZR5OtYDLd9WkVapz+7gdXTU/cXMSLvgyzqeFMQsvpq+V043xpy9DbX8bf
kgvougy0YJuURnroljF5Rg4E83tSrVOvKQ8UH3ZHitH35jJgT5ZR+4CPhlEbTpmwZBKvGYzkW2bz
U6AevbJhWq9RA/HTqYzoWojEW0/LWF8wn9roJM5uPD1vN7jQqC9cjADVYgmQmpHsAKIGH+63YwDV
LLsbFhtBzOnACKda6ZeAxAwycGZox/LbfaAWI0KzWBJGKedny8wfMw2XBDdlnAsmHobUdBeUMA+V
PVr2Nsoj+xCLYli5i/2hwQex9ES8z4s1IqgrXBKsCd17M9NzMeNcNxLMFAJXxfBtr1iMFtYww6x1
4wjXxmLEqBZLRlR5xutk9v7F4KQZrcyxO1AelB/ILnF9X4wd7WLxsBazh4DLcTMuBhAMs/O+WEwh
9WIP6Yc6e4GLl73yjhI4W2wkfcV1rC/L+iIWk0n97Tch4uoxObPmOzTF4VQsxpTi26MSLXYVCqCY
DmmaxbJiTenZV411H2CHIdbAI7HP4UpqSN9pekSXsG57v29Pw2KRmb7dMgRw9HMthvRMTYh87EU/
PqSLwcYS8Pu0CdMNd+bsuRnc7oYikEDbTD0eLf3bqWMsph3iiNGhhtG662Y9XutZ4G+bxebjLIYf
m+HbD4bumIACjZ0eW1CHPyhfjEJRn0CzD5wJn3J8MHETKS5KYYS/qF6MRjAaEPsX85G+2JBKp8aQ
ZLTDjoQCSatEn9bzYlyqvy1MckzhcKk0dEt7vM8qR16SxfREr651T1uVeukXSxRBpeGeFyS6naq6
/8FJ1Qip0i3WPCfgTxZj1fhtsfp2WxWL8apeLFi87Twt2ii3gSfqT0tzux3hAlxbU6Rbm8nlxi0X
U5f37e8aFqtXZkLC8FvH/IUhYRlNLqYwjvtA+fCJUTc6nJOouKuHLriYi5mMjGi+m50AKO+310xf
bGfYEfRz0IngolWFeQ/6uGejaFVwIuKX7wLca/m3j83gQT32KBrr2Q7wuUUjtthUGPGxrshdxr4L
vby3yjO9DYh9mOX8xTanIc4cTWkbDy7+IDPUOy3Cc+xChvt23Y3fDrx+MeO1iy1PuN5m0vFosZcE
G7qLzbdssfHli6FPojs9GpDkr7HXeRdzcbxoYJVhgSshn1pGtJfJ8ebzsJgF68U2yPY5XvO0wkvI
0+OdysVgqL69hmKxHZalMx4JTA8YbozhMnSNdTRzs8R1L+Xz6DjtHePYiDqHYd5ZRDzwE/T1qxv0
1U8fhMQvKmspRXU7euqDIP4cqV4FbDUHKCT1FpBkD6mrddaeoXehVi0FrIHWagfy2uTm9DYf3uvC
N/JwINIBaGXhD+eJLZ8jQq0bwnwUcjrFkqtzM/GrtA0umMEgfwBncd0NU9zipxXH/q6UU3Tujci/
GXzIJfk0o+cFPi50YVIFa7K/rdBM80sH7PA284v2TL0uxi6qkI6yoq826jR3ndnCuYy5N6y0oex/
+Fg5V2YdDG3IIJx5SMu47x65xj/NoNu/dIt8DzoXfmU0DBkTaOm0xyRx3FeZViw9QquwTbcahU0s
2jUayxxFG3CD1a0nSuuS6hDZ+nIgTwG/hBlK5PioIxXGmb4dUys0A02GhcFtc6o8/13QCbnVU+vd
7tvqrCEoPPgxZcaGPlmnsQtslkFlon7MehhHJUYcpz3K3DJ2pIRRtcp0HWTSPPcI07jAKtTdpKzu
qti0njy/G+j61fKtlJWz09ysrFeBa218NIV1LtKWvgirPqhZb+89J7Y/GCXCQzK6mgJV2hgfDELE
21K2FGsnjfFIADmxMYTW9p2IJCWU5jAF93lcersxYZMddetE/xPeeaj2+lnqQElsdzoGnelvjFST
X0mfmh0a8Bjsweh5e0/LKBHJW+wrkWrv6jmv76i2lfssMc39ZGEbn51UC8eRi8suMhrvB2cBk7kd
sVzCk5b3y8cP+FpUvrONRP3iyNzboA/dW2bTAtCs9I465xFtyWTJi1dZlyXHkcIOWDJmm4YAK+j4
8DQ5f6R1UyDJpdF4NPF2onuONxDDYz6adrstMuHcYVIQWyNls0bbsGEY+Y2H4iFnfG4Ti/DFinu5
JoHwXOpNcTuMgw3ZdNbtHfsdPhCbPE3eaWqrpYa3J9/l33qGN7EreOkrBzS3DbWMaaJU0b6vsyiM
ExGYK4INdE1T50EpSaXld5AXscJTRwKLz9Mrjq8DneNCE+PVbRpMV/DID66uyttOyJHnxHIbPhyB
98nBN0H6FyYoK5YVOFEcpidOqlwmTX18GCgLf9JFlT/ZJmdAnE2zHYLUkLe16IKbGZsUtVFOdNC9
GjUy1jMLHyvS97Dyh+iQ9kMzE2q2siN0hkCiHxgpsK4YrbWQZtx+WUXm0f+yEp0yfDBv0j9Fg8MU
o/Obo5Mn8p7btXW27UZdAtkYa6rH4rDDQHZMynHexBz8X2bXv8ls9zF205Egc3opU8fgr7SPhfCM
t9SzzVWjcKPIyGWiDFntxZgJWSiNxnEqEqy17LV2QxPDe5Oon6mn3UNXJNSeDC4CupGsWkmFeNWV
4063QP8JB1YoV4SbNDcKvFfxE2+Lte2Vb4dUHPVrK+dwo+Xp7WCn1rkl7ma0NoUgQ9cvNK98LYSP
FF/kvDBIHau8UKAGLauGE2WXxxgG7bYkCZ7EpTr66YBaaeM2bSh5xD5TFcAHSyBwnsnYmzKYMBJ0
ec/c9hHpC+Q+usLnNLNelWbiJkxnSv0Cn74Mx7udXKYLOMrFueTj96613ga2evRYgEPc11qkjo7Z
6ufF0YfEOdrh7Ddsc22SHrAm+VuC23NYt5FD60hPprjq4guoYXZ2Zjy3js4fl/n5Jp1JPruybijI
qL129du88X8Br/zjtZSpIiSUBSwDj/3PjIYkshVubz89QDTgWqcx9Do2s88q7TAue7D1khspZ6mS
LRtzxD//4dytf8PSLXdidyEw4TcByOIawZ8AEXNaNq6a6/RAKqf5mKFyEi3Lk1skY3H95z9qidT+
Bn1ZfhSwXP6z3H7/ERGcyjRzp6TgR9WmLDc8IwD3Slq7cOH8v/nt//J6LvPdf/hBNjkJBAdIM+6f
qeaiUspuhBcf+jpSWyhWNgbjCYBFmXZ3JKhEcBoCSKC86cV77cXcqKk0T241MrFcrqOE3+77V/ov
XuVf4VVMJt6/vXvr9+79//xh0Lq8F+Ccdl9VE6d/z1f549/8TTvS/7KYmJi+Q45dHhGenr9qR77z
FwIBy0Ddc+HYgxT6H6PV30lIgHxtF+isTzkcYZf/AKiCVvHnz9Zi9eKb6S44FdNxl+fpN4xaYFYl
Eys/34Oxfx1FMq26lrQtaLeXUnMfGkyMZLPki18YLyANCJt6attOw7FTnr+ZNWkeLMIfhxbRfIVQ
4Bw49OU7RnogOjSJsXkIGkLDLNZV4gGS9Vv9xNSkfsPwpV81IJs7sLTfqzJLF9e5LVU9hC5i74pt
y78b55TjGbs4IOyR78bAyuKmvGk1E8fvaDdHvWtCORS3sODBdXR2t8ry6dC03nzvsBSuK2/0QkON
/aOZBiKM1cRAiUn4ytaMe7ZfZ9d28Q/XRpMH7pHvvCJPzp2eGjeZNc7YyEitGW7bbBzu8nd4Fzhi
5889rszeAh6iJPDBwhveaZuHAmEN47rBKvkzxb11I0a2KisgX18zN9o5+Oo3jd1wBisVQ2A7nwgm
W5+UbpFP7M1oTfptGcP17+ag8GZ3wzELBJniFOhLNpeo9B19kRBh0Te88lrIdtt9s/e020hldANq
ctrXVjCuJq8yrkFt5i/d4NQ/sFlti2BR1rviKvBgwMnzm36V+ViPQ+aAZPOteNyY/qCHspTipZ+r
9F5YiX2wWijalkX7yKqOh+ZBWlr0YNLVcmMLJiIrrXCAslPOeqKANb00VT6+gLBsP1lCg+ep4Ka7
Ikc1rl2O0adkCIpNOwr7IHs6W70RHHWZcy1f5ebg7DvLr1+9NIMPk3lD/lyK0rnhtBHsYFQaF7uE
SrdikFYJCifr5uRJ01+DxzR48QITe0eyCIutWZdY56II31+ll0dmSxjGJH0IHHRyMqtAXYv0ondV
BZ/Zoqdx9LI3jzkq4NgIhYCMVfScmXn14FuMKKcirR7IDRkXy52qG5v52Imre/ZW0/iBnof5JN6m
hP85fJIZ6nRrulPOwLStQ29YcXWdNoxJlikLAHtS5cArHRoi14307XfsX/mzSuEVN71nHTTL6rMw
Bhq3Z+7P1yTDRCMaDT1ARhagD4iKx6FyyuPU8S09Eyf1GpuGujPR9p6dPlJi77QDf7xUsboSXON3
LCp9utKjVN1Q6u2K0FK8D4TD+Ia48xIJECllG+N+zwmvqF8Tnr9dCrecCAVm33VEtYW78pIuf66N
Mr0oabefTPOGnQEq4Yuazeku6uGtfv9mWZTV/nagWpfiHlCn9/GMLSbF6UwrVJT49/bEZ9DWuuJX
XiT2sXTK/rHNyLhWrnJxZy5/eGcV6qp6p3vypoIvzBdwjTOwiNCQUKmNTh3qLhvt7O37k4YDk582
x8FAXa8yAclPY7AhuFDdjvUC7k1wn4TOLPNnOxhN6A9aCla6sL17xjn2ocJeczUmki5Ng7PQjHuP
kseBN5UJTXnUipl3zYxGsOhj0X12XsJxVq/cW3ZtdSMjw7xGeuZfR7lUlfKJxNMfONFbYOL6JBqA
aaGMJr7R4PMTPQV9O4/holWzJI3oZtUDmYBgV+Hv23y/W8VYVA/0WrQ+ZIeIsbPRDX5YZbxyDJ2d
kyGXk6vrM7Zdu/HiiVj6hDzK67nr8l+pD3iHKHBoyioN22y+YDu5DFLdcaZ+HCQMqcGp3sB7rGIM
SmHgn82uv9XH+C6hDpaiwGRPz90vZwxuaKmAt6phqTW969RaiIjJrnPn55gh8RrLln9Cs2Shi5yN
aJl61wqEqllW1459DN+KVWFmJw18tevsCZ+AcXEH1nBh+PHa9WorRHa0w7RQFyjB63GifJLQsVV6
0Z3RadOtMZnZ1q9ihQLou8nOrUS2Illlb0BFFBTEERcbBpyenS9kstYa47OMp3CQ5pcs6eaRTCBv
snmp9DILuKmm89EY3b70nXtoaHkoht66JRsRvWqx+UJb5gd9G+SAyrbYYhTpCJkRetcKC+BsC/MY
J445cFp3q4fesm2y2dn8WQxOaM4JZ13s99u6mx7KrK+PKGvMZrqENr6ZNzh1je0k+2iVjUqckOSf
XDwwK0aoBzGp4qD7prVHcRdr3e/rzVQKai4CchgxCgSUrlepQ9mYKCVgXKF7R+h+6S5Tro5lM3rV
jUKGYGtXvaGIZ9bXOvW9r9TEs2yPUn/zXA25UYjHzmizdzIv9B9msMyIlPkhVv12FbUBijkBRJwj
88x6YA35PibWB5uMehbgF2vcqw+yaD8T1UXgrXx1mZJmrDcWE+8OfruJDk11Gk6WYRn5GO4lZ82/
52NFWs6NjDuwz/ZmNOmQCYtey/YCCXUNBgUDgmHWX2iLYoNt4KCKSjBOr997rN1r6dOcmRnDi06B
WKhX7PaBKRfBpP8AUfcqE2unKxk9jUaNpcQSA+iCUQBgcrRzY5M+UCV9vTyGWGbL+IXmuTYsW4ux
hu6fRr+PNxwS/E/yzMPVc1LjSeB55QyBBx4ZylXHke4RYlJm5NMwOmRPmUc6Dztd8dXiTv7qmiY/
wvjCGRS30boatGHLnj5uRcu/jQtro+ZOv3hRVt0Ti57W3Cc5WVnwMZA6/Es91ONbCXbgbTQN6+IS
qAwdTlgrrGzzOucpYiXvUmCMSYmLKBKFHyzw4PjETENALDEjAwgAFNeLGWCw8GNZ6DwS8XPnTtqt
azR+KCxzkryJuP1Q4bXNQHfDyXMam09MGXFlkA65Dnse2QaBMVwqHx+STewQTdQpNlEro+dApt11
pEg428z04KBJBKV26WLfOXBSEDtDr+QmnWCsYZ2u7E3STL/KwjRvDdo1nsYmHfdEkOQPl0JkYOAU
K8dzgAXNG1G6sEGRTpkpreQUVgyDdtQrFrDaMOW+iqDWcnXNwixS0bbCkM6vlcudsvOfXpujEzbR
eCtcTT83ETfx3KqanTRJBPSjiELODOepogdQ03ZclUgF+vNr1jRVvc4omqN0QDb41YWxSnESbRHH
urBqhL2j9vg8Qf7eNeg6K7PHTu6Ab7ibBWc8MVDrXLmDf6tGmT9ISCZ76rW1VwsFHDB/+zUyMF1J
V3XboHZjoC1RDSUaabhp0nTdNzOPuIWtkE6JKztodUsdXk8bba9WLbC1Z6uedtM4xevWmh+Ua3mX
KTUNPN0+kIfS2JHnJZFpNBs6guIvKOkQ7tjyBtryNkOa9Sjb03RE5MGSmLXRYZTRKY3l1Y4cFOLI
z9AW3ekmynzaONcZdZjGxrXmayBYXY0br9fcdNhkC4Cu3mE6zOJ7am8kXvUem8uKP9gG+RdoWsyW
EEsdrSnQ6VgOvTFX02Hi/DufHI4qAodHIZwN/qhhPfk1ViaEgSljAjz01DgUjAWY+MYDLYDMOdDl
IMdElblnN/wxFfY9KLhhW+D5DWNUjgf8jvPGUHN7iTNAI9ng2OfOmV/kbKXQQdxrGmD5y+aOSENQ
IqaSY7ylk9D52U6VYpRRzj8BJXXnsfC0bWoMXw0y7mZ0zOHsYwpak46xGQlw+4Gh194FY26eRs+V
15ijyobmCmuNWvUGMXvpzOyz97GLVZhqjQ1FiNRVoaVMZDO6F4VsyxBK5BQy46KhPlomZBiNdrof
PNJSOK0gD9zMFgftPM8+PZMshc3s5eIaC0zG/khys11HXRocVTyD0sqM5dAfQy35qdtj90n7VXYa
x7LlHN+C1ndT59BkwYM+9IG+kpxltLUYOnFACgdVOc+2OtlpQzo4L+YfObDEc5sUH1xA6RmsTIYv
Kygyzg3hWoapZfIhi4JdX5PFpwdNljWLJsItRQTDtqET9JXji4uJygLOFJF05Qx0tdLMwY1MO/vK
IOFwJIZEclnNPGmMwZ5dPDU3cATK05wPPjEN1eW3gmGzg7hlJT9RtPV4FQG42i5KPK1TQbMog6lf
cQ7IA//Tj7Fmh0PsGNe0j/0fXePhG7CK8uecVNhyh8iyNZZ8LyjDXh/Lx5JD/8YxZp/Mb1dtWxbG
jW/Mh1QRCqyh67NBz+KSxv34is3AWLsSC+zKKROmTBAHK/ItFR+hmENJVvl0r5Rp0D0SgmowTJGU
KWeLxAX74KxC+j7xnOK0Q11sZDv8SvDc7T2rS/cNei8UiPJLTBh98I57XB/bk2hQa+u48XEK6sNd
nHT1lczuvBZEbeA/4fZ14op0yf9l77y24zaytn0r3w1ACyjk0250bqamRIo6waIoGTlVIV/9/6At
2ZL+GXt87hOP18ikOgCFvd9IH3sAjhbCJCcfWPzCwPXjaksohHfIHS36Nz7wG3bzN6gPZRtLvcof
mN3/h/rcfh3+7+brmLxVP7kufv+xb8AP5tTFLuHYpk/yM61ef6ak0CC0BHU7aIpousNpxx99d9gt
ybrmkoJCHqHrMkb+6bBbknXh5VlOkXYuYNI/QYLsX9BMnWB+FnaPfBQb54D9a6x/k1r5PND4fpYC
y+4r6RI2FnDLxdyrw/CWRBwNFApN+wQBXKEdKozotlyjUSr31ZDoO7iA6YuEVMFzrBOGOtLpO5/G
0nG/NjJ3g4QOETk3+7KNHBLXSKoYJusR7Hpm6KKRRQgSw3LEF/mKQiPw1k02z2ns3+mJ1roPfdX1
dEnVTivr6dEsZQh4PSCEecnNgabV1WxpiI9ISdVLitJQK69Hz2UN6QkQm0kQmu1sjM8ICJew31i4
c0X2L74WkoCN32OBodwKNA4g2sbGQzSU68/J71HC9NsvwcJKL0r9lNDywFirN2+xpuTWberp3hZ5
iUqbYH1+1Jm0+VNdwhP9Xhj2L+z6NzegYV7vif9+A+4xtyY/Kfa+/cj3m88mu1p39cVXZNLStGRX
f0NdsTa9E5azyPkglPlP8NF+u/mEeMetj8YOSs+yHKKN/rj5DO+dj4mKjhITlzR/8o/iO5H9/Yjw
U6IDW/GNuqC71vJ+QWFJhcjnlCb5R7JJaoa+uVCoeAxe53rOC/9cW5F8iJNcvhEUIOC4M+3CdD9B
VWq0ZeWJZ69zRXYcZYj5EGgOoTkkrDO99/WL0nV+D88DyACtr5L7VI41NXO1bR4qggK3nSXEpjZA
tIRGcRVD0hAklEXuKoyjlzk1571PjAIxaFr3tZzx9axia7DuENHEd2OZIyeLVTu8+lE9vbpo6hKW
Gj62dRz14E4SInMLBNUcifesPxNmnL5SCDvdo703AsEG9jLJmaOEsAEXVGpuvxL8ZQAg5AidCAJ/
iGLnAQgAQTQyb/FhgV3/jjdaDvQfSJbrVwCz4vKt6qSM0zH9MxBeUB6YaqFyHmdp+gfb7OxNLUaJ
kaYaKbUw8cWSES0K/x5dhEDKIXhrteNV9hoVC/BNTMkLFWHVwZ+7/mYO7fiWzKnqC6eF9lw2trrE
SwuNnaTpDYgWxCXqzfwJTMvbodSst50yqzvPkx9axNt7ux7OxBCI9yIWOzf2v6QNgqAfnlL/gVny
f7bc8aYt3V0uYALadWSrv5ao1J7jRRikaTWqivDFWL79COnNR0NY471GU+2B+jCJwnPAhIZFRlBs
0M5bxTh3M3aj/rnOjAX9tIfxbvF8HofKtB/DiX9rTCG+iroyThHRCXdx5xhnE2r43vbCJ9BQsfMT
sErqu/u1k+X6PimHkihWqe0IC3ECtKAth2zBNW22en/SZ/NL6XTnQQpj33ahvcdAQ4eKFZpBMk7Z
ZrQHsdGB+bZ28pLXPlXaVjW84RUwwbHM4a1mYDq4Uy73ssX/EcZshKSlbttkGC/clNktkQ3cTCpL
kLd9QaOfSvqmpKOCLGUG9piJiefyxi5IEtXABqdg0gTkrgV0Z+CW5XihdZwkK8pe05siNpvz5OXi
ecKs/tXLmeNX5QBYhncWI/s4uwal3Ert/bFOTtSx6jchgrp7rzT6G5tVgcYGJC7FponndD/JOPXX
RDmIi5a0451qDT5QsaDOszfvB3u5N7Vsfij6QT1bMXImn8ayM+y8v15UZn9TFvrLmUXdIclSuNdN
phyf7/Lq2P+BORIRuUBR72qXmECXh9anzVDDQPI0jYMXSLfz17R+cO1gXHsbhDevVYvKcW0NU/wl
ravxtnZEeGxavXl2G4tQnzjXdw2G8dFH/Nt0TvGBEDMfWE7aOdM0Pu6c7/5chYhZ9DaaN4r8mA3w
kLiQs4q42J14q1OnTTdWHCZrjqsJGQcrJwdqlQGS1a2xsVtNbMg0IdIpHfvxVmbV/HC9bOu0ocY+
caYbiW75bNR4mlF9YOzRCvW8hN8+l/geb0HxUfMWGOViDNhl8rnUsx2phFqx7kYfDa/Zdc7OYuhw
N5kXe3ee3oBV//Wte615+4F95uNHZO5ROUS43kIFLrf2Dx//0BiKTVuGFyFrIgxawzVWk2y0x3T2
eQcYIIC5GqW9T6cErZ491n59M0psezuP0kiwMe5BUNm8CY9e1tevWe/IaeWzk2DYRjD+Am7Mm1lI
l0OTdNr2n78BskB5WZTTmFQ8L4kPP7yBcs6UNGJovtwhe2BMjfG2qaNo2zhhjo+s5JwJG5TatnA4
Yggj0jakidQk3Oj2Cb1u+Bv3nsnBPFWv5ugaBJqNpKuJugu3Te6F73O3oZAwLiMgob9+7dfn8S8f
PoQ8eYIQF0j5f33tUDiJnK3BvlQdnqjVoFT4G1dz6O0lkgcKx5P5Jh0V8kUsKLu28HgHAnPLwauT
/lgVXrIeIAUOuT1IQvMb7X3rFP7OHyy897LpyrvZU9SxC97/UODOgZUd1G+kDgBq+jgUVTh0B32e
vR5MYR7vO2vISqTsLsKV1J5X48I4tF0XPovYSPfk1XlHOp+JyCbpY5srM9rWeTy+4Iaad3JY5EBo
xTczHjNv3QoxfqXAk/OKwgwiBVDTGJvZrMmOqrLPBgSWis2SIIusrg+5BeSMR1QemAnG++utR71L
9AV9bkxvQ8b/2QFgH+dRigv4BVxVkZr9Gtw2/qLXat6mVFa8cOX1X4lMW06Q5aPBonnsEowNlr7Y
Zi3qFgCyJem3osje67WYUVU2TvIRz+KbWRUk+UTxeKAbWa0xMfVrzQKniUfwRBtG5Jb4EJ4lf30h
MCT+NDZwCmLAYGYgrdK+joO/jA2c1UWnsr5BVm60GM10brDV9WzOhxFMMmzoDSRgLlmRSxRtGcXq
VwcXGzwsZ9ImKtQhppeS6IY0PzYJGPlqKvQkW/damiDaispt2wAdr7iT9M9omvMPHP/tZwHa9rVD
PaUFvmMXbqBib8kxZhy76cvW3tApN3EdWCUJI7mZh/k2N/CKr3A9d3sP6CJAJuMeRqv4AOFlmLxK
ErjXGkYwsiu0B6DIaQhUp3df8HlwRGYYliU1RfvRmNXO4q4li5zSlJW+fK/1kLTPVLPsiR6B1RxF
Mm98c3o26pqYigqXA68nxhGXckMQa8LFmgplrREQuW/0ERaB7PvsWBmpvp/9fNLA/OZmN4PbVjdi
DAl1JgUvfuI5kDwh6STVkOBfk5CMBMuqguODZswaJ9rHzC1Uk5icBisV1/EXDUPOReuHZcDBE3jU
PdJTNFU4gQSZiVb48dsNBGih83bJkl7lleKDUoPk38O24zaYYjGHa89RlrVozsr3UdSqQ6hbPHVm
IzU/x2aYTOvIcOrspLXtMv7400PUJpW2mQFDPxc51ux12xResNDN+loriU2JsH/hKawy+DdqTU6a
NSE2tQ3T/GhUc+JxPXXzQ1qSFLIy3HS8SGbLPfUlPuYzNc+/CbqGD143a5u8KzISkGFWSKGS87Cx
eko4POUk8RrZpLsi64OrMGmYMldjJIPWtzOQpDrUg8Sc899wB17ArvJkbTO2km2dEXuXD1lx67pF
fC8Kd1jzMABGVP40P1xvpH8327/ZbAWPQKKM/vtme4cW9ydQ6fcf+FNNZBucPzqiIcyW+M7+2Gu9
pa1pSbwlt4P2+Cve9G2vtYx3vstj0+fMQC3Hj/2x15reOxM0iVXYxFVy1SD9A3mRseytPzwnLdfn
ZGQ8cQ3anwRyp5+f8eGggeKXtn2gtKEOA5HOGQdlHR5tDOGsejZzFbvEtl6KcvAVMYrkbf3i4+D4
YJfoQCwnVc9E06vnaASo+eGT/A/rz89bNy3l2PBYrW1eoDAd56q7+2EC8TuCbQxCDw9pb1WvNg6y
e5IEynN5NYNxGE87DPbL44+24795clBV+ctng2J0KVAG2aBLz7kKwX6cf9Dm5bXTJQ32+vBj0YQm
9FSX+DeZLyuH9AHbPSMHJLXSnBz3NFp+8sFIZfJpnMv5i9uppg/qeTKPUR6pDbKOfNfmsstI+Kuc
BzolmbUxtNiHEKkCw6xZby295riSC+08FpSEWL0q7mKBVGuNtQN7r9dg/B8AIoOum6EcvY5nE+uX
M1KR5IiXyCszBPVpvJqVV51cZeEXrvLuEpeq3FY4+pHuo99BmdP4YPJ+SK6WmVj6syaltiH6/32H
NyBfW3PDwes6dXkrrTHaaLEG0yErs99PWhGuM202VzA2cF+zO/QNgaBOTPcRHrBCjAT/4iGwVxoN
DWd7SEOyKqb22RtCQIpEJ5V0pRsxibl8Ac7Cwk3bIc4dEmCIBtYsMagVHWbNxYd2ftBVkhhByhn9
klNgF1SUd8uAsECqtjo6gbe9ORJOgAbcuYyhFxFz2jQOTx8rbt8bXRVvytZlGFusblFQirK9jKyD
8dowB3oQYPp1iIss9JZuoAwRse3Uhraxotk8laPUB57xyVL4Q+rDKmWq5GtNNWtvo43ASoHkHeWI
/dFNJw+juFPeZyWZrSpqSDTpbLgHCyqUPFp9NLZ6msqtbAf7fsqFtptJJPzSxAICWk+2hBz0TEKG
fyCLsLjMYupN3MVdepxTLw3ItXJfY7Ih9nOh8+zO63Y/IcKZt61g2aKOVuD7aXprbNd9U6odJgaD
LH8Py4BnhE/kxzBXDPEiYXft+Ks16P0dxdmjvcLTVHwlCDyDOJmJEWvspCyQTEUNya/9bJsrx5VO
GnDvPcaRlpq3XZZ0do0hoyAM2ZBFMtarxi0rciPNsInW6RiWxsqr2+xLmbLrEW0l053Qq+ELPv7C
WPUZMSYQbAC3+g11KzJ5pbSQtGG/7C1xp6CIj3M3myTQmGn/0RmRvZ8nW1Svs2Zi1gj9bpTcFY3W
vpVhl+aB9FtGOaetrGTTdrLUNrQ5Tjf9ZJQTwLDLatn12pw8TgiTpv2E7KRba1RXhauqlEUUME1E
9Sd0RwDc+NAX0wq13HIdDRkjD7Mrj4K2PMt4SOoAQVj1SuGveTAQx3Opj3p1mDKVXQyXQzMaY94/
5Ht5h6AFM1JXsbtqwudvYwMJj1Mc2o8k4hjDBuQpBLvrLfXcJk5q0YLT8+rHyJ3pNRvnfVINgISh
Xb0MvcAu69t93QfxwI28UURLaKtOH7vPeopc+yYlHxsXYzhgsa2Bd14lyk87qLV83l6Pcp93TgcP
BTubNl32ngwR40JVz0+sHeit1hlZd/SCjKEIczJtLMuYXu2uk3p99Ihi5X/ox/LJrcGTExH5Wxnz
0H9EypMnCkOgXb6SrVRw6chZneiFdm4bZfCKe4hvbTt0bZIi7ZQ1YILI76YS8dyKfFIqLREdjQ9d
Eok7q6q4sQBz8jvQBdo9CDSt7MCb+p4+OrclfaNv4+JcaJhGOBIJr2EXqq1DiSO6v7UauUisTDvs
glJJ9xOGpWFCUSIJOsqjuTQQuiLpWXUxKNUqbtzhpaKe4zZ2EN0FHlKvVYiQBngTHXc2qOozBPQH
eF/n0Pt+au+MFq1mR3FbHmjESvQ7gAQMwAZdoMTrVX64tuyUAFsU9Dex2YeENWlTeY7zQb4XWTcu
Qr3OfiN5AMNkbxrxthqoFhIVzaO5YY9nK0+rUxj38blzZ6lW2C/zwwj+Ym+8URonk1Kkgy8E8k4u
IO19xnMG9pGxNoDAzauV0RSuWDu2UjSgVAIWf2rdEkh6MCdOv95JZcA5Hq3tyLbI+eDAV4Wpnv8d
HP+XJAPoPqTffzE4HsovyS+VZt9+5vvsaL2jxxu5sgWJgVWD2e27EN17h97Ax11m0pvGo5A/+nN0
dKEoCQ5h3oQ1WSa674mfLvFx7MP8GM86QkH/ER9pWT9j02DRBu4KfhvjqXA8QQnET/hQJ3C1zPGo
HUJzHvFt5fkrVzzqpC7RBWFb6Mp6mgongMWO7W6dRYCDTiyLm9kJrXFtGGW2CfWkZ1gyqKNBePnJ
11OyECM/i+DbO60IRsJzkZLM5afCBh1GJS/ukCY5aMh7ad4gMwa4zNICNQSRkg5yWO+RMqv8IglW
uNP716KS3N8qzp5alG0vVZb0GjW5ObBKptfjK1mNFA8mSmMZ18wIhfdI/9XIUEViAmxmk32Otcxk
C+UZwS0kZIjuYsJrPjY4cMPc724WxToGJhRvVmBL4VmbvPJccw1RQR4BD29z1/jAC0uSfXw2UU17
G+KhEoTZJZ58pqmseqthll4qoNpbUup0gmhydSLVdHjzir58AXfCNtV70XRKhqx5mOo0eoV5EPRT
EDoDEIuUt6jXTgesOCbecDvbY3VvmxPdN4NHmCmwxeDu8jHJbj2zGB9IoGGuJ5RpUtWB3RKOt8lw
QZZE9jgWbneRuPfoV7HMpWbxNqrcIGOy8O4d26iJ807bRyzciq4CpTaAxiZFkLWBwUajxcpuSTBL
p7k74aYi6WlWRnPs5zxGHhLZLMeJ3bhnyrEEJiNtyp/Mou4eOyuTBHAbA+FzWW98TNws/NhqVJDW
g91sSlIEzsPMQQZ+76wq9IlrVpL5PEdG95wvVse17RfyPISyOcWe1xPT7c/pKpqWlHiVWzGWsjLf
1I1fpkE5+A15ZIbb3+QaJypuTixdzVWvo0Yki1FSIC8V6aA+0YGAA25gsiStrTEjMmj90tizaiWX
uM7MZ0GrMu53m78NPkc+YjlKt10TWydDpL2O5r2K90wukVpNCNlE2zd7Kln7S4RXbO1QK/uilZE8
kjzkf4XHd+XW0YuIB4o5eMkGQ4V/IaWK5Fy8EBUZ+pHp3MdWwrzfexgyVj6NmW9WXZk+zzSUmZE+
F4EPjbVuCvAQvscMyaWK790xVTfKmOKjCwjnbwyaDgiZLilgdaaowH+WVu89s9HvCBOs0Po1/LlR
RRYtSVZXbeKqqG/T0q142A8Fd/nHsTTSJfn/96EgI4ueEcH/fVKoSiNqqbDz+yl1LqryRz0/l7o+
lpAnuBZIJhgwwoX9rIeXaejN6UjKY7pvBufeoFcuICl+xtqA2xSPlf84Ajv2GzV2+UsY+hPppSER
cW5n+WRc1II4qULZj11nI4yaEqNdL6mxKDET/daiuuTc2giTrQavp6oUkmIibzd+2GcbjNtcitwv
l1CNKOoTlMofRsao4ux0rZ7euwmaYj+w6rnTH61ZgTHnbEilTV5ro+2HTj5ZxKY9aJlHHskocY2a
sj/2WLFvSNiSu6JdjMJjTuRSV0wPVHkL2Dvaq7DbRgdvUvnDIEl+zId0XFtZitHG9PMN7dxFAIKw
KkKV8FCPbwvyH7uiXUiW5NynR6A9fpOpNbvODZuNn4gXJ4xJgE0JeUvFikYmncHEUPyaRXWBJv0p
tkzrECpZrQ0+li36FnWX6NaL39VRgOfG31RDr92ksxHuo+W0njr9ucTMvGIb5h5ASaL6UzvzGYat
fkpxIk9rw8/0ra7iD6OJwJr55clzJ/dQePUbMtV8w5B50eGAEMjlT5Ep75whTe/bpvyIxnFcienk
YrHYFnr12CfkXxSj2+KDnoqVPmR9IMq8p2djrL29G6O3m5wSb3+vGuwmsXPTJIY6SlOdKGig9tf3
+p0weyswFPb/lSVcSvTIWD4Sa8GKwEw9v5A4r278cbC2DtpBwWV0cvi2yReVDJhaV14IOq12jLTa
whdxNU3VfEsKXhpy/cBReoldPzTT5F/MWZLfHCVt/pBp43Dn+PKLW8X6EcutcZoLv9loavCKdW2P
tFejctGKlcfl9551NgrQRFRBM9piMyeqCCInmm6x6ZOb0xvyw5xF7Cq2pZAMJw+2xPWOchrXct+r
20JmBaU+dJn0eRg+2CKkCrSDAbOJGkHX1p/8UCdYTJjxaz6Gr7HSmwdRu8O9GP3xlEhFZR8RLI/d
gDe2NQlaofEEbIJLJ9X0Z1uRfWVr/CNmrVuDZiMuz9y3YaRPyQO8XZNCQ0rYNPvbjlDI3xwVLuGv
G9XN0MEtOh3SupV1yxmjnenecWnziYvmgmcoD9gas5PpVibOaFHv/FHFb1aec2/5lVJrN+suXIQ5
KXV6fp/aIaE5KJY2iTOrwDD0exdld9CKFCJzNs37nBzcgF7B+s4ejE92L8kNpCLpsfCRrLJBi2cW
RFISBpEZXBlxhmWi1521YbklnS2CDE6EYDsDwOuk9Y5/tNUwYUFIxoPT8ogcs9k5aLnhGMG/c/L/
MiebUDZMjv8dYH2sujb+v+A1q9rXH4HWbz/4bVj2HeLscfHYxAfRIQYr8ce0TBTYO0LCPSLwv2Uq
/zkt2++I1BfIe5Z05OuI/W1YtsQ7VD4kgDEso0BCkfRPxHtXzPhHoBXRimHjMyWo2QDTtI1f2GBf
hy8Nw0Y7sU33D4iNCnI/JYWnFGFwxBMtqjMvX8zcYZOsgO2MfvLJAfE4U7JqeE90ZXEyaeNeG03r
7Sn96G1Et2m5LqFk1jyHYmIYo0tUm3srIx49tBYYzyqfhi67HwQ2DMI2vbWWCTLnHZ4wobJ84lo5
QhW92gx/sHGPbUn4bl2LJdA0Km6toVfv6ULBw++2VjB1koJyjSAZz/yQVulvZk1Quxt2D5M/tZe0
cuxdMxCTuTLTrrgkQB/Hqvaa0+TGJEVT0pntKHhCFJuX43kaHJ4NEXGeKUji0ZL0dreqM9c0/sxO
gLBIv5WOJsbVYJGx0tN8hYlobIgvh8Wb9rMudfQkVsiR2thnXdJikkN06URDI+o3aAIzTvhIGGlg
/VeR17LJxxnJqQ3NMq1eF0yLtChCEcpVQ03mKhmadZSZcs2XVZzm1sq2rq3R1ZampLiT1byiIaPe
jiIay/1YmgblzQp0lCqTx8YukdpP8RPJbuLDUNgO1J3bv5RGJdg/Gp+qErMKb2s5CZ39IE7QQjRa
bOinnra6+bGUZoZsMSEVRnvL8tFwZ9RUnTZvO0chdMGHozC7YtUAw6UksiW+Np0ujVl6ZIn6ukYO
fsPiIsF3hl0hlNwL1x53nOWYPxIOuLuxAPzU3FZvmY20Im5X3qzMnv6UxD67mSRb2mA/2KBSQVGF
MZiAp5Sh/FajzarWAq0Yx2jeVbWcpaTwOE+0GKysgiJknjJ7RZ9D3ZN1Vx5dzHAO65YIbTgxJpSM
CbVK6FdbMVXKdHgAbC0IpmFRIrHKnft+2AJHL0VF1ox75OKrCUDzw6B3Sn/U+gkl1IY6X9R2+P4K
7PVbTP/eiLYtAxnSx5shKdkAtlQ7lN2abiLjufLq8QGWdy5WU1o2YisSIwXf0qIxSAwbjEbrFCUq
ydRrT3FmJ1kAnAKuDtk/koCDxmNV+s0XG4ZwDqpGhJcyj5EgcZKwCKRZHT+FdgkDp6WTMNb0b+t3
cz84/TbX3CFcswBUrBhEmR1Jpov3VZlrhDu4ZrTGyUTGZhi7bJawnoT65iR52I1jfmJrYFCMiuiu
iafmziGSeNP2NctdbBCiwQvQqZ1TUMiA4njPiPdKprK+xwJdPpG2hivFbQw8L8RnqXxl+IY8iDTF
VA37iMLB1QYgo9ZFc9uOdmBoaOgB5EuXr3zGqJfaZstk3VPYHeuqvXS9W94DPEU7F4QrNnr7zk/7
6H2Y1+OJIHJc3bTYzC//PhD/lweiwaPqLxnHE3kG3Vs2/fgw/PZD35GjhT/0v2vVF3ToO3Dkv4NA
sIi2JOTSW3S2fzwKTf+dYSFX15Gzo1hC8v4ncMSzFcTI9EGU/vmz0PhFyG55KELR6to+D13gmqtw
6gdWj7jKWHozVRs9Te1kBkKCPgxGNG/Ngd4TBN3+sdc/p0veft0s0ftYOHwcV327ly5RXGZjNDtW
H+w6P8wV/4FutAXv8cenNC+Nj4RiA11QiGrov0JaRHFNdiZomHNx5Fd3PvvMnTfjgGEQDu1sBZ30
yEmqWZuEoKM2YtnWauKvCh4w4RevLI0HhYa/kZt6cgv3mWqR6HaKm4E86lgZL0Uccypu8r6mKh17
jhfkNjqwO3ZWT2mB5bSat8cDNweWnpVtHBj5YBEZXlmczh8IfY/2iF1ReyLrz5uLF6octNdV7Eqg
Lj491Z2xoFPpZpT++wZ6EH+nP3jm/Ww4HRnwVI4OsgGhRrKUg9QNKeWb6FkwmZnYdXpLUpCMIhNv
qEcou7HtQxHnxxZrcUZSMTFAPBBM6wHTD26XaNgi83/Cjq/tIIjlsYlSY9d1pnpLyLi68wt7DCCI
6QSrCIJzFNGNyXhv+HjfXNW1J5SC/XHUeo0cyBmIKgfiuG0sczqXUbzV0DiDI3ZGddEs/wUiCHoh
UVUVUB4Wf0TOVbsrvbMHor4q7WHuSOtGJTOpzZD04xn+5FHvIgiEqaPBbfY54NRAuubWyzTrs1QF
vRN1TIoeA+UM4KYnzkX3svpCG5G5LkKvuLf7mdFlbRIZdUNJjWLsiciEGhHV3s1zs2EwEdvGzxnQ
wDQQwZlEVEIN7/K8KLe1S7Th2pBOt1Z4Thb1lkEOV1hvXPKpViYWBUx/hLhZczsw2EXOA596cyJS
TG5TFNnHCG0nvXuOd2RQgL4MSz3/iEpSva9c5q8GLtheZ51WPzYqmW/NUoxns9fdL5EbO1uLWLAN
0CASbzrw1vnUy41IqtZBW9tb27nh2UjeYR2/Zlz2KPXkuOaxIGGPo+Giu/1wi7iuP9mD6ja5lfgg
J3SltdpcksRBs/Zctiby0kICfs5iFckk5pLGWxtuhx5RFJHhlvPR5pestTHXoFRIzrd9igRERAtm
kU7T18XQfdOQMBB440h0fW2BFbdMXC9KTKjOQ3b9g7iyFdWVuZivLAZBtQCBcG2wG+LKdKDZhfXQ
FwIkv3Ih7KHae3uE+4NuWsiShTbxa7uyeWjq+aG/8iqFkcfnKHPKExmxfHp0pM0w7+kmVX28zSdh
pysiWKw3ahwGh2yKQb6nsq88+/kSylXDlJO7DtVjLqSPuPI//pULivKFF+qvHJFY6CK31BN752aV
c8ha+cGPh/mz28/jJhyUdfAX0gl1K/xTvVBRnITDCx5L+Cl04HBVxZW3yq4cVjQsfFa1UFtl6BKa
ZV8Zr+rKfgGmWgdUYHBiJFfBjxlXrmy68mbwf/2hurJppCbCrKULyWZf+bZ+od7ASYcHR+JDxVq/
cHNTqfI75Nc1mLAXw7ZdeTypFk6PUdC5dTgOTkXsk03bhXnxFLJGYPUz22ozYoi+QSbanDV8xCpw
F2AxWSBGtxJaHhgdteHQws3ZuaKRcgEmoZzlDRVL8T3EOyGYC4AJ/U0j39QVQVFDlHE8c/gSI5u9
pRF6q1VyxUI1Uzr3Kply7SNhKaCl4wKciiuG6l7x1KiWjkRpAcwqZ7M5ToUxoJuIAdcXONZYgFni
OYNZczS5ihbYVr8iuLDL1in2SWlB8CAfbbMC6w0NJ35g8xPPVV8kF5dedWOvpIruLcuqsTZObZav
BdK9TxVLC5UWWI1t0ncwhYYL3Bw3foNr1Rj7mxagH+7DGGwWHDQaDLaEsmPiWMBru1f8dbSf9b9x
voMFazHhvK6jPjmaz1/BAjCfIXXNbTqZ6UFmYtywijUbzobxkC5Aer9A6vDuoOv9ArRnQEhsUsyk
K8pGtbV/RePTBZg3rhi9O4kFr1dA92BkoPh923SnFsHz9WtDtBqfCl1q8QqyYi16w92o2HlLTdCm
wSOsL2tG8wkQtj6kteve+2YMJw6XIJqFVUDeZt6NWn2mT5Ujx87P0eSFEA04NFwclo6tYeA3Curf
9LLe1LWV3k52Rb9PpRH3T36GuEM7DEY+LHyHvTAfQnQiKOIJ0JM9i3gNXfuULnyJFOZ4smyWXNRC
MXyKTXFKv3AsGWlOgSyqcbfMJZ/zhYvhKrXNNY0tUDTWla6Br4/PqurRLPA4lSfTW9gfmypSYjHU
7FqbbtImKwAV9s3tJOHRgxGk+MlJ27bcNAuPZF0ppelKL0X4BEJiKhbaqb1SUF7sDvS8E9a7q68k
VbfwVcnCXMH98XXFr5qV9ncaosbLpDuP2Rjau/RKfZkkFs2kJMTE5V3JMWAIcRdmJRhvG1efpoVF
axc+DYKJ74sQFGg2jQqiT6bdFPxOWDix8HEkPwD2ugtL5zXKOCvobO6ihcWLroQecxfkXu61EH2u
K7JXzI8vSjNIGJkMOi7J3amPKZQES/jgadbKhByLaeEksHujVU1xGWK9va3SdHqwHCMB0e91M3CU
AccmUcVgsyHB1R94WOOGvIntKoYF5BajZNUx7ACEEFxwIBqQDI/CAr5fwlXotQSRTMfms+c3NVIl
EkiPYIPDMmDagsT+tPKJgGOpX8lBzgcvddwKjLFzzi16GmtFCl1HqYU2E0DkpmlPrcaMxGXgHEnX
srQcHFx+Kp9FSu75Q29ahbXreOjj56hmwlq5BsKNX+XOsU/lQv9Ti9fsMyqvx2Acwjjk0Woxf1W5
6T2Oo2GxULqa4vqanJMnMw7a2Ddr0B8nT2+IUsxGcjxd6j9Kb3ySuMkucEHup4YkgF11bXrKcC69
WQbt2B4a9XLXKDli7iSD3GRNm3lkNIgMdsnSLIURJS6OyNv9O1Jz6t/8UreSda5H+qH2UoqqEO9Q
aGp2ZJSM7K1me3K8SVTO70P2v0LSvxGSogL1AP3+O855qIaf8M1vP/Ad36SYwHbZ3b7BlN8WOmBP
x+KyRxHGfSZ+dCZb5rslNI7oA9rLFyHAn0oAS39Hft0ihwcnta5+5n8gIrXMX9YmJPambdEzaqJ0
Fa5pLkrKHza6qWjbvnQT76g3xXjSUhqAhkxkFyJnsy9F2f8/9s5kOW4ky9qv0tZ7lGEe2qw3MQ+M
4ExR2sBISsTkmCcHnv7/PDJlv8TMkjr3tcksKykJBsLh8HvvOeeDJxN2NlRF4UQRb7UwO1tW3nzm
kNcyUPJa7caIPHqQcTUNN7bVhU/ZzBjjWCdSvsXohSLY8VYdLmntWNqyljP5HAAu16EU3tPkdEhx
msoCRDXlIjyAYhJfh2Fyroa6959i0kR4Xwi4XKRxGOa0Kkqek44JXRzYyX5wBrFOcYP1zBYCBy9L
brlfaTaLb3iE95EQMwweOSDPqu27LNR6En2HKnzvrDm/jrThlImegRf5wSk4Eqt+ASQ5fJIRhyuY
WPE7cWEVyRuRQ+5ZI72byqW1tpKT1TLRiCRAmcYYFwF+nncv17TbskhRW3pDHp0HzYTHaVegAKLW
N8Czl5Z9hUMzwxvNYCRYgGKLX2ZYWsT7h+2afKH4szFZBCtZfu5vW8+xPPq8rrifjDi+ZjK6d0pi
4nfJKKItmS4+maX2sNVLWRGDmufufR5HM0FoRSw8yO8xHdjSMPt5EWdMc1eFXQZfJ0OXlUJkeSDu
FHaJeVe3NMOsPvRhpg7Phjujg2L/ELUMjkrJz0CSkR35EJV/ttElMOAcvP5u8PJ6F6Gr32Wa3qK2
CP1uGYAeLpGhulQ2xEYfDM/XlqUpuTmBIOpJqwpxDRTO0xd+NKfXnJtL4kYcb3gWPdWr29udfySP
wiNUbJ4kqtCIxgJVWNitIsJR1qItmusiBuoGDBlZreXCHLRHGVNDJG136NKcTrMby+jG76p3bPBT
v9O7uU5WGtlm72MEZpB33CxoHFPAvdHAdbUdHiNBPLdM9xji6jVer9TaV4VLkrcRIJ4Ym2FVVoWz
CTirekgrCKs1yoCXn0yM8XomKjx9qnWCzobbWfPJyV4b5C92WxTAyd1IJ/0mN+kxi698u5hM4Aai
F8yUkQS3+xWWK/AVZ9318vAcqbZzrhrQht0Nn0cH9Zqv2tORzzVICaIRP9/bqoU9XrrZWBaHYod0
U4VY0e4uVON7oJt0mFQzvM2znMebBrkCgeAGHheeap6TjFqiRKShXndGuElVk502MzY+1XhvIisn
INs4UgMZp1K152Vp3xEzskMJ7FzNqoU/qWa+VG19cEHc9/7S7R9U47/wG1agXdQ6bMlycletGhJY
alzAhKE7mPAr1gnv/70lg/GqVwOGUY0aakSLZPrmc310wSMdTDWUQA7KfCJRowoivGmHB+3tHPNg
ZtTTBJo84qFeuMLPvvpNaa9S14VGmKTtg9ab4oxnyGM6wJAkkY5x31wmJ74aogRqnAL8gMGKGrGk
atgyqLHLwPzFYg4TqIEMJQnd+9LapcxqXDW0ydX4JiSfaZleZjrobDCpzW5OBjYjHy1l+KNbVrzS
1UDIU6Mh8zIkMlPzzq0YHLE9ZWvEEc7eU2MlFx+UXER2258gNurrWqbMWnJn/mQJ28aM5aSrOGO+
KqsYDUjfeQ9oyfpjNbpCskm17CmMY9krEyfU3vSZaognP5qvdYpktMJRekPvSnzLIgbxJbbsXU9f
/mo0tECuozaSm9Cc+2VX6PlyxAK6jJKsPufk9G+BQPvHrDFfUP2TzhmRSiPDfF5QunfrvFWJdhY3
5XZEKLQOZzouSzcS3G2TgVID4S4I3pJk4iXiWwNpTYnsJIRNrbhKCP65Tlt//DroGBGHIgNc3zFp
0X38Tant9Zum9fNn5g3+TdxhhF9GfP3PKVHnptNrZ8Inimtj6JPVJCL9wQxM8d5OdvfZQ+N670Hw
ua3rOOIIWesbUUGPHObO36e6DcpEoOBaEwUr2HTjpL9PbKs8+HFrvVgtS9qy6vFKmnVx8o2qJVHG
MVA4O9nyQlhr83G6p85xfczbRnJm7oICAVHKFfV5uNNjJ10OaZvRBfTZMkV0DdUr3SV41nDo955P
tpXvURtb0YoIOyRhnPnngy6qeJMjjTsnpggf42IeY0yxTvuFMTfjmFkbkiuTLs2ORLKaWt+Qr3nX
Z0z+qvnBGixzWYWpR1MOtCdn/bp9rLG7X81xOF7RWiBLSrh6ynqr4zvH7Y17HMfmZi7TitjXGjkI
UVrxp6quWqLkXGIL2pKagY2p3vFGly9xVosH0kvxBOA9l+txtDIMTLTiUlblwWm6W/wFMPqixlLA
Pr121RB/QqoBzG+6kP1KuOLJJyzEKnuxK92eN1GmYIDzhQtYKERgbwALnKyBQWOlEIK+ggmGGVhB
gr3YgmMIThQMCjwYxVO/HWERjhJvIPC8iJxbCl++SrGCjyJuLaWYc+AZ9pGGClwhDv8z9vi/jT0M
E3PUvz8fHyl+X9qfhx6X/+T7Cdn+F8N/tiqd6TkTDoNT6p+nZDr5/9Id2+S4a+PoudiBv+tlGbV8
18e6/yJjh5E6cluX0x1W0n9wKkZs+/MwgVMxQUKYuxAlWL7pulzpx1NxHXY+4fbSPeZm5RtLtAYG
AbsGfM162bfaZXSOa5HhQparyXBZTAyUUe9rKKTmjlV5L8pa1/JD27pWI9caBl073PkhK5p29UD+
j1eDLz9nMYIIb5M3Q26P507PEjyuk+lxOiCv0e0i5uoid68Gu27fMuh9JJrB0zVMzWMuAdxP2EFA
ajTEP1y7073mz3gf5wsRsA4ueED2w3TemkZDOnQhDeEs05bWz8JrFFtQMGqob5iRZPdNHQafW8C5
qJN46Ro8ZENaHUncjxHOQi3ULNcuucTkzmvJGCLZ0huCcWgp3CHhif51VhcQQpCkrjSFRUwGmzcO
2p0NgBTCPC78xPTCUiwvXMWOftA2m3OxTyH7fXFbp342W8ViNBSWsYTPKOR09vUmTTCeEIbNP8LT
0LvWdeIk+i7AgIoZAtyjRH/J31EQyD5VPEj9goa8UCI5hAf5gqMzW+KFIzkaICVJHMhveqNvnzCo
hnuzmcbtPHvTbUD7+sCLkd4WGy4mjZANexeLNPnKenBu0wvPkja2dh3nhb+VjottW4EvKZaKh3gG
hknyEvgRBcgcZITx1EbDcLJxHn3SLjxNtwatWdpRvwoqjss5CVX7QWE4RaeInElv92vDLHr8W1BS
Ry2UDNlIi4EyJMsl3uf5izblFTgboW1rBf60MdK+0QgE4kl/935WgNBeoULLCzXUVgBR2c/uYBCQ
Otgd/tbF93+jb7SH+KQ5Jhk5y0TPL4GKQ2AXzSGtGCkUBzSMoyhXXhfWabBBbYWAzPBHfTGMOKtn
kqxCQ3/7z476f9pRA9OnEv/3O+pV2ROF8dGD8Md/9X2S7GNSdU3cPNYfjQJ+4PfWA6oq2/N1fAQu
8Wu4Af7/LJkkNZMxbwCUUOUvqFibPzdZkx8YMOCmWWFii0Vc9U82WevDLNkwaCnSdqA1wmzao079
eY9NpmYErYW+AfAt4fVpqhl3elwDYwEhvynr1O9wUGPMbzUvfCClpyGutggPWpOEh5aJAz0Jkinw
FRZbUkIH1cUW6DKZED74hI2tvLhyEIvqXbA0kD9eGwUxLqmKOZFxJJ5sUofWIJoS4DJsKaVuxxKP
oTcQG06ZZEQ6JNouh5tL59O974te/ibm5cNbhjugkq+IBjLxBZuWmuj/+JbBddgwGifmgeGWvKED
EGyZkqCR6Tr1ufi9f1gifzck//mtdrke7zXLxrAM30D/4PowNQp/ICzVftQI95CReFU1jYrd+fMk
9Cb/J/rGriUAbRT/VfT5TZkUXfu///3BX6Ku5FkmhT3ZDYgZPmJKZg6FM/MEQfOIaTMCFpI1Jkfb
Evee3A+msLdTnIZ3//jjAfLAYO2ymAhdQjvx0+3UTYTdzLv2vUsHFn4YOtqWppez6qVD/Mo/v5qD
psJX2Waup0SLP14tCnxES3kq9oY+OjBlmnzeSJdm0HUvgodfX8tQ540fvN7qfuIq5yKeBcWCTuLP
F5MYxOIco+m+jqWggI5RD6zqOi9XfmPQ3Jlied0jILgaycvYzQKr6ZpA+d/RZ9Qd/PnXUNFEHq4m
NCge3ceffw1htN6U98yoamDKtPYBuxGNHoYPgVuhU//1h/7rGnLQXDIc8NGC2ZwAf75Yw2je6rCu
7itjnm9Lv2lXncYTXGHaiPdTm1AMewV50r+57t99SM81kFa5LoGR+od9KYtS+Fhule6BVw6MAfk2
MWSOI0GkEPR+/Rk/XMsmOZ9eiVLu8PUidv1wLTvRRrRaAYQhFARoyCeEXZXeTMeI1OrHX19L/awf
vrzLtRxijdDaerpNEOXP9zPNO6aiTIv28zSPeCiZTxxEYg1/qqH/7bP/oaP8x3U4hQcq8o3lav58
HXyVbeOWMiHCAy4G8xMmmMjZCmrbwXLu4yTJ0ZOiJATejWSFgPM8iv8Ic/y3v8OHtaN+BzpybHSG
S2dd/7h2GAdnEHQ7foeh5WBsYBgmpFKLTqE15Ycy8p0V5/LpN/v55RZ+uMVYrfngFqGDBAh8+DqH
yGWeFHoJar3Q+tSkbn5wLXs6V5xHt41Vkf7eaaUk1GjCIgxpsZ+G/QgZ9ysN65oAQnrLB1gE+DZU
7RAmIf+YU+321yvh735Phy+GszGnA0yIHx6tzLHCcfY0bUd4lPs6Tb3dLIdaMNgNhTu6HIwZ+qK7
1DwYcnhbT/pgwl+yCFze91lpH4MOeidWNeusWG3exh3iMgVCE3jD9te/619XrQ9uyqK2cziR/KUS
0wMChVsxJvs80Em3ziJfZkxL22796+v89UnEEsxXxtzT558f342JRohWqLUJox4yy4JExSIVWekc
RWs797++1sftnOXp656HYk0lG/mB0gz++O6Y/NZpgdaxnRN+DmEzHFa0fPolBqmMDpwKCZPjdDR6
6X3W8iLaMkTtfnNjDd1RT+LPyxXxPMmduED5ov2PkjnRVJrJkxHuvH5spr0nTDbTLpCgEKO+mm8p
9/RXR8W9JUmvknqqOI3431njL4hPdo7kiIeHoO+nGxpfBJ61dVrBCxKQhpdmls8nEbeMdMjGupuF
Fb4POImeIHnNJyY65HAHdeOq/lxGI9h3jkOjs+HSUzPvLjQzN67gXON+uorBBkJhqRLtAXHufDtF
odUvwBYP13mjdy8iBO8yk25xojhnLB/IInzPfc2pDkVe06UsmPnscDICMEyZq5Ij5zXqjED4iL5A
Xmy/xEFovHHksR5HRj41fNYh15Yt6UjvYujscZV3WKPWrZ/GJwx8OZn9bC1GMySvfczmXbaR846W
zTfxsXFsZACs+2iFkyDqoUa69na0dQ5DhSfbr76Hhb9Ia++zX4+EUdNIZr3x9EfZJisDLo/rDBif
2bJ36m3vfZ6xWa1kFkQnT/23LaN1vKuOZa/rZGxp5lMGPgSlNZ14z4inup7G68vtDV3yJc0i1m8r
Cxj0oZw9Ee9JMnLhoep5fCIQIO/XNRmbaNsuu1VvTMemm9mhfENqX4oyY0UCuCFZSQhj3vVJxb2b
HJ9Q/EbX4wdbJvannoBzDX23XtxYmempzi0/Z4QGdXI7nGl4vZLXRg9GAOBNM0XbgCwqhM6Eyt5j
ibQe/WJozIVmcm9zwhdfkVGbG4NO/gvCFqgAPDSE14VJDntqRFqz7DKoOPpQy+tkonpdebaRfBFu
x9aE7ejJmHRbrC21DvOxJP6mp7O/nGK/S1azhEK8MnIiOOASsJa8HOZ5NE7gzkNKL3Tk7UDeo6Mh
VSWupV31sUpYTPkA7QIVJ5FVLQtsjWWueokVNLmUPquXjHkQ6yFzy10fUzHguNIeIA9yw/TInk6R
BvoQJOo6QKeP1dCW1xAP6k2Xoi+MxrlcI4IHMaiVDRFXsAd1RSFErqnoLZAJXbMF+G0V86GvdXeH
mj18iDpvXSqmYa3ohpPiHIaKeJjP3jZTDMQaK8VWV1xEVPdwpkAl6oqZSAvaWumKo2hS8y0NxVYM
FGXRvgAXuavmUwCEMVE0xtQAAx4z8mJoWR6YKzNa0LBqgisIFnXOxxKK7RgryuM0kMhuKn5OBwKy
QeV6wmR73cjOXwwDYI5hghjJCwfMQ508uiE0zamFKylwSut95iyrDrl8FoDXgPuk5oDExwSKTZkE
8V0bT6/Qt16qHnplCjVmNblMhkxULntN959rZWOjFVSJ5SR93mp9ZX7JwWLORCktBkCZsSJmZrb7
MAzhkVia6LmjfbaO7Qm+psjZgG11RsrN6ewmlnXCLVnfGoloD5qidM6ze5V59QS50/4T5MkmErXf
mP5Vu8ko055IGpUcMSkGqFHapbEIAS1f9Y7gFyqFbdE4mcz50ZltayNHEfYYBczgyByvvuagZMer
0VVSXXDoj0QTRo+IpMb7qXQ4P5Rt5UcLiAPTKfNma02Wi7fBO+R/TfOkgQfhyn1cB4S1hJyiT02k
3/nOON554zStrbnv1+r94zDMUwDVpKrzm7ZDhuTxpIk9ImmOAmZWhssGAGuU+chjswIoq0vuNltR
QbCOHfJG8KLA21UppQ/tqmyVK7grHHHUNZAlqmVTmfl1q3dPnpjrlYG0l3SPGUZshMk+XXUXdiwq
amZlCihbKLQsoSjtxvX66FOXRuPR6uWqUyjadOzxvpj+GHyxiH8MQQaYcGsH9sl9ETTxgUENTmNz
BHE7DzkLM+XsQIkgtFsxNd46n5rnQuFx9ZyBKswp/72DRc28uTDMBzN3vE/yQtfVFWh36kfmzmXP
eayQ9a6aZwjUWu3eNgrSa5VltdS62ttRQQeEzBrQfCujb75Vpu+vK7LcSV+1Tl4O/je4kIBt8pRQ
rhUcYcAE954IbsWFHUzqjkXxr4jCRtwYDxpwi6XRieDAl4pr2kGywEuYwXmhDfabvECKcdYTKFKA
6sLaQuYJS+BCNZ7CyNmOCnXsMivBVpTYjxkpATdR11rYkI10H6ZgkrmDycrKB0KHQmM7OA4LOyhO
xJqBrckD8yaqBTnJtWddBQrD3FQz2cNObaxyfyy3QtGaBUFVLz1omiUbTb0cLlhn/4J4zhTtOR4K
k0yBETEqtJ7oqQDlfO51CNG6YkXThC/dRXVBSE+Zwkkn6SC2Iiu8z07m0sRR3GkGbn65CkNb7CcF
pu4ox6+Qf/Q0wjW41QRnIuJHQc87XeX/KC2Uc6ZiVxwVWqrhYJQHoYDY3dBVpzHNBRoOp7v2Wyl3
Vt3G5NKC084VV3v0IWxjbfCPpaJupz29XTsa8lfFzHDXWRXUn2ykIBtXMbuDC767UiRv7Mb0klLR
PHlt9SXnR6uoMASLgTObyBbhKb1gd0txy2swwqNKkVp8A/pNTYTbysZtdzRCKPR6if7f6ZN1lptv
oxZUNIIrUGc4MkBrRdF0QjBcvnpGMZD5maKvDHgHIvmat5OimSP17W4MfWhf0yZjzyZyECNYGDRZ
RLSU7dWZ89jpfeG1b4iTfHuh24WM32MNp32XtCLmwe4KyqROe6/duDhJpzLPyej0j1oUDq92k/if
oz5oioWKdBArqUOf5bWHeMcjwbnIi53m2tMBhXcQrXN3IKGZwaie5TXai4EgirRWWukxM5acorBY
mJO36kRNV8OsQ/QtQlr8Vp3c2UWqn+wxESgQRt4ZiGch3ggCgF1Ol2VMbGNay50BsP5AjlXVrzrb
LNnOpjm698nMIqSNgOK9E0heIwbdoUVG5oeC/83aA54tHXRvyffGS2Fr6VV3qOakf6uojZQeU6wK
LecuNH7yJTTVUqajBB+YhHJQymYjd65uhU8EW1kvmllp5EX24xW5VdGDU8zp0oDstJW2DB4B+pEr
1DvNl7CyE46TOvbBNnnkYAzSJHSJmMjqO9cC7YM6f5rZXkMRsqjyJ90pCFzztTtvIHIz9QpshLCI
6eW7i6ZgUIuKIV9IDicrz4NIZBQNA3Zq7EVhAbcKZPKaCTMulhp1MukSXcmrMtox0zDxJo7fOuIC
ttTy9rJGpriBF+cts9w9mG3uLA2ARovcUZyrgKgh39RgGbGc9VQax8nJt/1sIF/iB8dl72/Nqc4W
eT6JLYkn8r52zXhp9n50Av30jvGNcLI5LxbuMJiHhMbuuqWbdUjI4NoFOu0BUw5Ieaqm31bEXr9m
HWoGanzeOhyEDuRX2OTEJPUmHzvEMp1MrzJDbjPYfAugh3JJUe2uOtLSR0zBpOhLd+c05GXp+QC3
qiYFm+g4XhBleCONVke7C9Td79pvXaOV60or563hJiqQJfjSEJW3aabKPXYVvYMZqSVZIrco2F4S
197A/Z04pwRnIitAENWfx3y+7snhZY79SBb6iS2XhhHT9yNcjve0jp6MILjzzGJL3mG1LFLxEugJ
46aMJqXXBa+Go7fLuVHjIM1wHkuRgHIrzVcZGBys4AsQm2dCnmm6FSblTdpXeB68ESGG+5YPQUWC
Fl1tvP5UBNHY959ma36TQ7J30x6bC2my4xKnb/RJZ5ozMzL3M2y7qG2niQC+MrG2xrwe6uRZDrLd
Yeu+cupH3R96rEh1sI7b5B7rY7zzxiAjRXnonzWz8ddyxNo1UMNcETKm7UjuUo/5pB8cK/GeyXQt
kLDWrk+ELmnMSe3SHh1TVU6A05HbEuXJWscVoaJeQVhBU9WaTZzLOxWx+RUp1KQdtErQ0IF41fr6
1hzM0Tqit29bAJxYHG6E2aifZ9YZvD2aziONC9xp+wgNSYDgP6uaBV1NO+0WeiqMjdEyjltknId2
ntV7cNXQ0SSrVitTgr4CmqZuO1JyZgFx0WBjP/tRFr63ocsDyFUZMTjoxBqOIhRSIBZKyqKIZd+v
QFySJh2pmQaKtvAzwCRtHWo1NUYJMBMcOTHcvOOe/DqcTprtUCXDXF93YG71c6o5MMA6lf+a9x7b
0tim1rIwVHViJHL4ls5k/afuZFzpRkakZ9QQyZ0RvRvlGk3uyPaMO6N1OmQdDZUImm/9tSxH1zl1
8aBK3qADyRU7VfsJZiNHB6G5+rYySJfmbM+P1lyy6+KSAh1BOKY+z/Corwhs+uKK3FwlDce/hR1X
N05DcBNys31RIbCeeeXvzazlRdpa4cGKHZoCjJFPfu/RI1CTmsv1hsrW1hPZcPvQJXCeOgHlIunE
z5e/Evg5CSNu5t5fsv89YI47kxDslzbvqMFkY9Il8K3xegQaudIoNpn1zIV7H2TcTCbLzkKPu3pz
aRRXQjJGkaW/6jP6xiJPKn2RJHButYBfMY+JBnah/W7dnMS/Mun4AAn+ZMxVcr5tabzcOCDun3PS
+QDoZsAawlE2+8Yp5E0mOe/OWkyyYNbDaqimqVtKnc9l5/TCK4eyrx7iirDhKa23HNWo7fteeM1q
yMIxWyQzXRGal2wGvUF1oiMawBruAKgM9Txn/ZPKfRWUUfVC8w+AWZbSUfTnY9A0LYJAEZBkzruD
GJkimstNl42jfSWI+z87WFCOZTozIZsdmlfhnB0u604j7XszpHwD1kyCCyEd823ctajCBqmyi/sY
UayGXF3BS+z5VvTqnoieKRt25Fu+K3kuPVKkXZqUS9uo5pNZGMWWoI9u3fZEiXsTZEAUlXCoQXxt
XJhHp85WcFwwovxAkbr3kRlo6yAegAoTBL3qvMpfSUJBn4nlnjd4Hpq9V6g/LTvulgENmGQay5tO
Az8IuGNDHGI9avpzbDh2usq6LNgmLes+1jhek+JMjval8WSgvX2fDZumUgpJwpr5oanUyhdaiYVF
HI05PHYmA/vAGMPDEIflCwZ2eTPhrgMdGPMI21bPbBIi5SGsjPIl81psaLXULILRBqEjOxKhcUdx
wCcsMKX2yFRJIFj6uCW2QZGYV9QtzSdYMfyFXBfZoS+5TUMLU2HMOqKt1ANrtln8NZ/z6qX2Ey4t
+3Y4iG4K9x0tV1ILfK19mQHPRjodOaIDMD42SXZk833tnXaAxJBQenTVW6H7AdpbiCftQEql3vHt
dF3Iwy55AsN+CuhYFMG2a4ZuHZXudLJogZ+qnIj5ZsQ9u5zd2TgKot6uC8slR1gQKbnoqHycVcF2
uNUth+YHY1F/5ahVMKKNuXIqh5YCsh7S8kGJk6ga9KwSb9ZfIz0FKeD6WokrpQq2Xtk4UDupTvEc
sj8GNneKuBztAWJe+O5B7CO6tFNrsNEnVh4B2gdsbQRv+kTU7DRPoUB8j7IPRu3wzXepk5cUGPKZ
fAL5RQ6+yhbnQN7QSq0iLPAFhhcT+MSV0Q7FmdzN/iHRR/9rNdjhe1JK/MpOLCYSwnkz2YRIbCbH
mxB8o40lLbIOP6euohC0pDuBgCtpcK9ElXxHTvzHWvEba4XpgWv7oXv+F/zbXVx+/fZf+1a8FF9/
FJD9+R/+qXXwjH8ZJpw213IDxZLSGW79qXXgjzi+2mAEPDQNKonxu3wMYZnJYNW/CMb+SGL8niDD
j7OZPtIYx4n/j1QO+ofRLVGSPuMLjBfM3QLa7B/GYTVHuiYPgpLV2xaLFK08byyzS9aRDyI8MZ3n
EQgrMXZVgj+7ehaRo+31kdzZshcZpXVMkFpr57fBkBc3COSfnFAnYhHmfbopbZ7FudesfWNAWbZB
ZWIi5Hn0W+/MsQmOsjRuUjk2L4GVn9xRnCxt3IYdgeFd4wTLnrSTBR4A2nJN8s5TmZxz7uOy9irA
6kVZE6XlgzpwTJTy+nwsA/3GNWglBM34UoJMpeHZoGCmvdl0yXsriH3LrQhaU+mfPUtux8SrkJsX
70FWnBh23oUSj6Sd9BvbzE79NN9gojrqEX+rSTVSFpOXqaJKKev5zSHrXwzGW+m5z/XUbkpIC6Rl
xdansLZ3SeO7i1EnA6SkvqY54p+NznrOBvHi6WDF9Wi8A11zUnegy9k57Ey8p1VBUz/q0o0lppIO
CK/jHsM1IqbhIbLGO7+Q7hJJYLRvRPA2hmx7RmzvqLyPWW+W+xlJ7VIbQRTpnEo4wh3MuDcRfEu6
vNPdWNnPsZUdCNR9aer0pZydsxdbjbtwbaIW+UC4397LbrqxiRnZTFaHBZ12v2Znhxn78kKSjMvr
hLhKs+RGmTFhBSF6WkjMerxOsqBb9oDGKEuSaR1p6l7G+Qsde2xsCsXXjbwy1bWoNKc1Z8+bsdVv
OnPc9vF8BAeOyWzQj5UHthVD6bsF3g9eZ3LKMnk0+XJ2fhm4pO3yCUt7eprDLgTx5IpVEljwTVsu
BB8UHXpgz1eNkx7KaX5q7BoajCMfmAphjinGZRFTqYQlEqYBTLww5ZtfzsfBjJJlGjfJOau950Tq
r+TeXAdjYsAbNDaT2e1mp292tRwe5trZJUnVsVCtXZTzHdHaJfaPPg6nqfnollO8BseK+xWMEhRw
VoKcCSyszdyir6Q/FZHxFlgjcHHYPEQ+CKwow0Pd9AwsxHuOkXKpu2W36nP5YIV0mbOko61FAvB6
djVydo0kgaTCfTcK98wo9Rn8aMrJxjlXju1tSB9FBM13E0s8PqPlPidMlXBBsBw1kDuVqVVf0lAL
6KvG06rRwuHWwuyyEjLCNlHb9PlJDt/V3jQc6tIZ9oAz/L0cNO06iyfBUKbKrwsmWgyQxMCxtW6X
OK+tN1IEvpAI4F4ZWLsjVk2JvWlFil2VroK8tlZeNo8vIS9cbRFVmA62qV0XAMHCp1yC817NNqX0
IieznVzTs11kXxqLN24mSfojRxkhebKquqlZ17aMjVXDZBbivWwi7IocQVyvPgstvilobK9HzX4q
NSNatgB71kPvvMhiat6KgiMRk+R4LcB2kSaYYrgP3E2e5P0KsJAizzvdIipY/nNqvpUGZoW2zhkr
DOCVpGlsyJbjeyOzD5czy7BGYAj9xPavEaj0W1T5ZOxl3rOnueferEeafc27NjZH280OP7x0bv4Y
iv4oaFLiiB9HpT6puwQp4sVD60sOywfxRJK6NtOjrNzZgwLW9XW3BFZ2JgoVGp3h/kNZiLoasinO
UzbgUP/jfJ5zUV+4E/BPDGrlqjCofIQyNFls6L/+XEo49OFzYQBEDGbCuVDZw/z5D/a/0fOklYZV
uTO77IXkcZQabMcpSuclljzs3PwvffPra34UiPDpLOQRxLP5iDT498/XjKwiiH0GNLupc+I1Z9gH
RmfQcSx7N2rMf9TnxRhzbFp2t19f+mJn/MvnJeaQ8btBkttHIVWFgnpGd1fs2ryxVim0KI782ITY
Lo6komU7PZBvYyuJ9R+H4ZAOLc8tru9Fo4DZLjaDYj72EdUEAeWIj5nz4m5ZM5Y4ji7bN6JKvPPM
veoyPRWkFeTOcCfziEZenK9caZ97yu6lLMtg6zhl9TlyHBdtMNvDrz/pRz2DuskqBgedj5r8f1TA
mCIJgLfZxS42241d6jd6MN/kM+Sq31wHqehfVpBtoPfxHPytSLV+/jYJBPElf8haDUBK0vm+mYwE
rq1gEy7cIF21fnbq8Mjc0sW5IcAsv0V9meAPjN7rgX1ZHVUAYpLQY0p4hkx2grF/oBFztpphG/ts
906V5MsIUuWWWkY+R445bUFWVaSSTsmx15v2rsjkk2x47fdmYh+6xM/XNC7Ko10k72HiuBTxgm9R
+uVWaul7WM5PPoN5PHu8vAneiydnF5M1SyuH5E6LdKyMKQr9y/nGm2prQVi7sQl87UvjZBM1MWes
X9/Iv9lhLDS5yNWRn5gIRH6+j8hxytrWrGKHOOtynJDsbDTf3YU2WrtfX+ujqEYtDgzGNt+Wh5f4
o/S2IQPbE8zqdk423NltcshB+P3mEn+zs6CiM21UggYOg49aqCSus07oOgDjYKg2bSLNpR3Ob2qn
T2ZrogwND4jOd4FmnscwiNdeIQ6aDD+1afpKZcc4Nx+aBT4MazekvMTjgN2pmvKTYUTvsztaay9M
sp2wMKsSe0YrVJ/bK6hZa1Dnj37H/+22frS3J+hRwuHcgiKZgQsZA6jX8fnhFDC3RNLSFzSTd6dg
CdZJdqLRfsicaKLGBCY64e7FLkjLVhHKB727KwszXtvWfPzNDfubJ5bv4g+BNUrAi1rnh62YSrWj
3cH8xMDeuhjinB5P13OC1zI+M6XrAjxEuhKTfyahsCIEEl7bTPp6l7KWCYxY07/rN2NIokHnGiWK
Bf2ZXqtFBgd5hP+PvfNajlzJsuyvzA+gDFqYtc1DSDCoyaC4+QIjmUxo5XDIr58FluhkMIbReZ+7
zKqsbhUzQSjH8XP2Xjvt7KugdXCfBNZVhCUE3DkrUYXeaUUAyqOq928TXfHYgetgUB16NScsFDrs
kfo4UogtqiCqtkbWk9zT34X4xhaoqe2FSSrgorE79DxQLlY5M5atbk2PXiW6E7q+Iy8J34z5X8CT
2L3pn1+SPqSRLXt8rkzqVpQ4w8Lp+XVMleZLFZ64I6hsv65tyPgA+Fsawskv7+RMszJ0sy18oTfF
WrMb9LZBsiPz3vc07s+ENm4xjWyQOp1lCsftcxxmlzYUMGIbAjjnhVeh2+ggO9uQDNEPMMUd3dcm
1S6Uzr3OvLxZRh7V/lCUxsqomjcI0XdDNp7ndK4X82MWGukLIy6q1F5fJpN6SYQhvaxSX1KurjuC
QDaSW/qxvZzMgcRWix9k4rezFcmfqPpuUwW4aTNcQWeDO9x8bIKCYihXvUzLXdH2+1iykXRnVPFU
s9Wzpn4vZEge4AwaNTpiL7QbGl27D2mU5pDSWqTjav4vSk79FnTzA1m13UYzRYMkKb1sBouGYb9n
eMMGgjg03qdKWWY11ZIaJJdDndLMqfhpoVjPUL15xbCWXOCAfRNSrvqWCwym8jKGZjoPsvhkZOZz
EnV3vWGS3FRafkcauQJFe8pnd37ICyxltmNTvM0Dviwx8jRC8aZHu5eXBHP8iBp8LKlmXXVNtwKZ
NS7njRGT33jb16Ikhda6yqT5rIv41PfYPvJ6U+tYlqdaaD4RNH5+dDPQPsjMrNxvnPGtaLo72FZX
1BdcPBBUq7n++thql9LTNtKj0vt454tIbsZZ4FUn/LEaqUsqi2Ttpd7KJUXBWWUyrGHnuMXaG9rR
R6PNCDtm3Ep/MV7XRRa+IZ7yLivhRasp5Lsop8i7KKialtAsr3SFNSaR4yO9NLDkqFRRecTtcggl
5liXyjpkY8j3MMLgtSTLqT9zknaPViUCTSbvhMuW1GtJRmzbO5PR9RaOygBkLzVo1U6wpfo9WUMu
ZnYFt3A5vtkN4gFRyTuH3QE4XPuKwbTNJrPdG3hN52peOv/+vv5vh+1Eh40S26SW+P9biS5f4uL9
99bav/7Ev1prNtZKwwbLbOgocOnwUkz8d2sN3iKCZ5ZHh8kwj/y/e2vOPygukNKS+c1QhjX0Py4i
2Cb4jrB6YtTwkNxiMPoDq+aXt4r6BY05Inrg4LBU5krnt4/mSBEM8HT26ATr0Vtb4yUG4t+uxpGt
39dDYKOyiJNDLg0JWjs4BCLtefzqTX4XGMRCuQuygKjzuaT/ueZ/4yjzb/HbiUBEGGiMcRSn+NEo
P8rhXVp/Zv9B9v/5RA72XU5cmohjOEQ73TrqLUny9fT6/Vl8/T7jDHMsmypmDic83NrZIOOKTnGF
35tuvegUZANxVd7meb0lAjA/IWH+cmdIycaJorGYQs+xD90TzmANEqiY8McyZPqHAHcR586wzsIq
W31/YscOhY+JFoBFoiHKmM+3R23sip2HxolFbrgf6KYswqTTLlV5ckt+6F0ge4i9P34wnNAeRzy4
TVpqqWNmcKhCFO1FmsnUtwWtqmCYBljXQ77Fvz/+6bPBQXVCgdiYU3mSDPT5/Kw4wFFMLIg/plxF
HZHTwhbIg8igO5XO+HX7z6F0toSzj8g27YNLmRpKNVWVIvx8JNl1kQV8BJTaTc5SHQwn8QH1TTVq
wwIyd3TZZsNwYqM1v6+fWwAcn/QlfBp05nX14H0eQ7OK1DRsfDdXhrVdcIJ23T98/7x83f0Q2g5K
3p0NUzQbDgrVQaPFKz1d+FLW2tYhui9ehI4RXGW6OvnTCBWla2FulAIA5/eHPvb8GOCkdJVswDmc
9POt9Cxz0ELdED79qhFxkwUBIlFGEE6KSmIJIg6LzF0ZrL8/rAZr+MuVBVFpcrI6HwUq5oMr2zDD
SMKuFuQUF2Lu2qs9afC9vkY0MvlWQLQTHm1Gk1nL/LtR283QGNwC5ETbcej6bVwJ8ahHk6EtmZEn
KyGdW93KO2uF0KO/8IQdI70R6sqQdGi0LgjuY1VvI9TbbbIfZ52qkzjJOZsRtOslSjy3IhTHbYC2
a53fJmIJriRSkXkAvUsVJ7rMqmokFqgtFzaBjKh1Wmbtauacq8CDMV8AyaGxPUaXaq3YDEfnqklF
dRwpFhkqM8x8kQ4yYwiTthetl08PJEhnK7KRKb2d+s0m2xcjT26sXYVU0caZ8q2pNxcmM6AH+qTm
bQ8TYKsgCF2XhkjQEEBSyVrN3DQpa6gzVNqli3xunRjmsGAR6u4MR/KXMG29cGhmrcvJ1UfExI12
GUCj90uUd8uwbKPbIOn6N0+SWNNNRouQKgCB43SAfpV4eu8LO3iOKmySK2LQpwecP5ZBgIz2LsRA
78NqTPlLmRvAyyHJ5CMJn26Ex1Gat12n8hfNFxiL5GU5WshfMT1QOo6WDeUzkBcQrQy2rCbpXnDW
Ge/w+6XoIaUDUDBRrpLQfJcNkMF+lO3PZBoezEl/94B4/TXokGfMVomfZQqMSR1RVdOA40UqevN9
lpt4i6ivJz+pWTESnDOMoYJJPrYqf18+8Hskg5Pucs9qHuP50c+G2jnP3TZi3N0Ha8MSsI4BDEKr
0ZOzsDC6lScqsQGSqm5Lej0oLm07JGR1DIjsG1VULpkb7iwU8T5KJQ6gT0zJ6kRu+9xN/cRKunuy
D9p7Rmv8sPAaHgwiZm6zEFyjmgXpzmXthWZbtmtiCM1r1+NyLmpDC1Y5QukV0RPOley9JDlL8ECQ
IY+rfzEQjQOMnjDdO8ZDIc6XWL1PijYdFpD5rWs905JtFIbqlp1X8BqADIMrpivBld57CLjTyHHa
GV3KZh0V7fUYCX01hsSNAmIzd2Ml6otamZVD+dSd2V5l3wSKoWwhbRo3jpaHF71pPQZ5jfgAFCo8
SatTsTag7jurhYQ/2g6gc8BWBK8Sew9Y5r6UC0NplS0DGveXmaTuL7SjctkQonMugOG9RkRurMO2
Ngnucl11rTTSQ2ztzdcjAFW00qbhZ4YRIlk2HSMJwj1VX2u00c/pnF9kYWjuEeZM62B04b8YiqVt
aUGKrQXn99nVgw6yrhXdqnmt+h0MHXtltgP9FCcmlzWn5f6mpXDC6rzNr1qSIV+EYRSXRRt617B3
jT0KGzaT8InJ8qw167zXw/GG7vu0CSvh3pBFWbyMkdXfinEcboYkkldDUzOOGdCqQO6yztMKiZNW
W90S6ox9X0GFXUmclz7yFbdbWqo+t5tAsxGJrgfyVkyqUyxI0kod2qa2tcJcV4Lw7tVfZmzLfBGR
O3FfA+Qg0sBufK1jEUqVvNnyaDBzI+pvU41Vs5VlTxJYU8XNioIStqlq1udZb4Ogjco62k/IKcJF
2AEu5aWJ7FXiwRPBrzPt+G3DvU44+m5Mx/ocYf7cOAviepnYhUooUZ6Qa8JmYQMC1MZuE3pnVuMh
QEKoA6BnRolHacz80jZ4JpDgoiHzVLlWRyHO/inZimp33EDUVOjetQGdczXzlh1J8JC5SwocHQnS
TUER8AqHSLKMdeltBj1pGyUq23VWgR9x7E3rsnMcn+yg7h0AybTRsXSefwiS+jLO3IWLg/GlSUvt
FeI0bp4MYcyvhm3q49iQ8IQjl5nKrF/SC9sCmofwaBzwG8GydWaJGbiAxkU03rkpWg+e4Y+8PWbI
WjjbHuZDYqxBtojEsVu2o44wxshm1WoqmydnkM0KYQk/agqD2AgQd5cfWjm9CfU7JNfoSsyofOzi
PN9Kry0YBkwB8RKayrd6hm/VaIRJhqWJU7YvtHPlmevYLrEPbUKUapCq8+c9ZfEU3ZWHohspWAQ8
S2heTP8JJLGmyNBbYEUZ/BLhvE6ir4ZMgFgtMuzdLt+B+UNo45S2bGcB+uTLouIXVgd78r0YHZ4G
fvv5wwYVm7Ps8YOVYFVuQT1jowyaqpbDQloKdsPkNgtNoBYDZqrsq9jGL02uriSbDRwNWbvirGWE
9fNDbpXOUrBc2NZ5AD4PBVADI6AmzZy3X3G3bETFmVEp6WPvwS0vihqRX20ra4sUuaUrke2FH+LM
+WNHTDVk+QShYm8jpTQ0dEmlh0AhQrB5Y4jRfNHyOlsXFQ84gFzG7DzRSxzSUMtMtXhP+IafYapq
9k1qT488SOGNHSkhbdXWuy8SPBKM05GZiarYuoIhr2Qvygg61oOLrC8oxT9kVXqgDDdSptPtpKjd
O8EwykPuVAHySMKcVy5djX/ep1QOwa9R5ZcdTKPfqGalXSE2VPYhYKsbwM7I9jMd7os1xH8VbePe
emU3bBRo+U9GO5pPnVDMJ/pl4xVfKnsT1ZGyGuOYjJfKRKAbBOXlFCriroRNs9YFaB5CMIerj6su
LWxvZeO61/qc91YUJR++Jjm3BAaluoRTU7RTvyx5EDcDIWTnDgaFdeEl8iwfpbGuSCREi6mavMSO
N+5aRGrXgauFZ/jp8DR8PMuTq2GhVUx6PjQnzicSuK4QvwRrPAIhcV1wuheIqtJrtU7yMxvZ9rMX
gFuXAb51ctn4GEL15fZP0EDSppwuNajThDmjYYHqg2DOmrRZ84efMB2HKxaF8UyvguLaEdO0ikuL
tC/sZDS1Mc5aC/BpyXqCR4aiNfUuMriOhFQ6yTU5bDCLDZSlZpsj0O0nEg6cHtGuqIbr2mn4dDtR
AcCxLtH9DVPuEDOjiSBeuFrkrfk2dWeewANEZlODu0RmhbYsCNPet9i8Ny0LDjUQbotzzdTldY0m
F02x3YEcQR059lq1qzFobmBpKIQbpYWyb1QV+Zqbd1TMJjPYrENiq4bMK/HSVQQjf4AP3I6ZFLBk
JH5akT2q6JjXeYXs0/Bi7fXDaWjmuMfMvldfydNjFD/EpYHOZDbkYslaE6Kj7yYcT7cidZyd3Zvj
2mXWDmVSR4eIGoC+bu7ZsI1lh012UTTGdKvaeA2gT2eoTAL+YW8qdYg4BdnkRSsVcIj86E1iwKMm
5LMOfGKhzW2sGtMZYGmbNmu8nc/o2okYCKEsjK60KdabZRvn9/qAlghjWLGeqkjZsreXYmFYo/5j
pGmOIqao74Hb4URPY+UcO8pNS1YHMhVE/n2ivLs1oCnNLJ6NFp9JlozBBaeRrjK1ZOW0wkZsXFf0
6xKN4zYIMGUU1CXnOGsF3utaddZUiBEuEAvCbDTe6Aj9lmlj5290Kt8Q1F4PsKk2+tDnc91Wn8H9
1hfOFO/7MpqWwlVCn9Vqy4XoltAeilWISW4DouJZKUDKgKkqsb40dbBy+5mma6CRUV2Jgc2qCJ51
Ks4XxrxJVaXbJis2/psquKyKKFympFGu7TgDm1AaXQuoKol+hG1n+SlMr2kxtkO3HtypvK+Azkzw
5tUap6oenUeJXd0URVo9K2GKBE0fc6jfFU6XzsF+rQlzWGVulZ613Tjt9NhLt6Rhtr5CrBKum7A2
b0xXTDdJaIv7CiLkGnudg7lmEIy0J9teD46A7yuiaJuR2brp6pRunJrFOzJFRtTrsn71xJSfa4BT
EU1nlidWfYncCv9FO6TpeVO8Ut5rfw1sxy81r5XqUuhWedvVCQoWlHD9TTCN5ZkckXAnStRspIvf
UM9zFQMqQH3444K7uIKr/mpGZt0vO6Cv16Ymk9vCkuWmhTf0ly2orxaDFulXI23rv4gicXYp6QNP
weioDO1BFD+q8xfS1tChqJEbkRVWtOdR7JqXUd7IJ1IzLB/2Y7/LrLA775UxfZNmEmBR1bi5BOIF
N51T5T/zBrxuZ2vmC06FEmQ+iSc7jYnnhZDswG1gPCiJu8Jkr9vA+hoVaT4YhZOvMc9piMTh1V+V
yviedo77rJdOgWNuchmDkwaPEzpZJh1xV9R4E2O6KMcO1SoDlLpRsJIlWeInVZctKttRub18bXcj
uwoYDca0YGa/CptqWoGI3ysZpo9C0tBilV/Qs3VXhYcpJNWqJ2EkDBxsRNMLgFI1URVUxlsEYvm+
TPPyQk6ZfiYE9ijq+RzzIeT9tHJbxTeaXsl9tku28j7KDDtmD+VUa233USpk97LvdLfsYnrmm3Hw
gNRYXvBRzG4oFZOXQTPKh6RO6+eqrQZnWykWDpA4YLC07co5SZL0V53NlCxuTUPri+WHADgVNrnV
reiTXae372HvMhWms3sxeG5xblDZvhWVakNPcwDXKOnVVHbkjjTksW8lft4llovyIu2qPoJNUMkr
GoHhVUIxtEjIdG/WrovgR4Q25m8Bw5X3/yesVJC3fNO8RQtTHyuSnHbkX7Y3KaSilQm5B2FCY/Dh
glSnFXlw21RG+Uob7IeZNP0PLMf3U4tZeuMgal4p6Jm3ST2xsleKseRVy+5RDRBDhPla3Flq1uTL
wMYjG7XqZuq6FvE1CkWF6MFtBBHwQk8JA16kogUER3amnyR6+Iq+u8GQpJYLy1CI0QkHZ89Wh+8J
9v8fQU7CahV6T+Zg9udqpelb/hYdIk0t783Y/OlkrrjuaGqBjAq6TZf2Linfxphcet7UbzuBPM+D
z7olRmgQ9Fe4KEbgPDldZO7jriQTp50j2hhCLfqCmmqMbG9jKdZWGpF+wx7kkQU5vR6qyd7VNSYc
2Ut7XWVF8FJ66bTMUJ3TJjSSq1leR3yAwi5GF1S3Q2MR/df1xV1B9g0VrkK/OZdn0h3z2yBW7Bun
VkOyjGz9Sos645cWQuwtk75aizYOdwEg6evCGqILppTWvVnhGwYTMMEK/yspYP9FabPNWW7XXWUQ
LiIH9TYIWhsCMsiOkgnqduyM7F6y4i7agbgLz+vUrcjafdiiJRkc1d4ZYYnkoRc/Iq9w/CSM+GJR
CO5YSBU/N7zuglLOQRyKI7IJ65T6tyx+tTLpYiZ81asBWeOvxpUtFrsQjMNrqSaJeq4xej93+yBZ
0S3pedgafd/qyjAuFVLkvas4E6G+LIu6HhaGKCtrUxe0kZduJPCujSLbF7lXLHJr9LZRPKNyaGHt
YQy8DwMOfhVYIGYvQ+zUqX9zLHYNVkaOJUUVm6Qau96k4U3JY0+bqeG+gutzx/tvgSq2H3NEs2g+
wJVTFWYr2h1vjR5jk1LHAA8h39ex7/12sF8ctiBDMl1YQr2lhrLpnNEmUlpXezO9rD83S8tY27VB
IyWF/B0Gmt95SvArsg3rBuimftsM3q96MJXHkFfvQdcdEa2spqwxn4ghQIOkzYHtVrlF39USpFQX
K9iahABD/DhBAfraBaX1a6p8oGlxw/efBVO/TXKMxrNLJ6b/6tQJitO8ewCYPPmhze7WQ2nxNzr3
oPig15gzIdU46DSHolY1HHccrpHWvtbrLTsAAmTAq58Yt2hz5/iwc06SnI4o0WLicigW9KbpX01t
e2r7t+ajST8G7U9IzsNCIWQeIgmOMtud1JcomHeUSEP/RveewFfbsU2kF2j3P1/d1DHkBG1DQL4I
zVuLjJ/LKqRP+n0z+9i4h1s497BVBp+H/DoT6ktr5sxgPsYhHaHUS9MbB1jsSXXi/h0bR5hYc2bx
nMGIcf5Vfntc0qEtyGbrmSz1dbbCnfrDdssf35/OqWMcTHdiC9Ynb6vwNV1eTrbYmm5+iil17OHg
+UOXw6NofVGSel7i9kKXwq/4gF2GrarvdLC4y6nr4+dIYdSCCVCdgdAkTxn4aUFknRrtfH31DLB/
9FF5/zz2LwcDCNOqMOiWHpEEGpB0SVraEuB0fZEpCd66yitWf3pdOR6aPY/FFNrh4btXU1u5I1gd
Py8GVil7vCXwzDmxnnx9Fg1m6BacTNvVkcwevOBeSMSnSLPaB+VNGF2FCgNqx4WT0ND8/nSOHImT
cC3HJIwHMeLBY+I1cTyNo1v6LG0o0JTm3BidfSWSx++Pc+Q2Ib0lSpJ7xcplzhOs3x55u8pTwxNO
6U+xuhbZi4L6N0mL2dJ4QoX4NRXSJYLyt0MdLBdsVO2ZjQKMp/Po3hVmuMh7B5PA4HVAj7piehgh
728tmqBiVZvSXakC15dN3YpQRpfrhBHQVm/YS6MYpguWm1gqLTepdtIYQDn00XQZZBSDCOwNvCS0
jCmuJJYHmcid02XDVV+2tLFGyHhL9tqEsNnxdOJEAVwfrs2MMmnu4zqxtFk3/vmaopdWDK9ouaZN
JJ/IhlavtM69G207fsmnFuh5ljFEyfD6QZPcOOnIxmmwz2zIO7HFeEarqxS560MeUB1JOwKkkd9V
vYu+nd0lAtF63YBhQCJJJkkgEgOnc1/iguyImFASBcWQWZqom6Z+JaWrLzlOsmIf71ykJlqGJCVY
aWC9Xnlhj/KIHF+Tr4/H1dKJtfLQHr46AYbAP37WdIiZKDj4ZvHdP3jWArR3jGFHrktCxEanecYZ
d33ww0SAoRgCo/e/P+DXya9hAAE0LRg5MHIPJ79QP7qur/LS91xJkl9c5us6FPLCNiq5DdxQXkT0
X/YkMp7SKx55fRlrqzYJsEg9vogv0L91StTaBXyucXzuMNT8qGn67pGIJ+9/fJJMeVmN2PDw78MZ
OsMRis4RYSQSXVqjIFMEPRsCLZSkEGd2k8busmHKNi56nc7d9wc/cp7UVWQWqR+w+ENpu4NKkb1n
gYYff9G27ot9ONMU3WQUf1wGmPMipYHIQ2eCEv/zS8VGsAlBs2U+UJ+nEVvTSndJaBaZYfzxY0q5
gWAKYRQyjC9ExopkVFwFbcZwse1Xk033xUiu+96yN+w+f/7pBTRVgxPTNRPGqXX42QrjrCrMrOa0
rNzwsRcVJYMEGrtNZqSnmLFfF3sORmlDaWAx1Tr8fNUMiCO7zTkzxdxHhvIEAOpnMhj7sLdP1CDz
u/y5PuVQ6HNwPOis+YcKajJ/yNJWmMYC/lobNEy80soWTtZNpGHCy8n0U9Xo8SNC2EbGNr90h58X
s3JckH+pX2vdLvWql3LU9oZI60UL/Zj8W/3iz28dhfccToAGmpHP5yfSgmcM385JfaVtd2PW+aaZ
EqCknjjM14LRVC3MqqYxI1wR8X8+TOeq6G35q30yrGbkImGE1cAX8fuT+bpUchRNpdhAZW1/wWDC
oBlIKdJSXxhsa9nu4dpufzmFfZvUkqmaOy2NsTyh6p6TKb48JfPCgRYXMe4XoiiZNTA2IlRVngUp
ss889uJFlQJywOBILC6TrGYk3GABkiqNlsT9VvS+VWcrhzo8yxgmbYhy2k+jVd9hdYffWVUUB3NZ
UM+YD7Qx9oOng1GFuWWd+O2P3hjQujxx2mxrPrgxzCWjjPZm5tOiKtbJ6CV4Jmh2fH9jvq6w3Bh0
lWjrsL19KTlzs+YzEpaZX0iH1MOy89VU27uOPFW1HLsVuLFQVWIgZA/7+TGznMzA/VewEGHBYZod
oE+31WHz/dkcW4FIBEGPiHkP1deXa6bqQ9gqKQoCmDGdw2cKxBbUiiZ7hYjx51U0e0ZkonwyZgr5
4Q4VuqSNsZZXdEyDn/O1E7F9m4vg6fuzOvbyEHdiO0hy2RgcegSHhkC3qeTlyWLLvUlHjT57YP2k
41puRGi5b30GwxoVS3PiU3VszfuIWEFBd2TTQ/9EjQyzS/FE69eyUGCUhJsqeayS6Z4X8cTRjj3w
bHvw9GOhB9t2sMKCG0VHBhzQr8Iq3ea25dz2Otyz7y/mh3/z8NMxWzt1Pkd42Q43/F6rD61F3813
2159jCO13JAUhyglMbqMBr3TPySaWy7bUnbX9VikV1bmGLjTEHZNYKKYLpGdpNVQHCGgMJRt2+TU
7lY7euUddti8maQFHBY+ImhUq89zvjaDSa9Q1i+a9MgCMdzmLHbcJ5LrqqVDNNhFVhjxY9p3zVng
lT8ixrqTPfPN+tw8o4vkLexRqRZexHl8fyGPvGsMtihBHcdAZXn4Qcwcfod4oNzui+lnNWlyo1Yo
qoKMIfb48v2xjlwO7UNoaM2KVaruz6uHDt9VJVWF0j7Qfqo0HFa5pb40Y1b4jodHAs2wPFFhHHnp
NI22PRUNX6wvJXYnshEPdMnpJdZzFIfwbhnd08wU08KAf/ZQi75eMZLt/D8/V/xJ3tyRokA8XClN
wmjgHTSlz17tCoqWQJ6b3SJLJngzDR9H1wpP1L7H7iQlG20AXWP3e+iU5V0Bs2bWcCtUDCbkazOa
LAx524MV9XObjfT3Z3jkm8MJUkMZfNgoFuff57emAIYdM4pLLu3QhUi4TdGv1LqsVwayuL9zKA++
JH5u4OKHH9HKMWOZF2zRNK8sbghSh4fmSPs8bjXtxPJ17Bk1eKFmH8IseT54Rjt0McVEZwC/cbuH
m/tuWfWeuByBOam+dcFG/vHmiAUM0wXGXx0d+eELqA003PVmwkaqTwh9nP5OtGJV0Qc4caAjCzPa
YtUygJuQzuDN9/O3+1VhvmOayhYQYMlTOAxbd6r3Jx4Jg7/jYFX+dIyDZ8JTiEo1Z/8dql4NaEhc
7YBAW3d6ixM7yPqGq6jiVutFtWrsJHwoe0F2tcXApiWWmeZfiySqiBn3mETIKYamgUSFNxgbUsDb
MKNb3SNttRhhIAWVWmzzBoUGu9txiRYuOIssF7W2OoAD02ZeeMIM727ychQXhQaxtswbsVU7crPY
QA3hNWHMVIfljF9MY3ENFyLakrs1nmUg2a46I8ovO0V0vpt6+7hMmyVXON3k9IrEIkIt5KNQIqeq
n6p10EYWisG0vyhNI4YjnrSb7y/vsWfT1DDC85wYcw7Q5zsIXLiWo82ziVbwpR7kixtV16ahbIy8
BFvXl3/jtaPmptijfY8y/uB4VjQWNWiYwpc1JBPWsV5Pz3pZnChev/oL5kwhFP70MmnTeQeHAekb
GWLwyEJV09uqigXCIfetTh+YRF0ylV62lv4jFMWJLdNhkjKgn48sI8fmirK5PizIvArQfNVb9EQg
ojxHBKIuXGEqt6jd1WzN4Jw9Tm3lED/Trl5lBUohsLEs5LXenVlIfa2kV84MtVU2mjSLZYA6jAeu
2mL8YIzlJa+W1rFRH9ADAX0OV57UbHovzrQKteBeTyFlupNFGqpMTJyQEwCshN8HuGr1jvAbDtBH
QP0A5ApHF/97PlnLqJHJ2oEO+lgb1qlbcWxNx+wIeQk/AjdkvlW/rRGx2lh5kWLXBdE/4ntZjL26
TTXZnXiyjq1Fvx3nsDDqqo7EYcDyvmvNaej0G5Z5FK2/f12OfRBt8jCYKzBvI/fn88motV7h0BeY
5tvSXY4zFEzVn8o0QljbjCdMZ0cPRr+SPQvBhl/KXluwGBUZ74oS2Tk70WkLTxukERIEQ8YnLt+x
hcCm7c/XAsvel+I3G0fDTpBS+CIRt3qDRxwW8VOZiXcZY96K7BNXUjv2XDjsktjA4qVyDuc0U1Nl
XF/qtGTI4PVOurZzJ9Gf6fTiV6WhRL5ZQVgZKs+4i9Ug8scQZXNIGNWlG7rpxoNM9ODgC0CjHYRA
4b+/00d/PRZE2kj0b/HxfL7T/RA0ShpR5vR19W544WOkd/eZwTD5bxzHcdkpsv2dfTOfj9N0yhgB
eMAS3GQV3Rz5UoxKvypbceJDeqxsncOjaLHM/+EcvIdG7yHjRoDlS4TjUYPOrS9uRWntEle7Jqhy
n2feiUbFsQf4t0MeFqzJZGYIddTcV/phG7blu2dmKFztnSi7E3sO49jzO0fd0Ysm0I5e0ufriHXd
rKbByVlm9PGHjKpfpG4Qfp1p7pL2bbicCZzLnBV5Hdez4FjRZnmWQPkDPPzJpKkCUQxufKsjW8ba
gtkgkuKegHUM/0WWLck+dDeD07uPrsWqCTIeREOuNMNqSufWZqn/UnsdTTvE0aFSfyRle4UnsVpL
Sr7Y7fpFPhrxus1H/b5CecnHXrdOPE3HroI3O3VpcfDcHk7ns6xqiEWvqPyq6WySk7aQqvkEnvGc
numTjAFgfP/4HrvFsz0Dx6BDs/XwsleJFo41xZAf11A9u6oV1eaD/2mE4KsXzSxM/f6IR06R7/rs
NgYoQuV+0Azw7NHNpW5kPjko5joSo31ZRFRoY1I2TwlJaD46pNfvj/mh1zgoQtHe6FxUXlG2tgdP
V6iMGZPZLPftfPKWUd/a92akdcvCGK3zqMyyR1IOoIuaSLY+dMpuBGA1byeQ82iJtkpPYMaJS3+E
TGGiSqDrM6/azpe9bzhYUxV0vNHNFKBnM0JzgyrN2DSBaLakmhkLnhTkUxZBI6GIliMzGeTX5qmw
L+PIWjn7wpFjQFJk0KZ/fvdUpBF2LuMc33JiMBqZxc2xAVwWgWVhnXO7nDOZIEnEZ0EOQEYTWVNy
5qgQe7ub3ujVzTgGAF0/EhzlpD5TFhfbqOeRwjZBcP3gWVt0ue+EnS5Ysru1ac9MMUMBeKYU0o/s
2gFa1jorNzzXy9S4T41iuOa1xYky8iI8RW7r7TLV+UsFu39iY37s/JmA4UEHKMV1nV+S30oc2m0J
UA+D88/S4Z4gIARp9hA/xZoSbb5/Eo8dCvUlWgPc6Hw2DgoQhk4k/s2fJWJ+olVVu7OlZ6jSnRdl
4dP3x/q4b4dP/dz9Ndi98hk83P4Xip3BhozZHHTgrheSgTGOj8nUttDCOlKMMu1cK9XgRg56f6Xr
SnirS0h3ppFV26oAmPzxC/0RvuEyfhNlU/6S/zX/sbeyGkUcRvIDH/Df/7QvEZ/m3/7I9r28esnf
m8Mf+vTXNv/34/8m8HKGkn76h/VHhutt+y7Gu/cGDf+/CQbzT/5P/8//8/4/SYLVaWGxDP4HJfAF
kHr5AiD/EI76zz/0bziqNae9zoNhle0kzQGe0X8THLx/UH2gO2I0N/f5eeT+RXAwvH8w4eXJ9sy5
dP+d4GA4/6CWYHtFs9V0+Boaf0JwmF+Q3x80kmRt2uTEyqrIaL6Y+AsVV24epYAPQs2aIMmYxQXz
3PEh1wZ8EqF1CoNwuFnggA5pZ3yx+M2/dpQJVomkMtmjPwyUu6rSYfCx+3j72024+ecJ/A4MPNyF
chRUubOJ32Jp/PJxlEzqutqKBiB3WB56fahv01KwNjpmtVaVPltoDS0us06Uu6Z3hofvD0/K6pfr
SptSx4oEspB7fLgNbtsRnvToSB8cSzaQMBRNm8yJ8EMilLgYAIvuBqS6zRYxNDlBFTE0c8xLTKXU
MGW9JylHCxcleRZsmqMYnryGL8Gd+hRMZ8rPYgHJ86WRKVO3GCocgtgJGyjS6G7HX3QW0jsjcYlK
wpPgRyZGyMCx6x0d/PoZS+G4nfPVwNiG2kjHo2ZtW9BwnXy1HrQ9mrzqSpARssfvjK3KwDDe2031
4uZ5rCL27sZfUcMZdUXWPWZtMW6bZPh/7J3JctxI1qXfpfcow+CYFr0JxBxBUqREiuQGRiklzIBj
cDiAp+8PrPq7lFJZqqp2bdabKstBGREY3K/fe8756mts4VvGngOzXTd2fU1jk/Z3NssXcL78QT1l
4bUnRI4wJy9+CEewX9uxl2Zz4lLVhMyRzmYR7SiEc7CJDyLu2u8xsONR+TQ3M4lFU5PeucizacuE
iMywkiCy97PuvilHJ2G8hFI7H3yIEx7KoMWZMhoRld5Cvu3OBTGV9wTax2ckOdPBa63y1CIz2pFM
Nj7lkCqe2nzxPnJ37B2KGCBxNomIypvar3MDqzfxqTwyXc+POPibFyLPuDMt6+3RWz32viZVzRnq
8OpZEMvbNp2/a0wyj2bHH5nNrv/sodK+xlMiThh3rE8Kis/nfND1dc0kvFYVFdYW8rnIN6JCwr/x
1GKSxVDKXS+J39X1aO9gDhUP0kuRvMORwwvddF9FzF8mBQLBKMEcnRyh86A4F6r9OvW8zoExzAcv
U+WpCbi5sy/1dlI5CIXeIeliZ3qQeyXONDoXELZ86D4Hw4qLhwQJHzSjtL0l9dMFGpaM3wpzBtuH
247emWmyaFjNaza14xPjjuUmbEf+U046H2TF3mVN/OJQG/I2LtaX3WjdOyMxRySd/BZP5OFmCNMq
GvEUVASv1eM38KHzAfS7uEsEdyJGPLYRtZy3FSmVFQngiutakM/vl6EbTQiwoVlNZOzjr4jjB8+M
268Mn5ebWqfzo81GegA9hROpa4s9sKLhDzP3rE8ZieNb0hCBORhc2z7hPuZqvdTrI1rWQB/mjl+/
YHZIoKdwJwSxtwdh8fx3yFNeysSPz2VfvGijV5AWu+ouCb5DJjHHTWZUJFv2cWUDhHdfcRy3zzbK
9afE5tlcc+Wyg401aitE+Spif/w2CF8CK3V5KNfM+CnlRuGqHPbkLcs7CUHtLhy0e6fm2PpUZ718
Ua7XvOJc4Wklcnbf2XHz6iAnv+SYsj9OwUpIM3KC6YNaN28J2e3I/JzZQJYdFtv3HxekvAR90xsP
0yzrYTtl+XJDl7b/LDmGP8zNYJFOzZECKJaF1bTMq8jTZnYcGtvHjBhP2QGrJPTU0jO5TVWh/JXy
1z5bxCVfsQ37iMdtp70dPNyd9mear1bhvYxNrYevWafES4Yto0iOo7PU5EoPi1HvENppdTO3OnbP
OnGUeMCYiUVPTPOjhTM4ajyV1hvLnZANtou35zl0YcrQlAfPNg0sTaq+VQ0gNexB4VkYxYfB7I37
xiwfDFfdikpWewwk7v0CVWLjEsR627kJkK34FqIMXD56fMfEXtJTZRePPYPLnVopcUrMX4i3VDsx
qj+K1K5ORp18heGantKFeVBtKXltqlHvSnecYE8lwx8WprNdkvUXnEvxHrWxhWWXCDFr7ghH8N0E
EUOS3YoFQiHQqXGOOryEXh6cjUK226xs62Ujw7g9obtBpWxMAINMQmKqrKAnWZXl90QuwP3oIQI3
68UchaJ+mGs/29mVEV5yLPw3tOg1thVeWHyf1iWb0amrkIjGhbZ6ZFujeTJhnB0rH3ehHJxg12jD
juAz8VrWa86BiVDRNirzot0sPKrE+uhUcbinudJfrTp0yp3Ntf/aS629yOVYinJx4R5y8CBnGT8f
qFpLQ7SMAdb0oIxq21RoOEOLLmnoYRKMvXY7x/1Xp9HqkLgJex4beLDHTjZuUhthZ1577QPjWQtf
W9HvUW2lE0M4AzBDML0GMI+JgiZMu55Wf0FZFC9YFRo/8iZvPkBTBMTDRDvYAolFXTIKh4Avh1kQ
CYR7oVzHP9FntM3tzCKCI7qQdr+RvFc3ouzlBfAk5ney8E9oJvqtk6a8Vf0O8kS7qWm4bMBtuWfp
ddPjop2cUHXMNgyhjrrcOqPRQMryljdZmi7dtmr5JHPZ4Mntw+O0uOGpUvH8ISucZTvGqj0XlRSR
Z5dYPrxi3JQ6KXa9cMS939NibuJVdZB02CFNGexbY2TGsjI9tevMWxE6+bPvEVUfmLPei3jGmhWO
xr4lygChLIGwlsFeTkLMKcucydmgnNwmRhI+EbVhHcqMJ95zmvQUjFO8C3Usbho6f9mm0MZDNUzk
vbfLfJ6DDp8baD3CDlqvq76JpL3FfuBfwwndeyS0holVohtDpJMWN7JfrJNk2tJGWep1l3KJnReV
+7PY+K5Gnmvrsr+kM9jDKLdy85vETlRuBbqkaWvm5nha2jaMZGV0B2WV7osuVQZRtMjyqxgSEhyd
3IPR2YuRCZxVW4n7giHIJDqq6PHRNTUqFGOqi72fuuOXJreaaCj1WhfI9h7fTblFrF83O0z62cWY
Vt0u9sTc5/Gr0hP6+e4atn0jUNjSONzoxs1wKQZxH+VYn+9mO86OS1rLL7YEHgKEcS7WewMZYy2R
8txhH1oxrrnb19fQhjYa1HL4I4CyKJmVcITem0XPhoP6d/7OORoey2zED5KpA+8AfNqrH5sQBBJ3
5XGkZPO2qXTvFjzoD0YjJT83c9K9KjIiHhMmQVFFkZduhTfJL5NUTLdSxBY4f9mdkUW3578XX21m
W59wjPZ/SFJ8gq3tpvw+i0BRXFTzbO8oQ72PU9FSlq0FI+72URTbPLXLE437+lpi/z4KswfW22gW
4y4nWbOS5IRvU7dncycT2Xiok1A9ZbaT3CUVlUZNmOptsrx/i7B9dow12yBu23VRhvz6nYDNAOqo
T3kStq31gWWw/sORHqdgA+A3uzYQZC9hIdpUHV9nNZ4fUstQT2kG9WVjtUZQR2bVzYek8mAdjIB2
UzXqbbKawhqKrRd0plXUz2v5i3voxR+mkkwCfgKNHYRX1TR/x2iQEVUZN3CDsxAilCbWYoYFAU1U
OiXpWWH7G7UDjbVfDhGYGoJVb0jExDq0+3N3w4UsIcsZc8qE8y6a/Uzmu7YK530DV3UrMxSxYer4
38GDj0cSS5K9YdlviOM/E4zgMORjmzJcnWwViuibsbPFyyhxNZMAXFxMs3JebTR2ExYeWY8XDMQB
bCir2JoCHFAGWelQcQuJlibpxrRSHHtTRZ1QVuGVjRuu1uTMF3QDetu16Gab9c7aJAc9jEnnfTRc
f4YCnZgkmtVCGBun59kmkox6QzflSSkeHNA/1EocUqgHk4J/aRE+t74jDASD4VojTfXS3tfoZbmX
eBzhSFBIhYCjNsLMaAYCqdrZUyxvC6QN11zB+xotjnoEWoxPCdR51O2uXZKwrwrvPJSLP17bWCdc
pAxiqTH1w7RzE2J2IyWduMQ86+QKvzipSkYvtvyg2n5qYtJy+tbBp+17S5mcCraSbbysfyOmkIq3
Ji43L4ozhHYjeqTAvjBZ6rFuOpNkFaSW6sw0r4FppvzipA6b3cTDTwDNRAnlT2SPGDPFFccYEzcZ
BWAfiP6zie87wuDrRr0LlTiqQolWEscxLkIhv8y5KvZdNmQHNbKrmYVejmQxUciltaeehqx89Tvq
dojL8iXQJWCBbl5BsOu1C1cf6XlZuPi87MYDplrnZPHC3hfOmB1idHR1FLhDeRrAgL5NYJHfxGyx
J9ulbW+IsC32zhB0HzgBBNe5NXHOaw5bXln3n2uwzZ8nrMQncxqa12Gtqes0LKMUAKwmgLycwN+V
Wu2tJalOxGBQLda+s2HP8u8rp1NPpgVrG1hU8+b2hMRifJov0uLUsu3qhTdvaKz+s51zkG/bUhJb
muGDjcXUvA1xHWydYKAijYXAzdi4C+9ID3vTwoHOPxzMpf3a1BNXpVqgW1OVb9xMLEfml+25lS3d
EJtBxmYK16UrJRh4784+B+/Kbp+RoAZXS3O8JakpvCaW7M4ZyICrl3DhmPXMh5p0+KgJ6vGJERTH
Kj1nh2A9eTMhkrdVwbnczzieMAxavge8pcsuCxb5UnjVh3Hy5RfAeBxzTDe5s2pBloBOmQwK/qO1
sRYs67eexAoZDhDudFHDvOU6O7o8WeurOnGSZSMp9Baspnx124m8t67K8VIzK9mpMeNEuh4awIBw
cEon0d6bdcedaXK2gPc1UNZJTURgYkNfQc0DnbTTnKcd/ME0tPh1pT9floR0nWmkq/H+GBLTyAKe
1EQ/TcqYb0TCSdPp5/b+/aRdOzw+eIDKyCPCA3A1pw9SO7JjKdjICLwNrir2GIyvxzIjMbgMyGH9
iEYPl35toCwZEUaF5CCu0/R7FwBhXnjd6miaEzYBvWanBQldA1NOxUMrkZ4AaSkIUsZNgYKQrJpW
Ee9BsAi3ONFmCa+cX8S81ObwvPAKMsym9QGYgLZLYULDVhAqw5xHkBQhS+9qwroioiDJ/yrIL2Kj
MTsaDgyz6LXTiSE9pX1eHEGDwh10+5WsSpjx5jA/1uQObGK7K0/GeqjFScSyxkkKZN96Ql7ZjWsi
fw1Id8n4L1UEE+/bhSXOsfj493OzT1zQzVTQM6ubVEDcNr6Z5rKWKb7B7SsrNqm2R9jy90cT1ute
Co7kdWPFD6ZV1lfZ2MUWa0BwDYa+fW4sehdwGellIJusrxop/90oqHDBng0s7obd/4FXqHmdki7Y
dmYbXrXPOtvolEuYum331STEDU91oSx8ShVHaI+yaAD+dl2f57Zbl2EMI/2l7Es6QWHmU2sUHX88
HNr5kiFj+JSu3Ubd5usuQGH8agU8EmJR/R+qhRCXWnFy5yvJcb1bnx+SI4iCoP9TevyceO06vJcV
QUhniqiN4qHSI6d3eNlbDxnOp/e9wRpovakgSe98lnzO+zSvRsMVd/47zifUYXBtQ65wOxf2J92B
ZQkrQqa8hgpEcAyJUi+3PkmPcJhMcSNDGnOnuTTrKyF/9dW1KR6q9R6k1EsvPWIz4paJKt9W2mI1
A2j8NGvKE1nQFzGb0v5kVDWLLevYM9FA8gXrAvxABjvReytmHGgWBeTrnJM61USP08joWU1kRHlZ
7BN4bfu2mciVHSgyK15sTP0O3aem5KWYzbF5LW2DxqCmV+dkMSXaQMHikLq5tWnq7djseXjel9nJ
52pwYp8vXSOSz5ymZrmZ7Wqt4/qJ03/nTB86DsuP0qdaMhbNUZE0by6myfKWjrxHReiwa3mjpLZ2
eNYMM36YNH0Ku5yq7FQLtz1rWdK8WZdKjDL2jrDq4o4YRZIXvcyl20C4mtOG7A8pR1XeyY6uIGL4
Fb9s4fBoffXNr+PpMPDVN3Vb8OJmIcUfWEP5haweSo62X8pTXvOSZTJL70hYex1Hl6sG6sE52UHK
qzIWXAMwCVSho26fqUpysVETFMINUQ0hdYtys1uAhyyyGtrpU9PEThTO47wdFTd8DvAtFDatzPe/
fH8x5ypnizEs1X11NXuqZFM51cswfSAWcN5XaU5Et254oTPRnhPfZZFhxpPcYWZhtL242XIjvYVK
WPszCZ3FdyWWxgMBy8HhvUHnw7gWRAw+6LUKmKeWUljaizpwgOMXExBe5hj7A/EC0JbQ8bUDPnCQ
3SkXDuCmABZ8HuLhd/oy62eZw6qjwEKFCQ4LJMHQP83iVOM0Fay/4SgymsMRLnX3zvcGe5cMZJTN
gqUtDSm+CbYnZjzBmZf3LoE0FAdJXHN2qZ323DvjfKm1bJ+VEuKO9MDpkSVh+c0w75ex8vplV7s+
slAE/L8k7jLgK/zRcPqjkTnmZuwhmc6Ss5hp5emdoTiY0K2gELVGDkWEylFa0cpYafTNWy5prb7f
7L+eGryP7P88jHGQzgkkQMiBxC+yo4R4CTvMkv5YVQ5EbmSta3aCaq+LNsZD16l0y+l92c3MIil0
FE22XHJ3/XQ9yWEKeMg1DxWuW1aD2G3+kFnp3wdeQijGQGBnbHRNu2kH97cC/l9PKoBu3u++j4T4
F8tKZ4PyThJjAJlkt+cYtcnauad6bPO2I0FwnUQ4bbAdWRNf+5ldpNY150I1uP+YvfxHo8p/Ywj5
700z/58aVRJI9sMD9y9GlX3/9jVVELWH/sfEebx665/8n8T58G/IOzxUHi7dLsv8MXHe+RvcGgfB
f8BYTYBn/L8DS2G/TyWJICBbHjHmGtH9T5yj7aw6Op4Mj92QAej/DGz/Mclj1stEmVHvP/76x8ne
r2P41Q+KAcOiPuHb/aR4CJ2Z5CBpyGOQld9TjpwHonfiTRagRP7h6vybnwSXC1gEwgJU/z99Ulnj
V1+PTcfAJmGOqKtXWTfTRsepiv7zT+IzMJYg9ydIZP3NP6gYksGIl04WksSOQsGKNe/6sQLz1i5P
//EH8XaSqrFqJUw+688fNCIbCJtukceZfaUoi++xkX3P+f//5mMAUq0a4F+Hn9jXscG7k2TBgT4Y
BgwXIYMDD5wgW/znH+VZCCQwCDNC/9m3kEizEqS/SfAAVXedTGgaKPA5i9T5b36U91MzJggQTjM/
QH7qQDr4WYDqjxUztFDLY6pBw3hqfpiT6YngwCc5AiT765/18176/mEOrjyc5OxOP1ufYdA3vJuN
PNJqpMlHSXPMwZZvGiN7MwO6VRnJphtrJtf3rz/4X7xe2DLWLJR3tdXPr5fXNXRl6F4e2Veaj4r0
oY0bkgVKhIfzm/frZyXA+29kv2NVQC7HW/3nh3FRuZrx50vMtISWV8xJd7ltxh//ix/0w6esO9cP
79aqsBgNhnpHI5zIqO2mp7ECQ1N3/92l++GTflovdFGlDQNxHpBSzVtvyt+WhrPo71+vX5OAqF5c
so3Qbngug4qf+oKJYuIpKP6PA64Lsrj6ZjNMCC21I55bkPa41yXDDzqzexdmd0QAwm+so67564OC
HzAIeDj9UJDssL4uP1zXJq7coGpkhULJbrbSHAEzzjC0Piyimnchk/+tFXbWnjRm92h20I7y0gkp
60V9RpqBIUZzFCfdm1SVjlng1/dOtp/HzmkFgeyVX3yfSe05JYs13kgfMF0nl97b2CE1TCP5V+Y0
rnZ0vGwm9MQC+lNb3c9daH8ufFCxbpzHr2NFra4ruKqxT6p4M0Pg1jmvVOFPBIz3s2LGTlFHZdJy
zBoGbL2qKOsdwrn6I4ma4kzsn/7axmw01uDx3ckmvJ9z0Vx00I95lPpB2uxmUZpfcvJMMSvyfQwk
XW9VzI8uRpimTZjIO2aJzXYgJwNprBPH+cZSZTjRSR/Cg0fi6b41GcjlLU19owPVVJn8umVFK1Xk
cUXoI2w0HKxvaZIRRUn+HFGnE7AiUPdDNGIyOYuKExVmuOZimUB8g4raEMyxEfklWvkkHd3LlFj5
axI05ZOnaa62vSNfWq+yP8f8drnxNW1CWQm18J3GGA+9LwEMOc7McjN5gtaOQVvjqdcEPnP+rO7B
qw+vMZeGoMtW3nkq/25a3FNF4NvnKsi+T72OP4KDa056XZ3Tvm8uM5RX2pacvHh8w7BMyfT2pgcy
dcSJTQW658jMfkxgBlKJZGtIt6phkRM9tBGKUWniyPAu9wAbe8AEbi1C9w+eKrFb2IZmYPD+5pU9
EetkegfX1OOSFRkXAV8P+fAinaOqlcmnYCH/EDREVryGpLFuqhYeG9nlOSoDclcXong7rzxkDCrl
jUWLNdx6aTw+p7E0wh0z0z4gqaXIgN3RPLvC8Fg+BySdfWLAVH23/bQ58xtnRGss3miW2qPIrfCp
4eX+5ICDySNC11wSJFHoFDhC05GszIn+eoclG9eJzS0Y4qlwCZWXSbMhQtTA7+iFTz3ErK0U5gJI
WLDLLsTMcvCXayAh0XjpE97gZDyooM7fQsTR+7DmPSKLB1lRFo7loR/jiSNkOD4v3VIcCG8aME8Z
nZ3toda5y25BPwTXq0+02nhTYX3Bit//YS+8W8Jg9rgttds/jv4ARjMX7sWfS5ZxesIuOlTDOaOH
g+MldGZEVsGdcNOkeG0Tuz5PMWGqjM9gqHX5d87iIdIhzznzRaw9Ed/z1ph7juYpCopbwqaZUyfl
mjzKHVIOuy85U/SRA44RQHvij/nYEUeayin9VsvQPdaFR2vZS73lKiz1LPt5POCqIsM3VDwIiw5q
sv7gZaOE2rQGcae9VR5IEv42qM7fpv30sW5tFA7jF5XO8Blrj45pLL0Lu7F/nypeSubd045u2ngz
Dl24Swrec+yw8caWfvE5sORyIexuXy20qpIFzGEE7LovyM7Ns40zlDzUrIrTh7RE11KrPLxzqGuZ
FPLWF6qkwzBKSJg9hImlY3Wr9DAe3gHSUvC77Sp/y3ojuAvwwr6VEznVzjhYyN41jTURO+dJ8USR
dxS/qhD1hrkCt0fMeCBfF16jKmhD/OOKJDmjK7sNgaRGlIK1uLc8MKXCLN9cl4Wy61g/SOT275eM
wHK76+Zt7Lf0hV1HBfcEDnc0woGpAKvhMVRh1x5KE8ZwPucsYrZqtp7mozt61MeMDEWUBpb+muJ2
knVZE3vaE9RKPMuuy8o7B/j4PtVOwE2o5F3frqV9YzeX0oK4vaUJo+AmWwILFlcni0Paah49x/dV
F53cy1AE1jdTs1qN6zPigiK/LeIhu83dKdmPM3YhEqZzkN/G4ELBcPc97dSIiEw7cp2FFXFopmhc
vOYRRVN4t/hxvZ1Mv4vYcDWhGAMrd2l2HfESXv1pBP8MWa+uz/GiqvtesfYYCauHDnnpi7HimoeN
2js5zrCkHrNbJ7bNL6GlhgtdR0riRt0FRV8ee88cD3mKP6IKE+Nm6LI7J3PGZyPP+7t5SoebOF8+
E+WsUdCghAtm0nfEYrnHJcwWJittdQfWJ/5QFi9+SzQwM+DvTbJG5w3ZI+/zUzeaydEmMAWgQ9VG
g+ngN5yRYbAtJgcW9y+G26iN7bPprQr/k5Gl5ROhvPW5AyX7ZFYBminTkqudnf7j3xdZ0tnxHXAP
9hz/9KbwYJywb9cRsXqTOmK0EN2Buc/GZioBGrMP85qxT8lilnPObHlE8rCKEAgWp1q3Zkjusr8a
OEHzbOexXbpNKZ2sYhbbDiYKEd2uWfj2Y1/Z1Vm3TnVuwNpKRi0oJpyyV1tlYfQo6QhPhBdcZm1P
1cLmU3asf3Ad44eWwQ7+5iIn5lpkY5WedQ5mEfxBFY/BGWUP4OvYU47vRBwHUNVvFhLTvvdzngI3
GIvqm3TR+lhZ4oN09CV6xzmEpei0rknvfWJdn4NVsw0yYRg+1J5PQnIuCCRnqJfkOBPSTtARUdbI
4BmaeFCYBaKmqfyoc2dC0mh59Fyp79FbSH8ez3WZF9tMml9EoI4yz9EwzA6DDRedu71CzVk4xntQ
hsaN5QD22w5+RSqkANXLe2o7myZnYK3KYDjaLekbUxu/FalbAAeyCzAQDFZhB1jPOAamW8UezZgs
AfVTC1sBIy2d5ZbXNfmalD6ik2LFHJb+FFLdGsYpm1wz2PtJxfomPJZvkVCdcGATeqOJEHW3kh98
LBgOMrac3fE3at9fbRBrQQwgzMX9SaDNz6dASc4XpCxVHNOqEmc19tX3xiELd6MH3ZsVLEZKq7Is
uWxpbg23o0dlYcFrv5MWZRW6vTc2rvoc2PSoZpujTp9J9KjlrNyLIJP7Wnd5xygDyP0wtgxKBvpr
x2RNwHJgxDQ74VfxR3IRxZvj4aXYhPzPITAs/x6xHsttPE+4lrMsf31fA+safFSklwKM41+fd361
Dqza54ATVejS3iRj6s+Feb8AllG9WR5pWLP22nqE/6xMHzssNRMUmex2xuOHAnGhxipCsEssfu5l
cCrEQlb4u3Mzcnn5Y1Mz+LsWew0CJIbqlzAjPwHeAiOxPHaV9aRMRgsF+4v2s7e6VA/xzJb/11fg
l4M6DwPpEHySxdkEy8ZPF0CMbpUwYTiOLQVpDeeEzZrSBIRwczEEOeZ//Xm/+inXD/Td1YxFDsYv
6RB1R7EH854cnQC8zIYVs9lmfT0Cv+LBGojE3BU9z5rnBvrD+xasITx4h9TW1h75pRHB5nLfCOwf
DxN8lN88Eb+cs0PYjIGN4JU3hOvy0/XAZK49XG/ZMeS8fXCNpLlIoX/3Dv7SseBTaFSQDEfgIx7s
n86DKlNj7NVNdvQElatH4g+xTh7AZ1rDBLoX0A/mnMqdSez4/Nc3wF47BX9+xKgPaJ0Ha0LHr8mZ
s1WIsSs1vtVeJzGjZDRSRhyHr5WiLu0b7c53oeGGT7WYn4pwbr8b0tW7YR4hXQ0NaOl1seuGTVuq
wGFeIanlRNEdKX4RJSAZ+6ONrXg4GTGRH3/vuPz/fjXCyW//+3+9/YFNicedguXr8KeuM0sTLZK/
sNZkdf2tb4a3f/Gn/tGrDjDQBOvAibjHtSn3g7cm9P+2dp1xtxAXQ7PYc/7Zqw7/hvOE5wXWIjE5
PDf/7FU7OHJCMp1WqiUZXOQB/9Sb/qteNfEwa9Pnh0eTHFy8LoR4+RiZ18i/n5pcDo97RZyAealN
o0lbhYLDM7YoUGKUztYkdwUE1WYzOyP8s4mIDMTSaG8JAC/RmlRLVm9Qu/c3DCVF2NAtoAicllKI
J4tNudjq3vqC1ih5rCZUElniuZ9HBC83yIOHDws2vnifNTnxNA0l/E2i+YfR6E2hPBh5SvTbkNcX
smwXDm7A0rrB+WJotKIXEw08am7PHq5jjpj40Sli5V97mDDopEpPK4qPylnRceQ+1nY/kYrfmBsG
fPtlRgK4FP28dTrToUPiqBdOKRqhrsJ1clM4GXN/alRf7gvu7UfU5RVIaZuTNKbJOHu00plyOUUZ
E3VZPnonXFJoUpheffSEsk+9P6QHe8qhlFFnwxVbXTNtRrzYaNuH3M4+zYyUP3i5H+dH/hXnBgVn
XGESYDA+kKPTbThxO7vBMt6mArBfYOaVRoPkG9GCkHlHamnIMYAp8XZJ/dbdLZT/D5ZZujdj6E47
a1C+dVJh2DaXYQnjp6UK/I/Sd+NP3TDbwYn2omNs8166JZIH0bcRkI78eWRmuzNIMI0KShmuAX26
ltT6sxc25WWQPtdSVTrbMJmPMX7Ms76gA0qCyEhkuvMzb3lo60Rk5iEGhXUsLFTTQ4e52B40Rly9
1Fs/mMeU5Pc23wdzHB9FU9nPcnFQMS29sXwKS78UmyFhCz4KwwzKp6wjCucRewDV1U5R8k3GjiD4
sO8Ptspnsz8hzagJ381LN7Pekp7BMncOyotLsMau6kVkI7S5he2kd5MZ056i23DKxgVGQ+zt0AZz
0ikanUeZixpYNG2FjCIcaBQwWgWNbjjwDFwb0Tx8A5S1AaF/hv+pmFANu/YpUd2NuzJoFr1sIOne
inZpSRIBlTJBtPSLel97Rf9oGOn9RCWy6fiYPcduuIjj/GKZGhSan8X7eJw/mqAkgOeRUIHqNL+2
lWGepCsKOO6tfQ4xtW4KavJdb3BYrMSUnYUqm70OGvTA5byczJZX0/ZK+xGw12s9BKjxrcTfwKEz
OG3l476p/WE4Y+zLT32mv3RNV547YIyX1oPZviwVwcuoKyGDRb2Qai8WyfUxkPpXRh0lrREaHAHy
FFBR+s1FDECjD4F73EiGQiaaGdEhj2YOhwBUzckVfgJ5GBitDozKPw6ZAQ6syazNaLtxJLrc+sC3
zy+5OxvdJp4GeQJFq76hwpi3AUgSavdUHwEa0Rdl966TBeNa23Igcz+2TvkASvG6WDEtEmWu7MVP
mQeHxOzDs5/ohz5E1rFU9hal+S5BKQ2iI42CUTz2bXsI5ukmx7KAClNN+06WYN3iBTNyLJ48Ttwr
kKLfWlX5rRTIqOxaA8UDgPMxM8ibaC0rCgdkJUytWQSz4EZI+jh5ReY9qllrQ4aHuAfAVu+qqasj
Pxw1z5bE/s798A52X/WRkYbqGHTl18XHRou6PzwDUiKUuYOASwhxfpuGQ45kAmMvb4V1n6Tt/Qhw
xAj4UUtT306ByN/KdTUrVOxLeuu9cZHSFg+Z3XrnRg5pxA3r9pLUDM7f6TOUUhT79vQ9HSrrmPg9
R7+sLTfIQ0k3MuLwTDXm7HqW9fsBFM8GDXR4KnL/Ifa6ez0O5p5lIrg0uaH9CDja8Jl1RW3t0Y/H
jXSG/Da31Ri1QzEcTG7U3mxadesmbvrgTFN4003mw9IZA3Q5gEOJDRA1VHQSqj08CnB/ufTJZe0f
eqA/XKFVT2Dme+TpDl+vEW+pyJDUpuwOLcnRhUXQcD58Kumt7e1qiT/qQt9Io+2iCcrPo2/kjy5C
4U1pjG/9Ej57CR4J/Ek8x0riEytxadh6jxzq1Hj5IbTzmKvYilvbStqDDrqvNZCUndst/ZEgiU+S
mFUe4IKDaZWW48VttXmbWs6DCuW17NMnrwCzZKOGMBsxb1hpd7SCX0Wo+8gRblSsa6k0gg9B7xz6
LJ8eJm4drYORPDWW0eC1iBPruQS1sO0cn1fNEDTv/PGG4/YOhtKZ0dywd8fWvnRYcTbtKEEx4nBL
o2IugwPdjeWUNsNxkPBusrg4oCTKoiQk2i/DZ8FmVkZLHHLw4gyMyRKmwVd4XcMq+DOC23kxxX1a
rWI3v2tvcDEY0axHSI65m34h71VE2lbXKWvZE3T5aInxWONDCceFjTUPaT93w0e4s7eMfKqv41ST
eT0/535R7kZ+Dy3bpogIj8gu44ysl+PXXiAUsaME2uHthPQQnXLcyq1aUuviZm6ynw1n3vQqcV7i
RklwwRbEKqMboKoEBSvTWDn1h8QYOec3HXLUgX1N4oc8zo2bby3LkvtaSXW10Y1Gmf1/2Duz5caR
7lq/il8AHUgkxluAg0hR1CyV6gahmjAngMSMp/eH6r9t93EcO/4I35wTvqnoqC5KJAFk7tx7rW9Z
zC8HEzm/NF5TY9q2Z8TotRuEhu9cJwbUbwY9wHszacZ5Zy+lzQl0WfPhSeWGfwq6Yj3Po3y1Z7P5
BriLgK+4Inz1QEqk3BIfBSQ3265R9rLPWvuxD75XxvggUo/Oiz31T52jHiZlGFFbkEuzpMM9M+j3
TktNm92tz1jH3v0ONsqckUhpiH4v+Hg7C735V5ZX+2aiB/OZr0LvJxguJ5jz1j6vx/ToIlULfXK7
oqqw+bDd+BEkAIKU6Rt35OEUbwxOphDCif/LBW65G5zGCp1Ulp+17y3PdCHdsBj8D1k4TYTv03tD
UpftjNg1IwYH+QviWzOcJ3MjSkBskJJx0mxvDxEXLA+x7CD88xFT5gFvL9Fdta/yH40uvi2m4T0F
gRrfZTeSWzWkV0YtDu00tmwvbwRdmAzgX7Q22g4bU5e3tA1qxJCDTY2gkjthlTd9ERcRIn6EY0NQ
P/nonpHk++nwiD/Ov1k9t3031uCGWKL5ZWTWciD9MsiiAC/OBXfoj7bwv7M6l8wA3WBHiO7wmuXi
1lUyODYBfWRnMrI9bXU2CIgxu550zCh1LFNFRp1bV4WMMYLp215y0RGp1nfLpWLWcTPVYsb50n4v
E7DZJOBm+EKaUTyzQHbzXg6SDFK3n9LyaKukO9iVXbB5dYb6aL1A3qJYdg4lteDb1ileaB2W/tYs
W+RzlUrxTZWO+41cMvxf6xbjGaf0i0VJwTDwnVuMadDp0ell3nb2htVACEqnTFr3MQcVyXOrNI5p
tO67isqDQUU2JmlUxQIN960eJu9QVGPyTBxbr8UdhVZUIRPXwXqiXfOjjl332KIG3FV9w+gDJegp
VmSYrbMThGySR67a2cltgv8ymgxlXecowYevY2/TXV+bgRS7WBIWRvNcxy37X1HjAVdIOeOmDxtf
lDeyh8ad6pzOIjHhsZbXPM3la2YTT1I2rn+bpVV9m/coDAsveF7W9FCOBGCBDbGPpvg2lCkFU47M
Na/iV5HoKixbaxcbtmRC1gAEdDSd0jw+a3dRe68F06O47yrGPiGQDRHVhmqQMYw7n3holhOEnwTO
jJgsGF2vRfp1CsD2U+AfyAI3QnwPr7To6j3qoAalfnU7uUwEcuFXO44qNOV7A9VZ4jXsiWV9qmv7
KQC4esQb9L1Uwys8C4zHLkHKFecUq3dQV04KG1fT7xp7ITCrcfSdoYk216thvWHTJAarrKrXuSfz
i2wltrqFRJ1cEIonayb7RL4yEclrQstIHmegOB8w0gZRVsfZj0KLHYHEBJJi6t/PpRsuJnRBd/bj
V0+UF0YZ9lXbTFeHVv2i+EU6m3Z7ka91lBqFxSUd72eUlFB9hupV2zlZVAw/D0zQg70NCo2i2ydM
3sjLO8zQG96tqA7wJtqr68ffzE4DqSNk4phOxfzYLh4zwM4V0VJ6VD2CZqDZ5Fc1L8OV/m9U1cT2
rZ1mRGuby5Wu/NmAGU2vv5YYJccx9AJvuvjS+1Fz3sA9+GH562fSuEdPdMOFY+7Cl1EcpnI9xX4x
7lfDOJbpL8NvgSO7nXkRXd7ctIV+IMUCg2bK8pi2foRk2Tw0Dcfb0dLyiBf/aNWOCGWe36LhZAPN
Tcao/iv6Vcg62fo5e8P3eEi+1XXB/VPLx6G/8+r4tR5XomFnlXw1DAw0A8psJMJrlEjvsgb+F79h
EBUE9bFgcwyxI2NKR3hNNpUpLrbdPOZ47iKjy82oH4j6JEM8MZkf1RPlmfGAV270w6KaV7aEPObj
shO0oWk06QHAXnfS3MFfF53+lAWNQBlPS5hKq9N0wRkno5SvPso6h++YZaKCYWwBT5trWVLg1Qwe
4Q6ox6m3esDvc7vNeYtjnhmJjhoL81BUM2T8oGmY4XkfmbI6Tfs6DX55GvE6naiqC7QTqTragbIP
zbImt4zc3YNWw8uicUNC37oP/CF/UJkhfjlZN9yuaeaesfjqG6tcivOAqfRAjLd+sRVDBV9bn5zh
87tC2RzwE/Oe7vKI4rtOLnJmOjIANbmjG4v3cwVCKmuUFDmhfocRgsChDzwGiJisYqnUcVTS3iUz
Tt1qa83TMtoCzzCjK0kwkQ1/3m1yubfSMr53ERTA9Fm+4bQOcEF4qMVLvjGKWnLCQdfpfDkB9QQd
O41XUdWUFV3qsRcHX+lHZ7vW9+Qur9IxpNWnKIP0upsKfnwXMMXj2UkIsuN2rbDGWriy4Ogwfpnz
Q4pD/ETdePIqlUdlWY2HjQm0ZzUnlLFy1L5EN5HTzuUw5T8NuWEfOQrTcZFz/jEWARF7sW0Wd2zV
7EITp4Xr0gW3IMv8sAGourNIiScAt4oMdCBhLayW0Xln0jMts5uuIJFSa5JmER2bt33R9ueulr/a
FTt8wJx2O1tYa3YVrO57QuSrh1xzGesCY09QgLIoyykyJkOEbp31u6L1jdvJzh8yi3jtoq7uEtd7
q/2gO1Jft0D+uP27eT4oYR5J0xnRPTicZcCFbg5SfpQ/WGGW9T/Xunl06/5uacjv1Uu8W7EY0mXY
Ik2liipcDIxbUj4ePgncEZGZzqzKjhnfpMAM95hYHIqW5TzxpEbD5io1h5410hEa//v4bfTyb2iu
T77dPuAYm09Zt1g7jpC3LNFv8LYUBu15z1GLO1ksXtSPHfMlkZlXYjusoz9PtFFWNl27J2q7EU9M
oE9+PuzX0S0izKMq4KCzqvfWNmibTNPkH6xSvLB2PllLsvCJxn5f/A4E9idUUxwHe8OEu4Qxho7A
TsTZdE5RP5P5qL6pvg4e88TgQvrOsWU2jehLrq++sB+ILQCl0AgL65N56DsgyjbJmrDCasTXLr4p
kC9e/lLF6U9ftNdutW4L3/2Uwjo05WcvquPQ+7/05r8w/YxZMmGRJF0HuzZXkcibfMe04FfTg9kt
jeJr2hrpvmVWF21j/MIiC7VcfXolax4kO6XoBaRipWxBDpDX+YNOWaCjbtDuHDWoUu/xjVhng5q+
oRVO+sI0cigf20Xzj9jJG2aeYWA27V51s9K7tPdwRLi3DSABBCyRm88VhVhRDge6OAlhHwMhoavw
WnbopR1Qxqz6aDNsDkJgZvqUlW384LOq9WHdCe1UlMYtw9WZirx/MZgidofK73BMaKOYdCRFSqvN
5YywsHxYAyIVOxAtJkS+Iydu6DngNjMvA+Sub10xe0WPpiTo6Fj8OU75n+7X/7+kHLdpTv9Xnfj7
ovxM6+rvjfg/X/SPRnxg/0HQK9pvJo7MwJz/IBonSPePTajoOR5cBPFbOPsX5crb/s82sAGnj8Dw
H4JxKf8A8+pw8rZsQOcO/fl/ogkP4vjvPXhE4hJiIYEtvAOBCfj/GIDpsfDV7Ir2bPfGvJMcSPp0
7A+y6v1HJ2UqeHKQXCi0Cenq7AvtDhxXe4fusudadRfO6PFWVrgqyOKjgbRJvwxLW9769DvyB2Qg
+uuoM+/DWdEHpiKhkTvl1g7ZLHASZr7VGX8yzmcmX7t+zIEANK1RfyiEe3fjgqHtWC2CxXczFa6p
RbeENnHwMWZEC9z45pau3LeLS/N4HvyHhYHGzquz9AL4p7f30h2VilAY+tnn2BvpF0xpXXVT65qg
sabD9HzpHTPtMYeXlWlHg1lkdOJpMqPXuBJnAl7w4Lfl2lxr5v4dULsOLAlOMGREN33nSj3vKQ5N
ozor5It+SQctZkvcFQND76tvrfFAAnvJ99mG2VINE20SppHTbhhHyCIijYX5fQLrMK37Is0cjPWF
6hyUHSqvOWNWAwX3ErqDkipUPoSRaO4De1MfQjUHmujkjb3SMSeDu4k0yzX5HhSFQ73mP9Z4WTqn
iPoqWZzdCKUWkIRljwkRunOsryCmjJPJiezBJAIdHYchWdxsWohdqk4kI45wRhrruTBcpEWs1ms4
CjU9CtRtBzdolk+vyYs9lIkSMvmSkm/ftYfRr4qLxjt0rDu74rDRD8dCjS0jRFW7pMaXw8bNiLyB
Y1JVqXon3TS5J0mBJkpazjsI/sXO7h0ZomKs4UgG8aOupuodJ1SPSSumdliNsbkvc/eVbTt5RP/S
PbBBe49lU4wfaeXPuyQAyaObdH7kfqgPy1hnbyVGvQf0lcs7+gb4LdNAlzD2rHjHVuldg6CI35DK
yZs5dY17A4BPH3baCCjZtLzEblwyGjKydSc8XSBu384YXly6r60r1HO30AoM2bbgtjtowucoq7Q3
R0C315PSluti6KQTMQyqP00zi/5UkpBAnq68DdbNfyYYvb6wdiNH8RtmIruh0OUvMcEFCCUWuDlM
SBfbs4eRqk55+aCz1TvpyXnJW2/X5YONBpTi8yKWhhT3HAsgYh09jPcDkSi3Yp7rG9sOhrDPaWeF
Q9npx7R01Ztm5zqO1GPfJit9Fy2MgL70/TNXutoDgbEj2BEE7qFbeozdLj1T8+qXRMj1yyDXiqPV
NFvf81qbt8aqvDxsW0kOSDkHB3JJf45BG98Ix2z36VysXEEvx2DvD19MNy/fl2LN3uXUZw5gHL94
bw0VUJDyhLlGD8Qef+qe41V/gLFxiw/RpSWUlYh55XKvQHmep5nKNVRLkYN0UoFxLwjGpg1BDn3o
uGb2oOJ8Ps9GM2MFTwr0b4IiO3V81ERZb3Q7Wo8LRJ+hiaZ4IjMbbmboeQCgEzAwjdNN59okohOs
qvVm45G87w39mq36OW8M78fs1BxJTUgqUHom5qaR1az5i4eq6bYiUfhi9jbDibyLd16WnAK78+4g
V7Q8GkP3vJZ+uUPpWn93Byz5zbTWDzIO1m/IbRGDgI1jPFBNzW2SJ/ZrAq8ucltOR+FUtZRla5Dc
kcsxfPQUT6ouEwQTFSdTcGdrBEXvPGRN8tkRQPazpGcadWN7sQZmUY47zbt0HOQXKwXLIgGtU2JM
03LB3LyhJNyJM35v0bIt7NSEaDMbB10DD6XY8evHIu+2Dmcvgn05zOI6dtlmiI8zCA5pNeXzjZX2
81M92eiAi2SSz2Mf+9+KqTJAIWQDvlS/RBUJ82F5QjTrX3AIOJ9UVPVtgOibngBQLf6pia82YShM
oemnDJcm2/zT67oIo7t6gDWWMEH6uiN8kkNAl6WnuvJHxGELrn9DWPW1y3ADB5MDzsacAe776klM
7nJKEC3AiugSwHBxd3KKJsAOas8Xo7do1vmN/92utfOrNuwfWdNaF+GNXR8tLfH2ZQBwRKPjZC5V
3E1z6t8FsiguBPS4eZiv31PTQkFrQhSy5/m1NvUzBZwZ+QLorYqx42eDmx4ykk6OZrYGj63Q9d5w
rZSk+m7qsAvSmizGhMo+i6E6aPGetY59RJhpHnjev+ckgj21FtLLlK7OCwA+VpBUNyj2imqvdeyU
dw6a5giaznhXKySOIK+Z8rgVIypbiPqRO7faobeaHrKl1j/auaOmtxpRUvbY/ltC6MOZd7jsrKkh
qsJpnCYsC6d6qGKDNqGFYEio3orMzpzBy5jZxdBM+xB91sd+mIcdp5L+A2Fsuit9hIOjV3ztGcsj
hy8iXM3rhZFUgoYakOOD7SNfVIBQdnOVWqCD5+6XkGOxH8QyPOdEW+2Rc+t9nQBat32mH1Ib8XM2
iu7qml5/nAIJIqsj3mJMcknwN8pEJqpWxRBHp8ZpGm6ZNKaRo5g7mqDl2hnERjL5xQ9G1GLP2IHr
6vtfU7/8qYusO0mD7d70iFJrHf4rdrwAso3j3oxZDxIsL+3dmHEusfpMXNbGyL8TNoyfvEQ92TvK
CO2OgKG8L+XZ6vLs0PTE/Q4UJPuhLYMbadfdwZupvMi0cI4o3sbbrKo5/pUzcDNG8MbOBBTMUbQe
9xJE3ffemTKmm+VLBmMsGgirv5lGydjGuVvtqblRUOZCswmsQy2c763ZPA7o3EPEzXmEmvfIEm0g
qTBA0NGTSlH/E+O4UmGUprsvzPrqNfrR2xrrXXtcp4qo9QpQhpmqJzxexTmv1+QAzJuhTwBmBPOA
FdppesZSnhxiu7yTlWE8BUi1jqU7BDc2yibUnJghCvUANTc99BVjD0wIKnLL5ZGwW7EDx4TovqcD
1a+NQiJZ+5x5BnFUgO9YhD15b9CFCFnbvReQflCkaK+iohQ/2xhuswMcJswqdBdW1jhsZAX9MyUH
ArlE8D2rlnbvGdx+dCBv3HlUj65BsyroOfWNziAi2qbDaa50cJOrxAiTbPXPVb88EmD2Ffzg6+8D
wv/0Ken/Pxcu1llgtP93VdP15zf92RV/P0v9+aK/zlLOH8g2sdfa+P5Mx95+3j+AwYR7/YF3k0OT
zxlrUyf9BQy2t0MWek+yXWjDAodFf/eX/9b8Z45PzMv/fnzaAPMmgXo4As3ffPtNX/gfnF6lHAw2
+HS8yGoNxvRuLbRl0T+R0HMXdRk9HrKmQu1BLyMd6PbicSimF8fX7qlb+/i5rPx4DRVv/06L3L23
dOde5jxgf+9LA6RgV9Kns1joDlBPhi92V1VX7XttvhutYDgEvZ9drdln+I6sgwHGCLK1IUkhYmIs
rz0cMQpcsz2YlOUPRWGqhx7q+1OAbYM+Iyi5NxQy09k20LmEM4SWLyZUQsSoqWGFrV8HTyVRck/a
6t9ckA4nSE4zTW0veXDBAG3MFP00JzI+yIC3v8YAo4xJ9me20pVWrCyQVIl5b6c2wpCsaMuXgYHz
p+dVxIZ3dcz6vLpgZ9qme3A9N31voWQukVkTWieT0ToEqSeePadNn5zZzfejyfklNEw1X3QyWRe/
7V6rkgDyEAUaY217lGxHsllfVD8UMAvmb8UMTDhkI2F6bozZpWUtLJgDOd3XTK3Uey3X8LUs8urq
T2N6MPp0PesKiV6Ywq/flaPvRbmCSRLmmIIfrKDLb4wyuadpmh9QiGHgTx1aUBgCb8ypni5zqoYL
PBsknaJyARxV0/K89O1wKOaA8xjz+Xufac/NYrXqzmvN6WJ3armBkiU/c1vWZ+aW/TPK1XKmb2sU
e2U1DMd1inwK8OFwt4rWPLTCo+aLS/WIT0c+94vdfyDqK38tVme+WOOQ7dxiVvdV5xhXCWGSyqH/
wnfVLFE7q+ABy071RepsPAifdZed3NxPqliPk+kYaLH0/KOduu5esDRf8rmfI6wA+IJybpwkDIwg
+L4BwXTUaoFuwlilKiOCUwpI+Cp9VN1WErtB2+8Xwk3xidd0jOkkMOWyP0dr9G/VxmRBj9hcbU2l
MiiTliHADtJ/EtDQAmfqfiRi7tKQiUWgV+PfmCjUf7JO5w9sc4p7KlnvC47BDaaJ2PjOyAMoZ5x0
AoTSBGA69D1nuFWZ66HKZKfKOFOFMPHyXW6UzhemDea7Bjh9cYPC3Kd2N9xlXsNZq27a8RE6z/oB
QYtQDKNs5tvGyZIXeCrOvd/aofab5MhJXj1kZtc/WWNq7QtH9tgJxpW2oBDKCx3EJ6CAegRbbtdz
PO8Yu0/Y8t34xBwnPpGCpU/sYSAFEfUw94hnkFShq+PqjWWkeVhUCXwrac39OFTOPjMaSuCUo/hG
NiNYEQzoXqMLvK+SKrnXqW0BanTl1zIrA2wHDO7euzjFaDH7w/LsuoVMIiwLZMrmIr1xCKI/Dyut
EoJD8IBEIxzi8QBU2LzHcypIg3Kw7F0NJj5vnlAtXki3jiG3tS2kapU1626t6h8lplw/HNxqvpOr
R4mcFU4GBJHw77dk7PAH5OT5xTRlSViXmcgxy+SYyQ4zhTHqE7+ZH63SFO+6i9UQ0cvQTXso3dox
5zvBUHnOuHBJNczWQeMuqgKYkIvrJ+jqUPU/w/i2Fvc18aqmf+olIEOEWvg81XltLNR9Ue+jjWp2
9mgV07PO54TyPiniVKHDLM3Jea3GfCKywW8YXh7IMe7zH9CgG1FgFRVas3Gxuf1vHfDfqZu3buh/
XQdM/3L+qbufy9/kzX++7B+VgCf/oL50MVjbW0/1937/V3SA84fD36Ar3hIAaIP8eyUg/pAuuXKb
4h8hPgj8f6sEpA/aYzPb839Me0vS/GcqA3TWf68MtuwCfA+o7uF9ePZ/ChC2Wq2QADv6Bq5sJiOl
JYtgUuviFo8sXmNTt+Nz4nQxrYUsHU5jpvpHmlJjdSwYCxQMukaULWiks8iLB1wygwYA28ycVZEH
ZhTOncmcSklsgi2+3dmY8IOKVO6Q5cQvs6WcL64aP0uxwHssqxeyAJ3nvqjXx04HL3VDWFupmsIO
a6BaUOsEG7RGQ303TDZ0H58EpqeOAXfYN735JSgoT3AGZtaTUlNx7jTzIM7ZGZNJXji5nrFHUDVf
MQsxDTKEeIoxECOANYJfnaXRFdDnwsAxVqs+JWOOUpFAvOZTjiiL1qkLsB6Dn/39RRUrXqMtMIfr
n0UGJn6TYdbIIlno1T8yZSJcNq+G08rQMEJDzQs7Z+os1EnbCM6tgip4H/O1TSJV+uYXOp3rnduM
QUSbEUG3iaob+5M+wT/gtwufdCV0Vcuhy/qARMNaDizYgUZ3kWWwt6ZOkuCT+0O1w2tsfAwDOQR+
n1cbhV6KCwGogXmcHFG+LUXJZHdMBvFFg8VgTj6b/LSySud7vymNX2s6BdEs2/gMXzT9YdCUvDas
bsff74+Tvz5xZ2t0e/x5spg5cnzbqHqe66npYOpBHclQGJHmwHvDAWrsO7Dfe7XCew69PrMuiS/o
LYRDD+Pw4lpxmt7EpSDJgv1Hy0PqeMxp5SoZheUxAhJl1MV5tevTqO0edmQ+Doc+S5BGo4F2D6JZ
fJQ1BQTIgdPbFxojHARxwtHw3fokXedkuLxQq9eQF9+0IcvntNHLl7ZJu4uPpuklX0f/wLxfuzuW
ZEm3fEhuYben7+QISpopJBYZDRfbd3PGtUWP8XtEvBblK5WIs1ok7zjweMLCaZGOoY92N5nm+rGq
aTn6dhccy9KSvyYXvWgU66qqQ7qTc7pLLJqBhyA3+/RalDU/KxjK5uDW6ImsyJYjVzgcde1hPUyK
7ikGIgsFdioiiXkdRJgZ31VulSF5p1MA6CAQuPNTSbaDT+yzPxs1zs5N0DQTNuQfC2F2z31tf4EN
ivLDMd+VPy+YHseWUjNHErXux6K8qxJYpFEnXPcA2xIpsmc12wBCnRNCHpgrkxOKpKCsHzp3xT5r
SPcwLUv1ADRNnAcgqSHj8WRfMTPcBGf9HrDCek7ttijDwppkNJWOfJ2FizO0WhBx0VPjQaXlQVei
4MGwVMZNNTF+Uf04wyfvNzQVVtpomDoDmZXs7gbK+nuOF8UtJYvz0DsJUkImRL8ZViaI7arE9Osb
gX0hRjIbdtNsel/G1cjuYiGAv+s8J22mPumFS782oPUVUUXER4oaod6SSxcCMa/5XNuAh97IcYzd
AEBrn+kvwPSdRpHuh3REBE8HYX2dncWkbGlTMksBi65mU78ZrrMcrdbDKA3Av0Y6D/vG2Cv8cwDk
yh5dQapwoA4K5czEQiFo8U7mbnSBHk+kBj2m89q9B3x+ebLjdc5PQIG9bueuCQ3UGLG5sZA2ERa0
ipDNK5KVQ7MdhggDRC2YBzU60qWVvrheYnLsKRk9W7rKb8c+L6AA0vYIzdxCFSndBu51MM4Q4xOF
NbbC20ZfXGeLdarj1rvWcDdeCmItqnCwoDXSWc8RGamyh8/nr/pB+wUCXAVXB1be+mi51IRkzA7x
x++VpS36+FcwV8W5ZGa1s8QqkEFuT1EDCeR5Xlmj9EQsmGuYLKsQSkZWjYUdRteuOs4QBTf3uWXz
OEzWk3C2XwQYct7hZOGdlCNgv8mcxiZMJyNQV7bt5Yo2ql52dU20WDeo9Q4qofNnbt//lkv/bbnk
Csa2/0XbpNZ9+i/Rp67LTP29eUK1w0v/KpmcP2xMiARmuw4JSgyW/6154tt/gPHCJGbisWIMLZkD
/zWIdv9g8xHSd8i1s3jZv3dPGEbzTwnFxirmmAJT7T9TM3n/iZsDAM2S9FKYeIMvw0H+926KV8xt
xYA2B11K4C9+WyDLu7VLNhrnqDkJ9iN5OBiSvBTZJ7IU6JEWGEt4itx0kTUhtTiw6FfFvnbqpOWQ
Xgtk0M2oKjM0U9lhyAPGS8fGJspgQ0I4JWQbG6kWKE9o58g7JaXYNneYsG+zkJaULPR2iGkBx/2h
NghpY66x3uOBwOs8KWYMIrXsT8QW4krdQV+zVgmzvgHWVnO0APNquK/G9hIZY/IuOD0/WG0fvFE5
8Isn1qqMAbs/PxGeF7xVmZj/xE0zyWFMIJvZ0yByVFGfa6YjPkoer/vR+abAckA6CE1/BUdEoZGK
UGvOD0zp5IAbA7ZF2OCHAQxkJfrGRADwQu3rfHoWdI26NoYbOabyFejH/KAkEIpOmky5EZiIa2K1
fP7GS+K33CWxLmrxdsN2DJj7IFFeux9Af/kGlF1bLxkxoR8ybpn9zFLzz+xZ1LdV7TifS7J5wpk/
6htHkEwTTgiKH0yZAJ2NUVZEA+NfGDHBzKe2C36nX0jiY3KTz44/HsP4MJny6troWlXqpVdJosXF
H2OBwC1DHx1n40nWAYwExP5x6Bnb94mEDf5TNVeGu+O+5m/+vKClmSA9SMBjvFnDdoVRGcwPXNKu
+wIrYJkvU7MBXOYCAdzO7FC0PRoVbWVIEIx+uZdS/vS7slwjh8E3+df5ljOVwlaGsLzY4GQ9w0s2
WkblIL4HfUV/we1seSirlWJhnNZfaTzwTZijCt7AfD/1a+ccFujadsQADcccK+2jN9rUOwiADewz
lfWiyE//QBi63bUVN3qBrjk+MOjlJ62xxZ+wLnlv6XYT0Q+Cn+IiIqciHLkbaCxyZQPZEzlDsSWR
konBvis9r2eKl3TcfAZ0s108Wr9ZR8QueBhGkr3ZN+KaTi0PoRfMXOC6wdVJBycBOMXEVS1nhbou
i4qAPWtPtCr3m+CxvNRNQGnyG1tlQHmWWDgk7ztbB5hAVQFiR7IHxjg4Ku6YWAAznmebX6lWg2s3
bvfJEsxE+WyXyJe9PFXOAJRcdPywHvnIEdN1sPdsGMHLOAb7xgbRhEAwfvt9C2eGx/dbAFVChCCu
9Feaj9gdQfvIga9kwn3/MBMQ/1AB7gHWT48PYIQdvEkr4IvrSS+QUVP63DCDZwJaUS5//fuRoITM
jois+fJwTnCxTRYOjOTtB44VfdM6DakS7gDKyJ7qGEQcELCw6YCYhHkLo67U6AaQIS7QiSw/Qwvs
TGM4ZRUfx4T0lHUzF3RrTPI8mCY3mAG6Aq8TLhEk6bZ4GZk5HRcYLsxfLFOe4CmBngZFfVnbjc5N
rCo/ocZ5hT3A8DVaYq9L5UPejom3M4h+Zz0lR3Znlo134zKBPuD+Cy4Oc96dBM+rkd8WfF4502g9
rPDA0j3WJJ4wShve0CpZsSoL0PXT0s3NXZIPwT5b4GrJhWf5NybFVwUsKEDm/Bx0a/apKCgncqje
L6ZJUlMPWolvECfhU8ONjrczLdqPgnyZG1QQyTHuU+vFk9zzMASmmFSiXK/PHWZ7G4S6JU9y5QPP
xUaZMgKLCwXPWbzEJrrEc1J72FGlqsr0TLsPZSqZZMfBtgqgNhNXqcxi+7PLLJZmYqW5pyi8ucEX
d+Wy6g7ugEk+MYpiJcRLOyzQg5xlWnbwV1Dj0M3kfhFdH+x/s/InTuRuWLmtuGZ1IF6qSvB+8goM
zn4MtjsHaXu9nO0cyVJkJXH3IymAZGSpw92Ne/8FPEbwhthf5Lc4H/XNILbO/e973rZsXmT229jc
arf7fyAP/DpkY/CG6gtaHLFQ/IpxEm3/CESumA8mEKQy1F3v7zivbPdjsDCLR7USvBmoNhDY/l7S
8k5k1a7xYHBjevL1cMr9rgXW8Hva2nCWf7Bdni7iXoKcswFfryS37/cTV42+/TapfibuihFpevi9
stZ1CsNhIunqTWTom9+mJFmKd8QRrBOlva1SYgTSbiMl+ww2FQD88epRpIMFn179UOkcnHTTbJtB
a26bc7wR2AnwEddpdVjI6DXyBDMDboCxpKkS6b21pMsNy48kZQHKGiXEppahPHfrNbitVNfD9fDI
l+MryYLycc1pI5sZp/UIf0TyxlYKCKPnrHTGlM5TU2yyhppnEk0nSwyEscmizS9b7f6oVfVWJ0Kf
g3gewKsu/jRThyB/s2z/VAfbRoR7kDHtkjSYzBCn0Qo2Y57dUR50y3EG+2Z/dUxZ35LjmWCoTtLX
zGudMlxU/LUFDm1YdXvpgJlEmpgG08t5BsKhEpUx3fT9curSocGDGOjqX9k7j223rTQLv0q/ALwQ
DtKUmZe8OWuCJSsgp3OQn76/Q5e7pesqa3leA1fJsq5IgCDwh72/Hd2ZiWAhGnavFVuGpkGHZTA8
uYNuv8pKjJM2m6zX2Ssag+dEXTJ6Zv9fclfVyC2yhdnRmr0NrLBhxOHZaPp8RbeHp1Zka6D45cGy
WkD1qWjYpovc2eWVPaBYJQ7F7JEXu3jm8UT548y+qmrQSM8edopDyGUp1zFSWRhCfhICUxHLbTB1
/pXKQh5zsKQOKeIcGqvRehbWUF8bplfdpkseXKHN4uq1yHjwkqDexkHW0Eo17IKz3GedPw1MwkkF
gUpjuNNn8BYZ0Q3ls8iw1ZyLVon7NscAa3Rg+QDmy3AXDM7wXc0y/D0J6GPVSBDawkW2bfEDIuuf
JV6/jE3O0A6beeqwjjGZxjUu2Br1UMeuA5lk8zXny/uadUG1W4BO8hxPTYLMxudQ+/zz1Jd7Pxo/
QZJbu2nm/x630/yQuHO1sXAD7ZwclRROG3mvTE4rpnBv607l9CXr7ScDc/7KYvNyHaTJcl8uM4ES
fl8SboOkPiIc8sysRGyRvT21YY9tQHpURltVtvV1h+xvk+O6WYMVaLYxdcNVX0oLBYI0Dm5Yq2Me
9uJcO6hROGkV44iWxtBjGjS1bbA1cKkhmPcMjNJlfscqE01lcGWgKbrlITBT8qE3jwPDOxZosO5j
TDAO+sSDbSi5Z8ZOzTrjl56Q5hzQ1JBukM7Gu2KrsckaGV4vmXvfp5iiO1g/D3Du0P6QMf9sg4E/
E6ZcYCmDHJVgDZHe791ALuomsu3lqpuqFtdHV7+RDcbKj40/Op+MFLonW0YBIZOOcWNiA4d6afmb
PBCwMjEzZchcoFz5/mcjL98mQ49ILIyDdOZS7Qw8/2AmfLSXaC36vYl8YO0C+IPtlCJecAseRKT9
HtEnfW0S8r3tzhrXVmPqNA3M/DNStM+RRAK+IcZheqMi3lJdSyrB1Kw2MwCrLbIi7wnslnXDnV+W
27S2mGiktn8w1eTs8fHOG2XP+J9HrJtnlsU+0acO8LueGwnLQuQgrvmAebKwtjFCp5laHGNJ9pBG
FssiKytFcfAXNcRfufnHuySz280CbA/j2YA2NCZ4TK5qVrV7IMQGNyaZeocA8NSLkSu0X7MX2R5j
JyvZYCqgA0lQTQC9vU4V34vU6cYXzG/FcfEwhGFRJD6CCGtmMyb/mvnpjjQ283mMp4BLHKSgMK5S
Vxd+3EjLNPwCWyQ+x215w/hIvWrf+amUwbWH3nXNwyt6LHub2eKoPLnCVRmxQ27bGUeq1/TmscyZ
+V0ZrbXY+NXx+LJwdvp2ZKdkUDlhtXKi2wgIMdXsUNOGuGkdvEdEI8kDGZhjM3P7ns0QNp8lF2fv
ZyhZUOoVYB4A/BnmyGDdNXvnPUhKnroa7uBhBdXJUczI3PLUmpLfz2tKro3pIpDm6rFDuXV7atBE
JlRb1ag07nIQPJvSlnyqK9NapocZX9ITtWgBWHOkLA8N6rMfOv5/A+R2dG/8A0wFUSj9vIDX7wVM
9C4ahx+VCP5gNlDh2uTQeDEPzJjZUNGvQhLm/ImbtKOqxwbTjTjONU/RzeTUKr8ahD089GIIUTYP
Y/himkzpVuLymLY6qmojpaaLxUI1kcYs8IoIbC9bT1rPKoQatzGQu/Kk9OWEB4c5xdc/auS0HKeH
ftFNSTU30wMKQxSXDOSnO/1Y+ZxW5F9Wi2KUtcJFS0H296fD/sv65ULcF55FGyO8v4SEE3LWpvPg
G3snITUCM9pSJVdBryuvauLdcx2GZ6ABg/FY2Qu9HJIz3tac9svjFHqcrdixKJbc5YIpFvySk8X/
TjivYhgeVLiO3XB8I3ar6dyPoFcPdUxDTpAyRvptjCX0sMwlr+7aaAtYxc8D/k7qk69/f7B/wZpp
9b7PP+z2TdSwvlap/KBCGcI4NRwjKPDAD6xVwnnqFQyRvKHUgZHMITcl3JFJtZ9x+84PbceEoU3o
wNN6kg9l1f7i9P81QoKr0XSEow0MsH0u7/iHd2S4rbH0PO3ZmbAyWnkGBNuOQdKLYjDDSYDVypmz
yc4RcNKPjaaEE8Mqi71FpjjEGtXozol25O9PlbYz/PwtYQelY6dtABFMmz7YHfokKtKmS7NDVIdc
vWXNSup1EUuv3gQq7RY7dEjRXlduwRYCjMOvwrf/zWcFlcni6ypgPvIuPiiGxsSz6sXu4oM7kS+6
iiqyhTY9WnX7BjlrEtOTRc0+ddIkhnkTLRVjWxXdxFVnPQVmb92IOqf5+senhX2p45p0tx6B7B8u
IJRyEdN4ER8qQ2M+0b2zU4cbGNK4wEdlpUSD0JcLPYQxxM3737+61l99/FR4eU//Q6dqiQ8gqIqs
rb4ikvLgzgUTg8xq54bCrA3KjA8kmV04EM4YOE+5HxlHS3eplSgE43XRNvat8GZm0isokXFy6PSg
qWljGPcqcmn1K6Qef5yu/06ifzWJZjDLc+c/T6LvvlWVmovhc5X+PIf+4wf/nEOL38gLCywf94xe
jweMqP+1ug/M31wNqmMVb3vMk/WN5V9zaFI0+C2PYcefPqr/392Hv3H7Y7JtMadmpkT+wD8wRdne
X5h5vhYVkO9hC98iC+fDd7QoHbWUjTkfXL/KZ5ip8IJABozOjQ23nNQGOyNLvCxTWe7GzmvDFaW1
PCJJtszd0kpYTklhYnZvVQfgM0HLaKxYufUYrL80yOBvR715wtlkbkRKl7kCkcVqqjSUop6ZwZ9C
UMLL4CjLIOEddjyDkUinQWXJsteS9hfmN/Jq1nswHoEm8tZleY5szYoSTJy38rI8Y7zaPjLvZKVm
XtZr1mXTdlm65ZcFXH1ZxiGkyjfoagidSapDCmvjGwv8+Muo93gTP/PmznXWY9tiz5dcVn6oBVj/
8UhCtNTrrWCt94Pc0orToHeGaQ2Wd9B7REtvFCMTbfCq1nvGQG8cMz/OhrWr95CT3kgaejcJUABW
cthErKX07jKQnGbLgNqiV2HmVQU6cVvpfaetN5/Eiobs59mGjktY3nV6QwpMvbwn8a2+y/T+FKYL
q1RUaNUVK5FmnelNaz4m/o4wC7Nby6C8rnwAu9vZ91jPyhznxrqiVUZF0p171rjKjbtHS2FR3gcy
Ys1rM5xsaD3Y/sKycF6mIrd3We8Ee0Y9GWviJYquuUunm9kxcXDVrMNcd1APiKaCDDo9ud2OMZrf
leFVW1FaD/5wV4ZFtVEkFO1FbN6Jvk9rfO+2ox8K/bu28zwzdJpuB5W5hK55W0Pjol20gUx9u3Lv
VFNxxSMtOodNVt2j8xPXubBfU7xDG2pWwl+J5QBvFEePgFtbgEBueRhR25m11QHYyrIHYpXN295Q
/iZiDHuMPVgAGVHXcEWwGPSkFkRLXaZwW+rokIWRu0PrlX+nxvxiRaGxqwUTamQThfXARR6vsE63
qFwt2GoF3DgrcMdNzhNx41Xufc3Vtrb88FSbRIqVQettjES9wV0l6GuCx5DY5FgDNuNdqoSchj6m
Je6t9KpgAv/GQyw+NkXSPrhF01zPVMZAiRQNppHMW2lNA3Mmya5gaLluuGxHEP2zvW8IRlj1UC03
mSnw1zXwZ7bsKinSx07Hq6WijveeKOfYeg6iYkp3KrRGB6yGtQgPdPeYxEnwMHpQK5r1bMAMeLTt
3B0fXTDVrli5zBusF0twLWxNN0tPnjT9e6ZRUfI6iaUEwmAR97Aj5JTKCFLOzOsDvwZQZL+GmMHM
VQFGA9Jb5LA5ElZtuG9T6FTZcaz1bL7A2sfRMMwU1V7SZg6PQ5qKEW1P2uPPIGsqc8BTkeb7nued
BHu3DHnl6zRCsPJzgxF8Myh74s7Wp3H8XsJq1sQOgns3uVGXXJ5k15nbif05owkrnTj8gFhPpLBZ
FQTk7DodofRzF4h3cNBj98X/I7iecxT2oL36rr5KYQky8qmivHP4Py/Kj5mJw7taJXjbo6cq7z10
vq1DELbdSTx4TG6n7eXx898n9S+e1LqUo4j7z0/ql2+SG0/3o77uXz/z50Pa+o3SnacpIKs/HsX/
95BGeieo601utLSaP+ND3d/4DRuhPNU1u2Gtwv9Tam//BugTPZzAvWzxTfD/yUNaP4J/KORtklEs
4lV4h7yIgB39c8vDN6ZfaPDdA2gRBofEM6+yGDb1D+fk7o+/78dArY/tQuCBzGUtHgYOtFSwpz+/
StRDOHMAxR/6rCK5cABMvQqmqAZsOLA18mhdigVoywbdw6+q4o94VLb0GNY8E3Ayp83nZP/84oRC
scbNg/AQQzclkl1CDh0mi9d1TdLsKAI+x2HZhCtVpc5GLXP6bTKYqG096TmbQlp4RHu2Ht0QFAyt
jfaqz+vkVgUZi6SsINCvmyVppHGM5E/50UPpFePm70/gvz0IoMd0qAgiuZA+nEFTQjxGexceGFXZ
20nUy6402AOlzImfW+5R68jKWUkaJVovy2TZN4akvLC9Z+TZpeF051U2u2qF+N4caE5giBBiHeTF
cQpJMA1YeDyVad+xPl06aDU6L/Tvj4FL9sdL7fI5BD7pbEEQYMe/EJZ/6GVZ3KK280FrpU5D4CvF
xWoa5Lz361/hwD/2QfoTD1BZkN7mBpqZ/fMn7mJkKxuLV7rkXLNb5MPzgvYK9Gx7T9hx+Ys2/cOX
6HJkOnpO6KUmnIMPbZ9tqarCjcnrxam8546iVksP1fkfnz+BrASmcADj3PnY3YWS20UxGsFBEi2w
h7X5vXHC9JCr4OnvX+jSvf9wU9DH49qIzBFCcl/4y00hY/BFnIsXHGxETsfFJ+g4Cblm5pkPbi4d
dP9WQp3JNjh/AHAdnJvCw2qeEf6boFo6la7b3stZ7+q8gVDlBoDKsBoQEh7igpTZuiADNuXafGaH
Ws1rJugwCuNsZLJ6CXOeGgFmJsCgpmxPvY7ekh7+/iD/QKb/dJS0QKC8qVd9eubQ1aOvH67HCIhM
nyxyOhCHQM/ApO+ISEMd4U3mu5pR7spz6u9o0IyNm2OI5eLNDkWZ9WS/Nx3x0FLeNOBrWHBXzqb1
KopdO09v3HAWn3xiCF7d1qOEGu1HKyzBckom0muJ+f3JNvNwlwBehtWQTM9JXNmbKk7nPTgFKxvi
T9zO8oPXue5t3NsuLsm6PvF0SQ5lEyHOi730gEEbqhyQsi2qGWuvnDp4wqqaHTODIVmFjwRQQBx9
SXjwrElNiI+iWYbbhql4uxoWX5wpFgs8fthBm8EWa6Dq/ZpVO9SxzoIXkEN3eOlUtS7aigTccjZu
3bCZv87AEFZBkXQ6kMbZu5HIFIQBnKbgd6g+/UWAvHDMp6ZX5SvU1/w7RipSDXMzZC4fygStwliz
aoKKPr357LY3fmkjawlD4nRnHCRoGL1br8iJUA9SBJpOmY63fVe1v1fggT+bLdjUiR1qEuXfjNwI
rkE8Gtgd03hr+PKqLBFDFtA4cPiHx2kwqhtsFuzbJ2osAsZhqxl+tUcWedbnc1MXWbN2woDmsh7B
2pbOu4vmA/FNYh5jxENnETXzs1HkiHqxuSw3Vm8gKICBTAQ4zxc01KMDUCwMjv0inM8Sb/9dxnmq
jp3Z07/6iqGL2IHj4IoYiELuW8f5XJOvtMsTG51AM2G2qe1KPlez6qFw4ftk5aW5SXV8GOd+lyTO
vR2VPcupZjh2bMDBsiHw0mamr47kM5ee1dzPsrhOSZeCzzTkyKcLskqiXGIl7whBM80rYEwoZmIB
ZC6c4scqi6+h/31Kptk8JF1nPkTWQkqe9F7nLv9sl1W1GaXK1kbmIYdhr71zpLTO/tSPqI/JPAeI
hrkKIdKqz9h2kxCNdojRPLeonu2ORlyJrJ5OBiyTfQ4ggWo/iN4Bms28mSmiQ8nFOsm1iprNwMDF
NYz+hsdQzrCc4Bt6hZTZXuzZe6lg4roLNDwiD8y1nNz5czYqkzWY8gNm5G4AQcDOmtuFfojblLLa
0zxb4pjQ2B0sJzUPfs3XxTNmmrlV2NpL3m9RMCfEkMFZW7oEEq2ZVV/kIOK3DDXNV89X85szyPGq
DILhmA9ApZneiTMWYGjIMCzXbmQOx97i+2XMOSqtYp5jB6mqryzUVKG/tBuLCLRtacYlrJdlehaD
We0c006OhHcRkF3UYp3N5EiwjUn3ltdW5xQHAJZGOh2cTxBdoJI2GzLM2quwoRH16n7eGx45wa0i
iT3Khvn70MmxvjHnmGiahqJgGUhEljqKvcG9vUljnhzWQpKvbfbN1hxGe8sRyytfZyiP7KJQ+BKf
gVhbvS7hKG5tvqg3c4pId0PEEVp4Ewf1NyjEUKELcwEHnskvic+eDBSY/5LQrUCK9lnTmNQXRGUn
t2jnqU50FH1dsxr04jDj3aHHaungkBpPppc/FLFo3zLIwJvcXMZNalAXGi786iK3nCP9PAHzrEFf
6o6I9DaF1L4YiXkoMjbameQgSVrDmQCw7GpBvn2YZ6e5cZIFcLci1B7FFJQYdLvYqGpIs6EcOHIg
NbehiczB7R3W1h2WTxyzMYFMTQQpUSz8jB0W6hUZoruG5Mw7QQ1o4lTrOCTDI+esgydCwEOeuVsn
TNxbixsDfHeV7pvOXg7w9Yp16IPqpFZx103khSvqSEnGH9er5STzd2rg4SVlB7Z1aru9ypgLYs9y
hb23zLLdA2shOIX+9GHmBRgcFzx5F+KxeNtz4n5ip4Y5P/KS7sH02VREzMcepMnSUmJtezMJ0VN4
Tvb+0NZ7BVh7XFEvOid3Mvddy03BYviCCLwF55e0EwtCGsmhyJJd7UQJkpz+yYo046Xr0pWbjy6E
ePNORlU4AJMk/k02RF7tOf1+/kXCHkjOkv05joPZ7VZsmsFKdMSlb6TDbvkcEurYcGedFSstFgzJ
zTRewpMuj/f/Nqy/bFgRN/1QCf0loRnQPtmNP4+VHffyQ392rO5vNlkHxLhQP+upMrPjP8fKULPI
bEWwiAmFyvpHeTMxGZBnqRpNMmWpHnGU/8naQvnMBgs5Mdf0H8rnfzBW9vXr/9xI8PIOLatHW+xi
hdTl+A+FWzCgsCBOzKJnxdCJE6oOeLKh7lmquT2no7OdEP7MVYAEqNdqIO51RJRphRDboP7GqTEQ
cAdwdq5P5MpW4j+7S7S+CNt28VRX6IZWtOXHNuqeSKhEkDT37WfM0LlMYU3K+BkFSPVidxium3Lk
OTPYhvzqQtA91QmFP+Jh93NlArxaT7ZyPzsNVd9Kdw8vnVcb32DHTc888Mrpm44X8rOrVInxJqn9
rYQlH8RTdjKzvMHLNETV0+iImJ4sNqC59p1tWdylawOCnctAe0mqYdsEPNR9CteVKtNWbHzbmW4s
ORUbmSfBpyIvAvuk6GA5LbVtH6xpjEGEWWRo5h6OY3YF9TbCveXuMESLVaTy30W5VCceGIzsgkVs
XETFbzJThPtZkaDM45ZYRM74ArV2fkCibFFhKp5dBLY2d4B3TH8/aYG4SQH2zm2bRziTzOfEVAmg
CpAfkI+H1n9pVDqQPepNrMkWuTCZm7IIhUAUaiE21WRn3wJzZalouOhAZRuIz30jtNa5GJt3EYsA
yzGyP1zy+ixzs4tXiDitpzBnvIMgndY2RuzCYBzmJIpOp6AbkVrKqhwHlo/fKYSzDm6NchvQPaLK
TUIW0IZsUSaOZC2dLGwpOIH0LwvGjgziG8YDq7an80O5WmrJnzPn6Ikqem+8cQjU3a5E8y0CtHpu
7wXnbtDZpkVC2iyMUsTFQZ0jcKg6NNQUlEx6ZaAlF6GWpdqWy2GATEz3wCzJSp26EJmmFvo1E3qs
vegCma4wvy+nsAJitZpLpOJ2jD1tnYmFA/L1ScFAyYKvyxfEm0Yw8wZGCETxlr0BZ7ccIiTi9CoR
WQnwF3mkYF3cBGznxSbw8XbdRIMWjKouMuNj1wys4eM6674i+wDZA3Fq0Tdz/tqEarbYE3+GNAAo
yUA0Ac4Y/oMIKv56WPP8OmC2sKzQM3AG5TjxO0vL8OciaZ2otlHDKiZA7CdIuTCQ32HXtM074Nbe
+fKKZFugoRgMVMJ0U1ybLSbkdJ2RyfQyyhwxiSNcdLlitIdlT6EqPpvU4UjW4gm2oymJosXKQyKK
O5GvmGauuL8IbnOnBdLHvpiIPR3L56xbW8vyY6fgsGYqvzNLb++V7I3ZeLm8y6Cgyz8UMxTvtWO5
vFm38bjKDBZvN6EkxgDGj0LhqryRzxked7s8Er/OEKou9EeKCkGfE51+ctPNoeY16eBaPJ7qJpy1
0uMPdThgS1LUai3mppFM9/5YcIciNEEeRGla805rZL4vi1aMZ56hryng6vUqdo2g3Nf9MNYn3yK9
Z500+YT0Iu/GTRdSnqjFGx9MbVsY8A++O1xpDpuM3iIwJalKixQQohC6gI6kcYMZBYYBOlvZSFj6
soqRokvla2hQdMrCOXzhw/SSjd4JPmTJ3KGYlqp5xxiiIgAP9gS7KnT22RiUuwXH8docYi1h69SX
TOcSAQ3ia1GExfQYeCD6fFtyYdtylBwMJ+DsMSfg6Eod9bXULoqnbpQFHPKwAqLFKRuWw0SrfxjJ
bfvSNhkjMauqCdwS0YjixoZ9e4yJkj06lT6/hF5GLxKj89nr2xoXn12Ot6Plii10DJtusiNv0iaY
C0AwI7ijM2kcXxEkyRpOQHxfWU31UAwYvoiRKLJ65dPOPYf14u8Myulvwi+dq0h26SEbAutr4frL
SxD3k7+DkEgujPTSbw70pKfedWfMchWUOEaK6zo1npF8yBd6e7Wp8KIBWw3Rt8PqQu6IR+Js0czy
e1MFu5w07ArD3DdEsmS2OGAQTyyJEEYOmT8LfDeR8w7VTZ06WMHI8Zg606jK/JrgG3fjIm6ibpw6
Cr80WvyzG7c30pPlN+zhidguAS3rappbHArdFNwwhHpAO2tP7GUsR67zYFDWuUBO0d7T/SZH5rtM
S71ptyAR3ag2b67HvsLeafTRXTVI7iazD0rJaPoHq6renHiEWdGFagEC0afOuckr036OGqd+AbAv
H4tR3CXu0KIA03qXWGGKxhv/SAQOuc2gsYLbVgQmG9eCriZOzLfYHqeTiIKnJba91x6iwb6GLyf3
7ljVId8PcmkOg5yIzXPGA4Eq+Gca+04pMkO9skncbWEmJj6ABSRj1HbmvUrqejvZpBcVmbRWWPgk
cSMDidZbPJCVuWExNX6Kmqks1pbo3WxHQm1fHqB4Fv3asASRGU5br4PJ7J4wIQXvqR2aikchaOqe
4E6E8EZzHDyHqxqDx6eJx/sJJmR/09nmp1EG7XXDdLpD0Do1Hk7GqDtjaQVgw1DycQ4NcZqnzLon
r6n7PsAV/DSHcd1+njqzGO5TKBgoYYhhPsZFXqFel2/2vET3SWJFm9zLGY8E1nQeOnbFBcvoAc3i
Va8c45bUOm+LVD5m4uCX34punM7tkmbbyJ3te2Skw3uQetEmLhPvLmxC95bZAPSyvErKdgVrqLnx
jSi/xo1gVxsWoMa9yGt344ueKKey8FeD8KarRpXVJybQYu3WzXPUN+ZVbsqXjkfiFhGmC5fRfLfs
+JiRrn42Zle8jWNMQCkhqHJtRcraRmTMnEiJiG8dhg/XvS8PQc/IJ/ftjnWZRXvt180kzmPSCY4w
oL9LhFPAhrb7joefgT2KSwWSwLkkzghgufUaZcJfxYVXrqRNk84Iid57KoqN1QxcB3YjoDHS1sVO
GC0b+liPLR2P8F0oHBOttt0490EsPLwJsnusJXz9lazIzcTFwsZ4mRDOdnDlJKHWTR8/e2ZrnSrA
n6g/J/SmDDXAE5XlY0ooCCRsyo+dXVnpZrJJmdo25mTgUPfcdjWrJLkrJ5zpbC3nJxP0wWlWjvnK
bpMbFBDQa+5AAypxQH6brgzvnY5E4KbqE/7VFs0J/FKLuLoshvVcqXHLVhLLbUIYxlUvsv4+TT0a
ucg74tlHbEzs+DPWrsjDGd2/JH3CwKRkGuJaYFDjaYifhyZsV76aINO3yrnymnI6TGaM1yZMgh3T
Rj6HTmYjho/ShHQU+L2HbpzYWL4JZcdieXJRkyGfpPBKQqw8flnsmxGoXhNy4AMsyscoq/2dIm42
Y8BijQeSk6Cza2RLEEEAn6SFcNKrwDJkCZqQOVYn8nwEA5pk7k+TFCRv2fbk7PiZ6ZpQ2yRY+9xv
vmZt731n1Dlu09xzlwMRTsWXxvdx1cgw2ha6tGpKRXzwMDM7EkDi10yIPcgybbPNyGJeB33QX48N
lO4IabZ2r+sALB8Ud1YONws+SOeZ51t+3VWFkwxrlBvg1jtQFyp364e+nGLvoYAoiwzdCOUKJzRl
QTWK33PLNuNdCCOQL5BJLZh7Vo6/cXoEUzGdqxwRzNyTbL7OVBCRGz2M1zZLfu68sxODchhAxi4O
w1vyod5j1DkPSzSC/izjZNcCjzq7ynVvWmKf0UK2rbHpa7e/IpWiO01Iy/ZBlU53ltupp2Qsr9qx
PTXBMm3a0Aagg0vui8fdcj90rbyyBjfayzh4oVAbd4xkNoMvxT0jq6JYEUufo2SZyri4AmpEYGka
LqD0UK032ZpdAdkjpe0tD71jNr9PeVkAuwLPREQVnqSVU/WcECdaznkvjfLLPEzqzgjn5RYQu0y3
cZO6/e9B1zCQnqvcX8m0F5G9RyXkGMeI8Io2cfyH2ipeG/w4yYlgHj86O5X5uRvD5noC2gNkiGvh
iI4x4nPO5pysoizxH+CLoXFJMYaEckT1UkV3tfaMaGO7RPHqNuProh0lwpFB7N/FdtPe8fQ7Etil
3Sc/dPL/Zs36cQ/FDgrtMk174ApE+OLD3os0EJvBs1kfXAaANB1pRpnYW1g1j3//Qvov+nF1cnkh
BGI8EVBh2h+3kYGkmG8LXqhIGMfTp5blluk8tRofg7aCadtxjCaWUGtuuL/QOf711dntBSEaNgF2
G9HXz/1/Y8z4uWYQvDJr7CdvHBlsolKmlCCBt4ak7a28zqceNMaSCv7vD91CVPfh2ANT2OS+2Shq
0dd9OMmETBpRHUl4ysTFg0UYY+yfft5iLM0UHRR7cA5+IAP4BCCMcsUkG4MeoIr9ghX0ZP1iW/dx
2Rmajsta3dLZpCD9Pr6fOBz72Y5pZnwpxXF0GD+4KW6/ZcbcHErrl2vcj3vc0NRedddGMGDig3c/
bDvh6M2IllV9qAA9nruEfg2GPpeB0aFrtev+C6I9IW7iIejJSGCJHs1rBHhJeZ25GYa3ixieAbeQ
t6XUZm8Sc5oraVvhy5DgAiSQjStJLFVErV566quJLylkiiO65dH2tAO8nbAjpH1Pb0GU2efaHcbu
EVKZq3ZLZ+H4WVcemupPRGoCSI2CiS49jnDrpk6sHWk8Jp5KH3v0WMzqqw5s+B4A7np0wpg2rmsV
f54NdvNuYqmc4MCgpNIPTJOumgnv/YKaTAFDoVvcB9CIDjN/UN4KbKLeXmLam7bKCrAZ6wHIxcp4
uQr/O9781XiTk84X7j/rcV6/qe5//u2M84+f/HPG6SOi8Tyk0mCB2aXrQeafM077N8+1kdd4CGiF
yRT0/6Wz5m+IV8jhDnz0PGAwufT/nHH6vyHJ8fTOnO+HTdjYP1HleMHHL1ngaBUuInuEs5fc4Z/v
cfEs6PGzODmqEnteHVQukZl2o05ErIpNIfQ0K+8d64EvFpOfGI5KOhHepMufPJEGxTlZujsJe+kx
DPgzoVOELylGvT22mZiEI11R0RK1O8SH1FmTLrkU3R+pdVkf6WpDUJWFDFGBN+WutxlC1kP4sadD
C824wvHEEG2OJeyaIH62KoUnaHBltA69DPvR+GJdKkMBTu556YZlzSExqhgMc9PpWjLWVSXJ2BSY
k641u8ig7FyMCC0i7mfGZWBn0In4VKi1cZ9GTaY25L2MB0kfdb2Mc7WadHW76Do30xUvW1pnx0gi
0WxJr12Fiz5yBjFqa5ce5itdO5MGQTWcgIx5jBPX3TEqRdCq+M+4hK1TaKXPNe3JKg6oygMxo42h
cDNadJsxvQh6zFR0jzmzhbuotpz76FLm15eSH+gMvp8iMJZN2EchyMQBl5vuEzz6wA3vOd84ihZH
1MQ12obv03c7r32eNweLpsPX3YfVJ7cxt6NuYxPnVWx81sxr4Y5iVRXxIlh9ygFXbOV1q8AjjCoq
u0OId/hZKNZxqyZdrK1BzBVr15n2SCoIZkC7+zOg6ENHE5XqbqrXfRU7vZeoms2rcJTPRA+IdTib
1SeU1/OVlVAqAjxKkD+QuWp1LrLFOH5QAo8i9VtdXONRbG+KS5sXAubyV+B+PCQLyrvLHSNCieoP
75GM7Pu5rbOtG3vTeV6ab92lmYQr5G2jNo3vFjq6qymkZso8PJC6D0VQAr3Zoq3sK264ltO9xaqu
GKr6+TG5NLPjpbGdLk2uJBfxkzm2/XeynK17Wnj3pIVsj7knsg3cxZ5qVrXEScJN62CFlPKayeKn
EfjDjdHA/rJH85uoSpQbY63WhDC1x0F35YXuzzHgks1Tyjl4Z6HQPy1GDzhtiIqt1yIjWS+XVt+8
tP1kVEPvLKpx/MSotzbhyMGO3yqjVWgg9Oxg4VPeuj6O2FSjPe8HPWXI9byhaVl9kHY6R/cD4whA
aO+LCt9hlbEad0JWFWZJ4KWXNuFasK+W+0GPNmiovFdW8094Xr6ZYOmBnulRCOs48+AWuIJukwJ2
PowXZqWJZx9i7owP/A1sDRyV3Kg2PSGSGY+khpcIezyRTOs+VqN9rS5jmSCCXsAKtHkvL2MbqSc4
0lS7TM90Bj3dkXrOM18mPnr20zMEosdKQBXowZANnqE89OQThvREc3aiRSXzIlVM3VcTgtZr5TrR
1nfq5JgQY7htG80n8yF3W9glX4UsZ3fVLYSc+8YhJkdlnwc0ApFnGzs3wiwdmvO4q4iwo/Ms8reJ
efymzNrxFEBsFVUHGRMgCb2CEvkKs6x7j6yfMHAvZ1I9EkIYDOgQMrBqV1nuLJua8mI/CAVAzSrj
a9LQsDb22bI8Ufq6R5f5+zWzHANTPkON4tSzyN+UhcJykwLe3pK0Xu6y5uTN0xt+B29TS2UfpyVa
ti5/6kRsVX1tFU7LWlUYkyQ6rbVNdtGu4x9zD86b97/cnVlz01oWhf8KxbtTmoeu4lZ1PCROSIDA
beC+uIRtJFnzZA2//n6SbYicELjI1Z1qvUGS4+OtM66911p6mryTzVT+QJ2bM9Y0/AQcVXRKio+b
+mLBQVSHW+t5n7FgQo2s0strUnRU76Vbcj4YFuJLgA+LqpvpTCJ5cl4121u/seuvVD6htbLVdUTs
bBgFuhsXpGuypbLQkokGvxyPPi0UJxGVAvNFUPvjiFPva9cv/mJjQUIt9/GKbdA4xqsgGjWoG5Yl
hUaBmy8RLZF95ET07LUSLHD9sMX3NiwWzBEC4dolTT1OQ2Nz4esjlBkb5HKQQjmHzWLASohqJHhG
20spDYW5UJOCX6BfNNdKpZqSXxSutZwqAsguxiyLBQk3JtG8rkLdBZzz7xZaU4/1zNYvytjE9nuR
ul8Lty5aXrIBEhqz9pbi1p9QxZfME1NETndje8lEqOS3qRjhClpJkIeZojdObLu3rkD6z4PuP64b
z5yokiteUVG4mJVFcl0FQTIVmipbAS1WYzuI4dH6Poi5TDlMUyjOPG3MLwbwzdxW8QUwIV4UXvkl
CJRiKoi1iIkJ2w1WBnMjzezLogTMDhbG7ZZSOmqv5Fs5kNCQLLbquxLhnlmKVYNdb+4KIRu9K53N
24q4Xi0qVWI2+rdotjazChcgtkYXGi7ld5k2Uxsu3ApCIiF37QK2BhmbPyEwcsUuiOtdQvm6dtVs
8hryKTT6CEpII6aIwLcV67kg15Svo79CLbsWGg3ivgszbt4HrmCOPpVdBbwLht5MqMtoMf2uSB4P
F99XpjrH8foStd/3qo7HMSX0DUeZDFuE261HVo0SNnB/aUN251zAQHhdR2KlngtFk7yR0GR0JjFS
JR/luKg+YqpZXen5RrwukjC7SOpRmY+3gV5pY5Q+t1cUkpQs/X5IDLhJXNaUak3FgBUTZ2HNqjfG
ZsJ5Ditl/Gplkhl6cGc0hXsVCDiRIY86Rfi8nNWSYa/w/xpdZDlcnKw2EpzZE5HCp3yDXknI8uol
MgHyapJRCNDZ/1GwPZ3oG2p10tjLOHQEsnLppg3eo0KjFtS7FSJifZiRl7g0xzJ+c0XgTHOkeUW8
OOqC8hh2LmGmQtvGtbp2DISwdeyCGo/MXZ0hSwULPdsW8w60Qht6RKVigqGNsBAKrApkxXwjqiMt
H0d5k7gzBB4RVDHMBtUNuYC8guzx5wx1CUjLG2HzznDS5A7hCAreTK3GBJfbEybWC/zTDUG7bESn
ArPzqi2KX3Wqc/FJ6/yjb5rmZAGV43WwMQL1HPfx+lMju8pMy9QLOYf7cu5C/q9bjErm790F/Bt5
S6qtpZeP3MyeytUouFVqjXQWJ6AENjc6ZnMISMJHTEw2CBZDZYGoImNPEddKSMLJy4Wxm+b5Jxbv
ZioTpGsSvF8UHCWY2KoQnPNGgWZ8D2CABKrnTMsc5vl5WqjSOIfNhMqy5gRvQqS6KQTynGKaq85N
rJYxyoBB/rpE4GCONgaS3iEabu8yPy28Kd7Orb+vlk5NXhrEZ5xjJ36o1KtqYTh/mZy5/5RqTb9e
KE5I9gSqNEIjHM0mGH/b5k0gqOjM1PqnHC7cx5raHOqfVGXmjygakipVmKeA8BjgbTbaZxmRkXIM
IsjVVsZaMvAl88anjHAtjRbkRxJXtFhP3Su3HGGykSjapy1i7PUYHR19MYOp7VAwKTSw1im4oZA7
l+9A9eSpqpV4NsAOnXqKa16AMBZTtdpurxt9W+IcaZd3mU6N4CYsAQtVTHgi1CasGpJ9AuU7wnXZ
jRAKjcWYq7e0zSFjVcidLPIEoxUHs/atoK8kCsxfk8xvbo2kid/HJVZuY9bzzVcy7dkHMxT8T7Yo
+DY4+8a8ooJjcUXCBtvVeJHMdMbrtZDY2ju5yctxSZ3ZXGpQdBw10FZFXYmnNQwzzv74a6jqgowk
yR+PpTkIZ6WGWwU6c+G8EoDcY6RwPkCClmcjIZ3mcQKNzk4RDW0h100LvrJIbCHigr9H+hYDSIRl
bmSqO3DFBbj1Wgi37tBcrwV2oxbi9Tqw1+WMgsVZwgEKKNjpUGEMjgCIW6h4m0flCt1u8OO4hZK3
HapctgDz/9f9fw9ktNVH0zB3sfgo1ml9t0aBJ88OxT/tT99G6DF/iH7vl55u6AV6qHzyTxAF+ONt
gVEPUeg61fX4qTawyHTzYrV+9VJB9dEAE6XOmuWPBzTBR5xw/2MonjB1W21to5Vq5KPuhedHAXj6
u+0i+fTv9Pq+jIowb9+A7UbhfbaS1Gp3/8q3P2rh+7eXzTMVDFJv8cDuIZz3v71pwmUCz5CpFeie
3Qf+92NgrQIq6vH8Td1l3osB2Ckw769E4aiN71GAVg0WDSgqU7XRPkdR0NUzECiBQ/Y+CuC4/5OR
cPQNdpNkvnr1klTF8CigJg8wZsB23r1rqgDvjwVSUmjKG9AudvF+RoMAcS5p906W1b/sdfRtdfoH
CwFTAS0KOGYSdYntA0DY+/qiSAHlvgbymb1+EaU3ujtoEkjGGTooiObs10Hz6PUb0pli6DJ5I4SI
2me38j6nUYDuzy8uiEcT6d5SwGovQyiSNeHRSWAgs4DyJcUzzzYKEA92O9WAuaAiaowjrgATr3uO
5oKhnYG7U2msgJq3z7MbC7wgxu+gCSHrZ1RRk2cQcYRvH5a9/oJg4kMMA008HB2e265AclEZvDfq
Z0rHtCNv0j1Q7XpR6HYFDTCyqx/vovS89kbS3A/yTv/4lCiciZwQ26z17jmeEOYZHwMHhRrH3fPc
xoLOtj50QmAPQ85IbVPo3XM8IQRMZ1pJJ+3ZLQcSrJjBiyIHhLZEQ5X3W8ODm4LGTUGVDX2/av6D
Y9Iv7KLfrl5jx/VX3aXLXWeP3c1+9AuHK8fDn++vG7uT5HfhoO4X2zvY7rO/38n+6O2f3ZXo3g8P
V6T7f77/gg8/+tFOHf7z0l2nFhw0SmDb6+C+m7dWwMXt3771xep7zkNgYeR978mrl71+3hv+P2n4
yH9RFBTkkQa3ixF11PcmEE2FUTm8Yc8KMys7tNS+RgA/ht/QlseW736N0iPK0W5vHdw2dfKptYoO
vWx7vVukhrcchutl7i6L3k0R/JcZO7Txydq3SitdH1pqu22gZnf496OQxbdzyFPj7nC7fRF9fUFl
XBF86TO9KBM6wSiEt5m6K+vQ3W6s7G4PQyNzsY6gp/VbZqPgRD605Usi7rqHdrou4zTKdja04fnK
cnoDcI8oDW4XL4gwcvszcncMGdx0uHKto1WkpfqdIBhR2X95SL5w2Bva4euHa5MmSieYL9f0rFh6
9aGL3bhoD6KH//j9qfg6gnP+IMwmV9/hbd8g7NpbPVo5oBP0+cZCFdQKV4cetuGQBK7sh//4/XDc
WFlmLZ0iW+d5b0xLSBidIiTu0nFtq49tkjI+wQy/cdkLsijvjWyJG9sJJgyiz9Ta43AT99Ym2H0t
djR03rStR0V63PRJOo7q1dEaQkGsYQ7v9FPu1T9G9H9pe7xdb63+vrU/1A8N9O26fHFpBXHmuP1t
nfbNE8yetv0fO3kOjkr54mZducveNgZJscUDTxGZz3BXDi11S8oObx/c9E/9uoYGpvuAieUdz324
8Sc4krxx3H7EUVM+wSL+xvM5kfRvNRJI3AkW2TfpGquP3qvcJQ2Gvsq3PxG8Hfgi75xotX4xzx7s
bbrWqiUM7f37qPiBcRwizOIJXunuAx4OxLb5E9xHPhD9dZate0cKeYcBD43Nh3XVv1XKdPoEF9Y/
c8s5vLl2Tdmnb4Z29wk9x4Fj8NGi9L3wxsCmP1rsO6FNrXQvIjvkdmhEflpRP7TzbraM0MPp932X
hhnc9xod3dDuRQXJ7J9uyI8hTd+y9g/xp0M2/rE/64Nr7W8s/bWV/vE3AAAA//8=</cx:binary>
              </cx:geoCache>
            </cx:geography>
          </cx:layoutPr>
        </cx:series>
      </cx:plotAreaRegion>
    </cx:plotArea>
    <cx:legend pos="r" align="ctr" overlay="0">
      <cx:spPr>
        <a:noFill/>
        <a:ln>
          <a:noFill/>
        </a:ln>
      </cx:spPr>
      <cx:txPr>
        <a:bodyPr spcFirstLastPara="1" vertOverflow="ellipsis" horzOverflow="overflow" wrap="square" lIns="0" tIns="0" rIns="0" bIns="0" anchor="ctr" anchorCtr="1"/>
        <a:lstStyle/>
        <a:p>
          <a:pPr algn="ctr" rtl="0">
            <a:defRPr sz="1200" baseline="0"/>
          </a:pPr>
          <a:endParaRPr lang="en-US" sz="12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3.xml"/><Relationship Id="rId21" Type="http://schemas.openxmlformats.org/officeDocument/2006/relationships/image" Target="../media/image14.svg"/><Relationship Id="rId7" Type="http://schemas.openxmlformats.org/officeDocument/2006/relationships/chart" Target="../charts/chart1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4.svg"/><Relationship Id="rId24" Type="http://schemas.openxmlformats.org/officeDocument/2006/relationships/image" Target="../media/image15.png"/><Relationship Id="rId5" Type="http://schemas.openxmlformats.org/officeDocument/2006/relationships/chart" Target="../charts/chart15.xml"/><Relationship Id="rId15" Type="http://schemas.openxmlformats.org/officeDocument/2006/relationships/image" Target="../media/image8.svg"/><Relationship Id="rId23" Type="http://schemas.microsoft.com/office/2014/relationships/chartEx" Target="../charts/chartEx4.xml"/><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4.xml"/><Relationship Id="rId9" Type="http://schemas.openxmlformats.org/officeDocument/2006/relationships/image" Target="../media/image2.svg"/><Relationship Id="rId14" Type="http://schemas.openxmlformats.org/officeDocument/2006/relationships/image" Target="../media/image7.png"/><Relationship Id="rId22" Type="http://schemas.microsoft.com/office/2014/relationships/chartEx" Target="../charts/chartEx3.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xdr:col>
      <xdr:colOff>582083</xdr:colOff>
      <xdr:row>4</xdr:row>
      <xdr:rowOff>81844</xdr:rowOff>
    </xdr:from>
    <xdr:to>
      <xdr:col>11</xdr:col>
      <xdr:colOff>299861</xdr:colOff>
      <xdr:row>19</xdr:row>
      <xdr:rowOff>73378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582083</xdr:colOff>
      <xdr:row>4</xdr:row>
      <xdr:rowOff>81844</xdr:rowOff>
    </xdr:from>
    <xdr:to>
      <xdr:col>11</xdr:col>
      <xdr:colOff>299861</xdr:colOff>
      <xdr:row>19</xdr:row>
      <xdr:rowOff>73378</xdr:rowOff>
    </xdr:to>
    <xdr:graphicFrame macro="">
      <xdr:nvGraphicFramePr>
        <xdr:cNvPr id="2" name="Chart 1">
          <a:extLst>
            <a:ext uri="{FF2B5EF4-FFF2-40B4-BE49-F238E27FC236}">
              <a16:creationId xmlns:a16="http://schemas.microsoft.com/office/drawing/2014/main" id="{BC9E4A68-E6B7-41EC-A3B1-34D7C0F8A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3527</xdr:colOff>
      <xdr:row>4</xdr:row>
      <xdr:rowOff>103011</xdr:rowOff>
    </xdr:from>
    <xdr:to>
      <xdr:col>11</xdr:col>
      <xdr:colOff>328083</xdr:colOff>
      <xdr:row>19</xdr:row>
      <xdr:rowOff>94545</xdr:rowOff>
    </xdr:to>
    <xdr:graphicFrame macro="">
      <xdr:nvGraphicFramePr>
        <xdr:cNvPr id="2" name="Chart 1">
          <a:extLst>
            <a:ext uri="{FF2B5EF4-FFF2-40B4-BE49-F238E27FC236}">
              <a16:creationId xmlns:a16="http://schemas.microsoft.com/office/drawing/2014/main" id="{DA59BF07-E878-4F05-8AE2-87DC22C4D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458609</xdr:colOff>
      <xdr:row>4</xdr:row>
      <xdr:rowOff>124176</xdr:rowOff>
    </xdr:from>
    <xdr:to>
      <xdr:col>14</xdr:col>
      <xdr:colOff>303389</xdr:colOff>
      <xdr:row>18</xdr:row>
      <xdr:rowOff>63500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472723</xdr:colOff>
      <xdr:row>5</xdr:row>
      <xdr:rowOff>4232</xdr:rowOff>
    </xdr:from>
    <xdr:to>
      <xdr:col>14</xdr:col>
      <xdr:colOff>571500</xdr:colOff>
      <xdr:row>18</xdr:row>
      <xdr:rowOff>77611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472723</xdr:colOff>
      <xdr:row>5</xdr:row>
      <xdr:rowOff>4232</xdr:rowOff>
    </xdr:from>
    <xdr:to>
      <xdr:col>14</xdr:col>
      <xdr:colOff>571500</xdr:colOff>
      <xdr:row>18</xdr:row>
      <xdr:rowOff>77611</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472723</xdr:colOff>
      <xdr:row>5</xdr:row>
      <xdr:rowOff>4232</xdr:rowOff>
    </xdr:from>
    <xdr:to>
      <xdr:col>14</xdr:col>
      <xdr:colOff>571500</xdr:colOff>
      <xdr:row>18</xdr:row>
      <xdr:rowOff>77611</xdr:rowOff>
    </xdr:to>
    <xdr:graphicFrame macro="">
      <xdr:nvGraphicFramePr>
        <xdr:cNvPr id="2" name="Chart 1">
          <a:extLst>
            <a:ext uri="{FF2B5EF4-FFF2-40B4-BE49-F238E27FC236}">
              <a16:creationId xmlns:a16="http://schemas.microsoft.com/office/drawing/2014/main" id="{DD44DDD5-65F1-4EFD-9FE2-227FBC0C9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218722</xdr:colOff>
      <xdr:row>3</xdr:row>
      <xdr:rowOff>148871</xdr:rowOff>
    </xdr:from>
    <xdr:to>
      <xdr:col>13</xdr:col>
      <xdr:colOff>352778</xdr:colOff>
      <xdr:row>17</xdr:row>
      <xdr:rowOff>63500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D6F2118-D27E-A9E7-C677-90E43FF972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1197" y="720371"/>
              <a:ext cx="4401256" cy="25816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204612</xdr:colOff>
      <xdr:row>6</xdr:row>
      <xdr:rowOff>71261</xdr:rowOff>
    </xdr:from>
    <xdr:to>
      <xdr:col>12</xdr:col>
      <xdr:colOff>529167</xdr:colOff>
      <xdr:row>21</xdr:row>
      <xdr:rowOff>62795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AD2D1A-193E-E00D-DB6A-FAD99F8C5D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7487" y="1214261"/>
              <a:ext cx="4591755" cy="28490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529874</xdr:colOff>
      <xdr:row>7</xdr:row>
      <xdr:rowOff>120650</xdr:rowOff>
    </xdr:from>
    <xdr:to>
      <xdr:col>11</xdr:col>
      <xdr:colOff>171450</xdr:colOff>
      <xdr:row>17</xdr:row>
      <xdr:rowOff>114300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508000</xdr:colOff>
      <xdr:row>4</xdr:row>
      <xdr:rowOff>138287</xdr:rowOff>
    </xdr:from>
    <xdr:to>
      <xdr:col>13</xdr:col>
      <xdr:colOff>599722</xdr:colOff>
      <xdr:row>22</xdr:row>
      <xdr:rowOff>35277</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486834</xdr:colOff>
      <xdr:row>4</xdr:row>
      <xdr:rowOff>145343</xdr:rowOff>
    </xdr:from>
    <xdr:to>
      <xdr:col>13</xdr:col>
      <xdr:colOff>578556</xdr:colOff>
      <xdr:row>22</xdr:row>
      <xdr:rowOff>42333</xdr:rowOff>
    </xdr:to>
    <xdr:graphicFrame macro="">
      <xdr:nvGraphicFramePr>
        <xdr:cNvPr id="2" name="Chart 1">
          <a:extLst>
            <a:ext uri="{FF2B5EF4-FFF2-40B4-BE49-F238E27FC236}">
              <a16:creationId xmlns:a16="http://schemas.microsoft.com/office/drawing/2014/main" id="{4F748A43-9940-4E85-A6AB-214BFD0EB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172357</xdr:colOff>
      <xdr:row>6</xdr:row>
      <xdr:rowOff>54429</xdr:rowOff>
    </xdr:from>
    <xdr:to>
      <xdr:col>24</xdr:col>
      <xdr:colOff>536158</xdr:colOff>
      <xdr:row>15</xdr:row>
      <xdr:rowOff>136071</xdr:rowOff>
    </xdr:to>
    <xdr:sp macro="" textlink="">
      <xdr:nvSpPr>
        <xdr:cNvPr id="21" name="Rectangle: Rounded Corners 20">
          <a:extLst>
            <a:ext uri="{FF2B5EF4-FFF2-40B4-BE49-F238E27FC236}">
              <a16:creationId xmlns:a16="http://schemas.microsoft.com/office/drawing/2014/main" id="{DA9F5404-5375-EF22-4764-B164E3F769CF}"/>
            </a:ext>
          </a:extLst>
        </xdr:cNvPr>
        <xdr:cNvSpPr/>
      </xdr:nvSpPr>
      <xdr:spPr>
        <a:xfrm>
          <a:off x="9289143" y="1143000"/>
          <a:ext cx="5833872" cy="1714500"/>
        </a:xfrm>
        <a:prstGeom prst="roundRect">
          <a:avLst>
            <a:gd name="adj" fmla="val 70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25401</xdr:colOff>
      <xdr:row>0</xdr:row>
      <xdr:rowOff>25400</xdr:rowOff>
    </xdr:from>
    <xdr:to>
      <xdr:col>27</xdr:col>
      <xdr:colOff>317500</xdr:colOff>
      <xdr:row>2</xdr:row>
      <xdr:rowOff>36286</xdr:rowOff>
    </xdr:to>
    <xdr:sp macro="" textlink="">
      <xdr:nvSpPr>
        <xdr:cNvPr id="3" name="Rectangle: Rounded Corners 2">
          <a:extLst>
            <a:ext uri="{FF2B5EF4-FFF2-40B4-BE49-F238E27FC236}">
              <a16:creationId xmlns:a16="http://schemas.microsoft.com/office/drawing/2014/main" id="{4FA21FDB-5A53-C5B1-5C69-2CAEEAAB652B}"/>
            </a:ext>
          </a:extLst>
        </xdr:cNvPr>
        <xdr:cNvSpPr/>
      </xdr:nvSpPr>
      <xdr:spPr>
        <a:xfrm>
          <a:off x="25401" y="25400"/>
          <a:ext cx="16702313" cy="3737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500" b="1">
            <a:solidFill>
              <a:schemeClr val="accent5">
                <a:lumMod val="50000"/>
              </a:schemeClr>
            </a:solidFill>
            <a:latin typeface="Arial Narrow" panose="020B0606020202030204" pitchFamily="34" charset="0"/>
            <a:ea typeface="Segoe UI Black" panose="020B0A02040204020203" pitchFamily="34" charset="0"/>
          </a:endParaRPr>
        </a:p>
      </xdr:txBody>
    </xdr:sp>
    <xdr:clientData/>
  </xdr:twoCellAnchor>
  <xdr:twoCellAnchor>
    <xdr:from>
      <xdr:col>0</xdr:col>
      <xdr:colOff>54654</xdr:colOff>
      <xdr:row>6</xdr:row>
      <xdr:rowOff>54428</xdr:rowOff>
    </xdr:from>
    <xdr:to>
      <xdr:col>15</xdr:col>
      <xdr:colOff>136070</xdr:colOff>
      <xdr:row>15</xdr:row>
      <xdr:rowOff>126999</xdr:rowOff>
    </xdr:to>
    <xdr:graphicFrame macro="">
      <xdr:nvGraphicFramePr>
        <xdr:cNvPr id="5" name="Chart 4">
          <a:extLst>
            <a:ext uri="{FF2B5EF4-FFF2-40B4-BE49-F238E27FC236}">
              <a16:creationId xmlns:a16="http://schemas.microsoft.com/office/drawing/2014/main" id="{CD8844CB-C1C8-4E82-8D71-CDB437458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65768</xdr:colOff>
      <xdr:row>16</xdr:row>
      <xdr:rowOff>18142</xdr:rowOff>
    </xdr:from>
    <xdr:to>
      <xdr:col>7</xdr:col>
      <xdr:colOff>272143</xdr:colOff>
      <xdr:row>28</xdr:row>
      <xdr:rowOff>99785</xdr:rowOff>
    </xdr:to>
    <xdr:graphicFrame macro="">
      <xdr:nvGraphicFramePr>
        <xdr:cNvPr id="11" name="Chart 10">
          <a:extLst>
            <a:ext uri="{FF2B5EF4-FFF2-40B4-BE49-F238E27FC236}">
              <a16:creationId xmlns:a16="http://schemas.microsoft.com/office/drawing/2014/main" id="{99B27861-B3C2-416F-858B-981E6F203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94999</xdr:colOff>
      <xdr:row>28</xdr:row>
      <xdr:rowOff>172357</xdr:rowOff>
    </xdr:from>
    <xdr:to>
      <xdr:col>8</xdr:col>
      <xdr:colOff>344714</xdr:colOff>
      <xdr:row>43</xdr:row>
      <xdr:rowOff>163286</xdr:rowOff>
    </xdr:to>
    <xdr:graphicFrame macro="">
      <xdr:nvGraphicFramePr>
        <xdr:cNvPr id="13" name="Chart 12">
          <a:extLst>
            <a:ext uri="{FF2B5EF4-FFF2-40B4-BE49-F238E27FC236}">
              <a16:creationId xmlns:a16="http://schemas.microsoft.com/office/drawing/2014/main" id="{0B7EE6BD-CB3E-4226-A146-5A02CD25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317500</xdr:colOff>
      <xdr:row>16</xdr:row>
      <xdr:rowOff>0</xdr:rowOff>
    </xdr:from>
    <xdr:to>
      <xdr:col>15</xdr:col>
      <xdr:colOff>489857</xdr:colOff>
      <xdr:row>28</xdr:row>
      <xdr:rowOff>99785</xdr:rowOff>
    </xdr:to>
    <xdr:graphicFrame macro="">
      <xdr:nvGraphicFramePr>
        <xdr:cNvPr id="14" name="Chart 13">
          <a:extLst>
            <a:ext uri="{FF2B5EF4-FFF2-40B4-BE49-F238E27FC236}">
              <a16:creationId xmlns:a16="http://schemas.microsoft.com/office/drawing/2014/main" id="{B83D1C22-EE22-4C04-AABB-A4AE4D1D7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544285</xdr:colOff>
      <xdr:row>16</xdr:row>
      <xdr:rowOff>27214</xdr:rowOff>
    </xdr:from>
    <xdr:to>
      <xdr:col>24</xdr:col>
      <xdr:colOff>544286</xdr:colOff>
      <xdr:row>28</xdr:row>
      <xdr:rowOff>81641</xdr:rowOff>
    </xdr:to>
    <xdr:graphicFrame macro="">
      <xdr:nvGraphicFramePr>
        <xdr:cNvPr id="16" name="Chart 15">
          <a:extLst>
            <a:ext uri="{FF2B5EF4-FFF2-40B4-BE49-F238E27FC236}">
              <a16:creationId xmlns:a16="http://schemas.microsoft.com/office/drawing/2014/main" id="{AA1B2F63-A505-4E64-A6C5-51B31614F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172357</xdr:colOff>
      <xdr:row>28</xdr:row>
      <xdr:rowOff>127000</xdr:rowOff>
    </xdr:from>
    <xdr:to>
      <xdr:col>24</xdr:col>
      <xdr:colOff>535214</xdr:colOff>
      <xdr:row>44</xdr:row>
      <xdr:rowOff>0</xdr:rowOff>
    </xdr:to>
    <xdr:graphicFrame macro="">
      <xdr:nvGraphicFramePr>
        <xdr:cNvPr id="19" name="Chart 18">
          <a:extLst>
            <a:ext uri="{FF2B5EF4-FFF2-40B4-BE49-F238E27FC236}">
              <a16:creationId xmlns:a16="http://schemas.microsoft.com/office/drawing/2014/main" id="{7EF0F3E0-18E2-42DA-8C1B-9B1A61DD9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408213</xdr:colOff>
      <xdr:row>28</xdr:row>
      <xdr:rowOff>172357</xdr:rowOff>
    </xdr:from>
    <xdr:to>
      <xdr:col>15</xdr:col>
      <xdr:colOff>126999</xdr:colOff>
      <xdr:row>44</xdr:row>
      <xdr:rowOff>0</xdr:rowOff>
    </xdr:to>
    <xdr:graphicFrame macro="">
      <xdr:nvGraphicFramePr>
        <xdr:cNvPr id="4" name="Chart 3">
          <a:extLst>
            <a:ext uri="{FF2B5EF4-FFF2-40B4-BE49-F238E27FC236}">
              <a16:creationId xmlns:a16="http://schemas.microsoft.com/office/drawing/2014/main" id="{6028A0EB-166B-40C3-9376-0D805ED7D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45357</xdr:colOff>
      <xdr:row>2</xdr:row>
      <xdr:rowOff>45359</xdr:rowOff>
    </xdr:from>
    <xdr:to>
      <xdr:col>3</xdr:col>
      <xdr:colOff>315976</xdr:colOff>
      <xdr:row>6</xdr:row>
      <xdr:rowOff>27216</xdr:rowOff>
    </xdr:to>
    <xdr:sp macro="" textlink="">
      <xdr:nvSpPr>
        <xdr:cNvPr id="6" name="Rectangle: Rounded Corners 5">
          <a:extLst>
            <a:ext uri="{FF2B5EF4-FFF2-40B4-BE49-F238E27FC236}">
              <a16:creationId xmlns:a16="http://schemas.microsoft.com/office/drawing/2014/main" id="{C91D004E-8DC9-E0CF-3277-35E61E2D5101}"/>
            </a:ext>
          </a:extLst>
        </xdr:cNvPr>
        <xdr:cNvSpPr/>
      </xdr:nvSpPr>
      <xdr:spPr>
        <a:xfrm>
          <a:off x="45357" y="408216"/>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b="0" baseline="0">
              <a:solidFill>
                <a:schemeClr val="accent5">
                  <a:lumMod val="50000"/>
                </a:schemeClr>
              </a:solidFill>
              <a:latin typeface="Arial Narrow" panose="020B0606020202030204" pitchFamily="34" charset="0"/>
              <a:ea typeface="Segoe UI Black" panose="020B0A02040204020203" pitchFamily="34" charset="0"/>
            </a:rPr>
            <a:t>City with Highest Shipping Revenue  </a:t>
          </a:r>
        </a:p>
        <a:p>
          <a:pPr algn="l"/>
          <a:r>
            <a:rPr lang="en-US" sz="1100" b="0" baseline="0">
              <a:solidFill>
                <a:schemeClr val="accent5">
                  <a:lumMod val="50000"/>
                </a:schemeClr>
              </a:solidFill>
              <a:latin typeface="Arial Narrow" panose="020B0606020202030204" pitchFamily="34" charset="0"/>
              <a:ea typeface="Segoe UI Black" panose="020B0A02040204020203" pitchFamily="34" charset="0"/>
            </a:rPr>
            <a:t>                </a:t>
          </a:r>
          <a:r>
            <a:rPr lang="en-US" sz="1400" b="1" baseline="0">
              <a:solidFill>
                <a:schemeClr val="accent5">
                  <a:lumMod val="50000"/>
                </a:schemeClr>
              </a:solidFill>
              <a:latin typeface="Arial Narrow" panose="020B0606020202030204" pitchFamily="34" charset="0"/>
              <a:ea typeface="Segoe UI Black" panose="020B0A02040204020203" pitchFamily="34" charset="0"/>
            </a:rPr>
            <a:t>NEW YORK</a:t>
          </a:r>
          <a:endParaRPr lang="en-US" sz="1400" b="1">
            <a:solidFill>
              <a:schemeClr val="accent5">
                <a:lumMod val="50000"/>
              </a:schemeClr>
            </a:solidFill>
            <a:latin typeface="Arial Narrow" panose="020B0606020202030204" pitchFamily="34" charset="0"/>
            <a:ea typeface="Segoe UI Black" panose="020B0A02040204020203" pitchFamily="34" charset="0"/>
          </a:endParaRPr>
        </a:p>
      </xdr:txBody>
    </xdr:sp>
    <xdr:clientData/>
  </xdr:twoCellAnchor>
  <xdr:twoCellAnchor>
    <xdr:from>
      <xdr:col>3</xdr:col>
      <xdr:colOff>379186</xdr:colOff>
      <xdr:row>2</xdr:row>
      <xdr:rowOff>52616</xdr:rowOff>
    </xdr:from>
    <xdr:to>
      <xdr:col>7</xdr:col>
      <xdr:colOff>42019</xdr:colOff>
      <xdr:row>6</xdr:row>
      <xdr:rowOff>27215</xdr:rowOff>
    </xdr:to>
    <xdr:sp macro="" textlink="">
      <xdr:nvSpPr>
        <xdr:cNvPr id="7" name="Rectangle: Rounded Corners 6">
          <a:extLst>
            <a:ext uri="{FF2B5EF4-FFF2-40B4-BE49-F238E27FC236}">
              <a16:creationId xmlns:a16="http://schemas.microsoft.com/office/drawing/2014/main" id="{B86B1B75-97D8-C120-BAC4-6C8A0D2BDDBE}"/>
            </a:ext>
          </a:extLst>
        </xdr:cNvPr>
        <xdr:cNvSpPr/>
      </xdr:nvSpPr>
      <xdr:spPr>
        <a:xfrm>
          <a:off x="2202543" y="415473"/>
          <a:ext cx="2093976" cy="7003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50" b="0" baseline="0">
              <a:solidFill>
                <a:schemeClr val="accent5">
                  <a:lumMod val="50000"/>
                </a:schemeClr>
              </a:solidFill>
              <a:effectLst/>
              <a:latin typeface="Arial Narrow" panose="020B0606020202030204" pitchFamily="34" charset="0"/>
              <a:ea typeface="+mn-ea"/>
              <a:cs typeface="+mn-cs"/>
            </a:rPr>
            <a:t>City with Highest Overall Revenue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b="1" baseline="0">
            <a:solidFill>
              <a:schemeClr val="accent5">
                <a:lumMod val="50000"/>
              </a:schemeClr>
            </a:solidFill>
            <a:effectLst/>
            <a:latin typeface="Arial Narrow" panose="020B060602020203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accent5">
                  <a:lumMod val="50000"/>
                </a:schemeClr>
              </a:solidFill>
              <a:effectLst/>
              <a:latin typeface="Arial Narrow" panose="020B0606020202030204" pitchFamily="34" charset="0"/>
              <a:ea typeface="+mn-ea"/>
              <a:cs typeface="+mn-cs"/>
            </a:rPr>
            <a:t>NEW YORK</a:t>
          </a:r>
          <a:endParaRPr lang="en-US" sz="1400">
            <a:solidFill>
              <a:schemeClr val="accent5">
                <a:lumMod val="50000"/>
              </a:schemeClr>
            </a:solidFill>
            <a:effectLst/>
            <a:latin typeface="Arial Narrow" panose="020B0606020202030204" pitchFamily="34" charset="0"/>
          </a:endParaRPr>
        </a:p>
        <a:p>
          <a:pPr algn="ctr"/>
          <a:endParaRPr lang="en-US" sz="1100">
            <a:solidFill>
              <a:schemeClr val="accent5">
                <a:lumMod val="50000"/>
              </a:schemeClr>
            </a:solidFill>
          </a:endParaRPr>
        </a:p>
      </xdr:txBody>
    </xdr:sp>
    <xdr:clientData/>
  </xdr:twoCellAnchor>
  <xdr:twoCellAnchor>
    <xdr:from>
      <xdr:col>7</xdr:col>
      <xdr:colOff>123373</xdr:colOff>
      <xdr:row>2</xdr:row>
      <xdr:rowOff>23588</xdr:rowOff>
    </xdr:from>
    <xdr:to>
      <xdr:col>10</xdr:col>
      <xdr:colOff>393992</xdr:colOff>
      <xdr:row>5</xdr:row>
      <xdr:rowOff>172357</xdr:rowOff>
    </xdr:to>
    <xdr:sp macro="" textlink="">
      <xdr:nvSpPr>
        <xdr:cNvPr id="8" name="Rectangle: Rounded Corners 7">
          <a:extLst>
            <a:ext uri="{FF2B5EF4-FFF2-40B4-BE49-F238E27FC236}">
              <a16:creationId xmlns:a16="http://schemas.microsoft.com/office/drawing/2014/main" id="{74A29FB9-6474-427C-F617-CBE42371F971}"/>
            </a:ext>
          </a:extLst>
        </xdr:cNvPr>
        <xdr:cNvSpPr/>
      </xdr:nvSpPr>
      <xdr:spPr>
        <a:xfrm>
          <a:off x="4377873" y="386445"/>
          <a:ext cx="2093976" cy="6930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150" b="0" baseline="0">
            <a:solidFill>
              <a:schemeClr val="accent5">
                <a:lumMod val="50000"/>
              </a:schemeClr>
            </a:solidFill>
            <a:effectLst/>
            <a:latin typeface="Arial Narrow" panose="020B060602020203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accent5">
                  <a:lumMod val="50000"/>
                </a:schemeClr>
              </a:solidFill>
              <a:effectLst/>
              <a:latin typeface="Arial Narrow" panose="020B0606020202030204" pitchFamily="34" charset="0"/>
              <a:ea typeface="+mn-ea"/>
              <a:cs typeface="+mn-cs"/>
            </a:rPr>
            <a:t>  </a:t>
          </a:r>
          <a:endParaRPr lang="en-US" sz="1400" b="1">
            <a:solidFill>
              <a:schemeClr val="accent5">
                <a:lumMod val="50000"/>
              </a:schemeClr>
            </a:solidFill>
            <a:effectLst/>
            <a:latin typeface="Arial Narrow" panose="020B0606020202030204" pitchFamily="34" charset="0"/>
          </a:endParaRPr>
        </a:p>
        <a:p>
          <a:pPr algn="ctr"/>
          <a:endParaRPr lang="en-US" sz="1100">
            <a:solidFill>
              <a:schemeClr val="accent5">
                <a:lumMod val="50000"/>
              </a:schemeClr>
            </a:solidFill>
          </a:endParaRPr>
        </a:p>
      </xdr:txBody>
    </xdr:sp>
    <xdr:clientData/>
  </xdr:twoCellAnchor>
  <xdr:twoCellAnchor>
    <xdr:from>
      <xdr:col>10</xdr:col>
      <xdr:colOff>457202</xdr:colOff>
      <xdr:row>2</xdr:row>
      <xdr:rowOff>48990</xdr:rowOff>
    </xdr:from>
    <xdr:to>
      <xdr:col>14</xdr:col>
      <xdr:colOff>120035</xdr:colOff>
      <xdr:row>6</xdr:row>
      <xdr:rowOff>30847</xdr:rowOff>
    </xdr:to>
    <xdr:sp macro="" textlink="">
      <xdr:nvSpPr>
        <xdr:cNvPr id="10" name="Rectangle: Rounded Corners 9">
          <a:extLst>
            <a:ext uri="{FF2B5EF4-FFF2-40B4-BE49-F238E27FC236}">
              <a16:creationId xmlns:a16="http://schemas.microsoft.com/office/drawing/2014/main" id="{F703B888-490B-CB59-12B9-09C7FDA1787E}"/>
            </a:ext>
          </a:extLst>
        </xdr:cNvPr>
        <xdr:cNvSpPr/>
      </xdr:nvSpPr>
      <xdr:spPr>
        <a:xfrm>
          <a:off x="6535059" y="411847"/>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accent5">
                  <a:lumMod val="50000"/>
                </a:schemeClr>
              </a:solidFill>
              <a:latin typeface="Arial Narrow" panose="020B0606020202030204" pitchFamily="34" charset="0"/>
            </a:rPr>
            <a:t>Top Best Customer</a:t>
          </a:r>
        </a:p>
        <a:p>
          <a:pPr algn="ctr"/>
          <a:endParaRPr lang="en-US" sz="1200" b="1">
            <a:solidFill>
              <a:schemeClr val="accent5">
                <a:lumMod val="50000"/>
              </a:schemeClr>
            </a:solidFill>
            <a:latin typeface="Arial Narrow" panose="020B0606020202030204" pitchFamily="34" charset="0"/>
          </a:endParaRPr>
        </a:p>
        <a:p>
          <a:pPr algn="ctr"/>
          <a:r>
            <a:rPr lang="en-US" sz="1400" b="1">
              <a:solidFill>
                <a:schemeClr val="accent5">
                  <a:lumMod val="50000"/>
                </a:schemeClr>
              </a:solidFill>
              <a:latin typeface="Arial Narrow" panose="020B0606020202030204" pitchFamily="34" charset="0"/>
            </a:rPr>
            <a:t>COMPANY D</a:t>
          </a:r>
        </a:p>
      </xdr:txBody>
    </xdr:sp>
    <xdr:clientData/>
  </xdr:twoCellAnchor>
  <xdr:twoCellAnchor>
    <xdr:from>
      <xdr:col>14</xdr:col>
      <xdr:colOff>192320</xdr:colOff>
      <xdr:row>2</xdr:row>
      <xdr:rowOff>56245</xdr:rowOff>
    </xdr:from>
    <xdr:to>
      <xdr:col>17</xdr:col>
      <xdr:colOff>462939</xdr:colOff>
      <xdr:row>6</xdr:row>
      <xdr:rowOff>38102</xdr:rowOff>
    </xdr:to>
    <xdr:sp macro="" textlink="">
      <xdr:nvSpPr>
        <xdr:cNvPr id="12" name="Rectangle: Rounded Corners 11">
          <a:extLst>
            <a:ext uri="{FF2B5EF4-FFF2-40B4-BE49-F238E27FC236}">
              <a16:creationId xmlns:a16="http://schemas.microsoft.com/office/drawing/2014/main" id="{7AB2EBC6-1FC7-234A-0FEA-0A250FF43E3E}"/>
            </a:ext>
          </a:extLst>
        </xdr:cNvPr>
        <xdr:cNvSpPr/>
      </xdr:nvSpPr>
      <xdr:spPr>
        <a:xfrm>
          <a:off x="8701320" y="419102"/>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150" b="0" baseline="0">
              <a:solidFill>
                <a:schemeClr val="accent5">
                  <a:lumMod val="50000"/>
                </a:schemeClr>
              </a:solidFill>
              <a:effectLst/>
              <a:latin typeface="Arial Narrow" panose="020B0606020202030204" pitchFamily="34" charset="0"/>
              <a:ea typeface="+mn-ea"/>
              <a:cs typeface="+mn-cs"/>
            </a:rPr>
            <a:t>Best Performing Product</a:t>
          </a:r>
        </a:p>
        <a:p>
          <a:pPr algn="ctr" eaLnBrk="1" fontAlgn="auto" latinLnBrk="0" hangingPunct="1"/>
          <a:endParaRPr lang="en-US" sz="1200" b="1" baseline="0">
            <a:solidFill>
              <a:schemeClr val="accent5">
                <a:lumMod val="50000"/>
              </a:schemeClr>
            </a:solidFill>
            <a:effectLst/>
            <a:latin typeface="Arial Narrow" panose="020B0606020202030204" pitchFamily="34" charset="0"/>
            <a:ea typeface="+mn-ea"/>
            <a:cs typeface="+mn-cs"/>
          </a:endParaRPr>
        </a:p>
        <a:p>
          <a:pPr algn="ctr" eaLnBrk="1" fontAlgn="auto" latinLnBrk="0" hangingPunct="1"/>
          <a:r>
            <a:rPr lang="en-US" sz="1400" b="1" baseline="0">
              <a:solidFill>
                <a:schemeClr val="accent5">
                  <a:lumMod val="50000"/>
                </a:schemeClr>
              </a:solidFill>
              <a:effectLst/>
              <a:latin typeface="Arial Narrow" panose="020B0606020202030204" pitchFamily="34" charset="0"/>
              <a:ea typeface="+mn-ea"/>
              <a:cs typeface="+mn-cs"/>
            </a:rPr>
            <a:t>BEVERAGES</a:t>
          </a:r>
          <a:endParaRPr lang="en-US" sz="1400" b="1">
            <a:solidFill>
              <a:schemeClr val="accent5">
                <a:lumMod val="50000"/>
              </a:schemeClr>
            </a:solidFill>
            <a:effectLst/>
            <a:latin typeface="Arial Narrow" panose="020B0606020202030204" pitchFamily="34" charset="0"/>
          </a:endParaRPr>
        </a:p>
        <a:p>
          <a:pPr algn="ctr"/>
          <a:endParaRPr lang="en-US" sz="1150" b="1">
            <a:solidFill>
              <a:schemeClr val="accent5">
                <a:lumMod val="50000"/>
              </a:schemeClr>
            </a:solidFill>
          </a:endParaRPr>
        </a:p>
      </xdr:txBody>
    </xdr:sp>
    <xdr:clientData/>
  </xdr:twoCellAnchor>
  <xdr:twoCellAnchor>
    <xdr:from>
      <xdr:col>17</xdr:col>
      <xdr:colOff>544291</xdr:colOff>
      <xdr:row>2</xdr:row>
      <xdr:rowOff>54432</xdr:rowOff>
    </xdr:from>
    <xdr:to>
      <xdr:col>21</xdr:col>
      <xdr:colOff>207124</xdr:colOff>
      <xdr:row>6</xdr:row>
      <xdr:rowOff>36289</xdr:rowOff>
    </xdr:to>
    <xdr:sp macro="" textlink="">
      <xdr:nvSpPr>
        <xdr:cNvPr id="15" name="Rectangle: Rounded Corners 14">
          <a:extLst>
            <a:ext uri="{FF2B5EF4-FFF2-40B4-BE49-F238E27FC236}">
              <a16:creationId xmlns:a16="http://schemas.microsoft.com/office/drawing/2014/main" id="{65C9F95E-11ED-9EF1-932D-3AFC2436B947}"/>
            </a:ext>
          </a:extLst>
        </xdr:cNvPr>
        <xdr:cNvSpPr/>
      </xdr:nvSpPr>
      <xdr:spPr>
        <a:xfrm>
          <a:off x="10876648" y="417289"/>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100" b="0" baseline="0">
              <a:solidFill>
                <a:schemeClr val="accent5">
                  <a:lumMod val="50000"/>
                </a:schemeClr>
              </a:solidFill>
              <a:effectLst/>
              <a:latin typeface="+mn-lt"/>
              <a:ea typeface="+mn-ea"/>
              <a:cs typeface="+mn-cs"/>
            </a:rPr>
            <a:t>  </a:t>
          </a:r>
          <a:r>
            <a:rPr lang="en-US" sz="1100" b="0" baseline="0">
              <a:solidFill>
                <a:schemeClr val="accent5">
                  <a:lumMod val="50000"/>
                </a:schemeClr>
              </a:solidFill>
              <a:effectLst/>
              <a:latin typeface="Arial Narrow" panose="020B0606020202030204" pitchFamily="34" charset="0"/>
              <a:ea typeface="+mn-ea"/>
              <a:cs typeface="+mn-cs"/>
            </a:rPr>
            <a:t>Month With Highest Sales     </a:t>
          </a:r>
        </a:p>
        <a:p>
          <a:pPr algn="ctr" eaLnBrk="1" fontAlgn="auto" latinLnBrk="0" hangingPunct="1"/>
          <a:endParaRPr lang="en-US" sz="1100" b="0" baseline="0">
            <a:solidFill>
              <a:schemeClr val="accent5">
                <a:lumMod val="50000"/>
              </a:schemeClr>
            </a:solidFill>
            <a:effectLst/>
            <a:latin typeface="Arial Narrow" panose="020B0606020202030204" pitchFamily="34" charset="0"/>
            <a:ea typeface="+mn-ea"/>
            <a:cs typeface="+mn-cs"/>
          </a:endParaRPr>
        </a:p>
        <a:p>
          <a:pPr algn="ctr" eaLnBrk="1" fontAlgn="auto" latinLnBrk="0" hangingPunct="1"/>
          <a:r>
            <a:rPr lang="en-US" sz="1400" b="1" baseline="0">
              <a:solidFill>
                <a:schemeClr val="accent5">
                  <a:lumMod val="50000"/>
                </a:schemeClr>
              </a:solidFill>
              <a:effectLst/>
              <a:latin typeface="Arial Narrow" panose="020B0606020202030204" pitchFamily="34" charset="0"/>
              <a:ea typeface="+mn-ea"/>
              <a:cs typeface="+mn-cs"/>
            </a:rPr>
            <a:t>DECEMBER</a:t>
          </a:r>
          <a:endParaRPr lang="en-US" sz="1400" b="1">
            <a:solidFill>
              <a:schemeClr val="accent5">
                <a:lumMod val="50000"/>
              </a:schemeClr>
            </a:solidFill>
            <a:effectLst/>
            <a:latin typeface="Arial Narrow" panose="020B0606020202030204" pitchFamily="34" charset="0"/>
          </a:endParaRPr>
        </a:p>
        <a:p>
          <a:pPr algn="l"/>
          <a:endParaRPr lang="en-US" sz="1100" b="1">
            <a:solidFill>
              <a:schemeClr val="accent5">
                <a:lumMod val="50000"/>
              </a:schemeClr>
            </a:solidFill>
          </a:endParaRPr>
        </a:p>
      </xdr:txBody>
    </xdr:sp>
    <xdr:clientData/>
  </xdr:twoCellAnchor>
  <xdr:twoCellAnchor>
    <xdr:from>
      <xdr:col>21</xdr:col>
      <xdr:colOff>299357</xdr:colOff>
      <xdr:row>2</xdr:row>
      <xdr:rowOff>52619</xdr:rowOff>
    </xdr:from>
    <xdr:to>
      <xdr:col>24</xdr:col>
      <xdr:colOff>571500</xdr:colOff>
      <xdr:row>6</xdr:row>
      <xdr:rowOff>34476</xdr:rowOff>
    </xdr:to>
    <xdr:sp macro="" textlink="">
      <xdr:nvSpPr>
        <xdr:cNvPr id="17" name="Rectangle: Rounded Corners 16">
          <a:extLst>
            <a:ext uri="{FF2B5EF4-FFF2-40B4-BE49-F238E27FC236}">
              <a16:creationId xmlns:a16="http://schemas.microsoft.com/office/drawing/2014/main" id="{11D632DF-1ECB-4FD7-38DE-A493A8358C71}"/>
            </a:ext>
          </a:extLst>
        </xdr:cNvPr>
        <xdr:cNvSpPr/>
      </xdr:nvSpPr>
      <xdr:spPr>
        <a:xfrm>
          <a:off x="13062857" y="415476"/>
          <a:ext cx="2095500"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accent5">
                  <a:lumMod val="50000"/>
                </a:schemeClr>
              </a:solidFill>
              <a:latin typeface="Arial Narrow" panose="020B0606020202030204" pitchFamily="34" charset="0"/>
            </a:rPr>
            <a:t>Best Sales</a:t>
          </a:r>
          <a:r>
            <a:rPr lang="en-US" sz="1150" baseline="0">
              <a:solidFill>
                <a:schemeClr val="accent5">
                  <a:lumMod val="50000"/>
                </a:schemeClr>
              </a:solidFill>
              <a:latin typeface="Arial Narrow" panose="020B0606020202030204" pitchFamily="34" charset="0"/>
            </a:rPr>
            <a:t> Performance</a:t>
          </a:r>
        </a:p>
        <a:p>
          <a:pPr algn="ctr"/>
          <a:endParaRPr lang="en-US" sz="1200" b="1">
            <a:solidFill>
              <a:schemeClr val="accent5">
                <a:lumMod val="50000"/>
              </a:schemeClr>
            </a:solidFill>
            <a:effectLst/>
            <a:latin typeface="Arial Narrow" panose="020B0606020202030204" pitchFamily="34" charset="0"/>
          </a:endParaRPr>
        </a:p>
        <a:p>
          <a:pPr algn="ctr"/>
          <a:r>
            <a:rPr lang="en-US" sz="1400" b="1">
              <a:solidFill>
                <a:schemeClr val="accent5">
                  <a:lumMod val="50000"/>
                </a:schemeClr>
              </a:solidFill>
              <a:effectLst/>
              <a:latin typeface="Arial Narrow" panose="020B0606020202030204" pitchFamily="34" charset="0"/>
            </a:rPr>
            <a:t>      NANCY FREEHAFER</a:t>
          </a:r>
        </a:p>
        <a:p>
          <a:pPr algn="ctr"/>
          <a:endParaRPr lang="en-US" sz="1150">
            <a:solidFill>
              <a:schemeClr val="accent5">
                <a:lumMod val="50000"/>
              </a:schemeClr>
            </a:solidFill>
          </a:endParaRPr>
        </a:p>
      </xdr:txBody>
    </xdr:sp>
    <xdr:clientData/>
  </xdr:twoCellAnchor>
  <xdr:twoCellAnchor editAs="oneCell">
    <xdr:from>
      <xdr:col>21</xdr:col>
      <xdr:colOff>308428</xdr:colOff>
      <xdr:row>3</xdr:row>
      <xdr:rowOff>154209</xdr:rowOff>
    </xdr:from>
    <xdr:to>
      <xdr:col>22</xdr:col>
      <xdr:colOff>157842</xdr:colOff>
      <xdr:row>6</xdr:row>
      <xdr:rowOff>67124</xdr:rowOff>
    </xdr:to>
    <xdr:pic>
      <xdr:nvPicPr>
        <xdr:cNvPr id="23" name="Graphic 22" descr="Call center with solid fill">
          <a:extLst>
            <a:ext uri="{FF2B5EF4-FFF2-40B4-BE49-F238E27FC236}">
              <a16:creationId xmlns:a16="http://schemas.microsoft.com/office/drawing/2014/main" id="{F4184DD3-44DA-64A0-7493-5689BDC026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71928" y="698495"/>
          <a:ext cx="457200" cy="457200"/>
        </a:xfrm>
        <a:prstGeom prst="rect">
          <a:avLst/>
        </a:prstGeom>
      </xdr:spPr>
    </xdr:pic>
    <xdr:clientData/>
  </xdr:twoCellAnchor>
  <xdr:twoCellAnchor editAs="oneCell">
    <xdr:from>
      <xdr:col>0</xdr:col>
      <xdr:colOff>136074</xdr:colOff>
      <xdr:row>4</xdr:row>
      <xdr:rowOff>27212</xdr:rowOff>
    </xdr:from>
    <xdr:to>
      <xdr:col>0</xdr:col>
      <xdr:colOff>593274</xdr:colOff>
      <xdr:row>6</xdr:row>
      <xdr:rowOff>121555</xdr:rowOff>
    </xdr:to>
    <xdr:pic>
      <xdr:nvPicPr>
        <xdr:cNvPr id="27" name="Graphic 26" descr="Truck with solid fill">
          <a:extLst>
            <a:ext uri="{FF2B5EF4-FFF2-40B4-BE49-F238E27FC236}">
              <a16:creationId xmlns:a16="http://schemas.microsoft.com/office/drawing/2014/main" id="{E3E6189E-A25F-7532-DC61-6A62AA74119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6074" y="752926"/>
          <a:ext cx="457200" cy="457200"/>
        </a:xfrm>
        <a:prstGeom prst="rect">
          <a:avLst/>
        </a:prstGeom>
      </xdr:spPr>
    </xdr:pic>
    <xdr:clientData/>
  </xdr:twoCellAnchor>
  <xdr:twoCellAnchor editAs="oneCell">
    <xdr:from>
      <xdr:col>3</xdr:col>
      <xdr:colOff>444503</xdr:colOff>
      <xdr:row>3</xdr:row>
      <xdr:rowOff>172355</xdr:rowOff>
    </xdr:from>
    <xdr:to>
      <xdr:col>4</xdr:col>
      <xdr:colOff>293917</xdr:colOff>
      <xdr:row>6</xdr:row>
      <xdr:rowOff>85270</xdr:rowOff>
    </xdr:to>
    <xdr:pic>
      <xdr:nvPicPr>
        <xdr:cNvPr id="29" name="Graphic 28" descr="City with solid fill">
          <a:extLst>
            <a:ext uri="{FF2B5EF4-FFF2-40B4-BE49-F238E27FC236}">
              <a16:creationId xmlns:a16="http://schemas.microsoft.com/office/drawing/2014/main" id="{0A742826-C3D9-DBAF-1F90-82CD308A016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67860" y="716641"/>
          <a:ext cx="457200" cy="457200"/>
        </a:xfrm>
        <a:prstGeom prst="rect">
          <a:avLst/>
        </a:prstGeom>
      </xdr:spPr>
    </xdr:pic>
    <xdr:clientData/>
  </xdr:twoCellAnchor>
  <xdr:twoCellAnchor editAs="oneCell">
    <xdr:from>
      <xdr:col>10</xdr:col>
      <xdr:colOff>508006</xdr:colOff>
      <xdr:row>3</xdr:row>
      <xdr:rowOff>108854</xdr:rowOff>
    </xdr:from>
    <xdr:to>
      <xdr:col>11</xdr:col>
      <xdr:colOff>357420</xdr:colOff>
      <xdr:row>6</xdr:row>
      <xdr:rowOff>21769</xdr:rowOff>
    </xdr:to>
    <xdr:pic>
      <xdr:nvPicPr>
        <xdr:cNvPr id="33" name="Graphic 32" descr="Building with solid fill">
          <a:extLst>
            <a:ext uri="{FF2B5EF4-FFF2-40B4-BE49-F238E27FC236}">
              <a16:creationId xmlns:a16="http://schemas.microsoft.com/office/drawing/2014/main" id="{9BA975C7-D585-1841-FA9C-AF0B5F9B4FB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85863" y="653140"/>
          <a:ext cx="457200" cy="457200"/>
        </a:xfrm>
        <a:prstGeom prst="rect">
          <a:avLst/>
        </a:prstGeom>
      </xdr:spPr>
    </xdr:pic>
    <xdr:clientData/>
  </xdr:twoCellAnchor>
  <xdr:twoCellAnchor editAs="oneCell">
    <xdr:from>
      <xdr:col>14</xdr:col>
      <xdr:colOff>254003</xdr:colOff>
      <xdr:row>3</xdr:row>
      <xdr:rowOff>126996</xdr:rowOff>
    </xdr:from>
    <xdr:to>
      <xdr:col>15</xdr:col>
      <xdr:colOff>103417</xdr:colOff>
      <xdr:row>6</xdr:row>
      <xdr:rowOff>39911</xdr:rowOff>
    </xdr:to>
    <xdr:pic>
      <xdr:nvPicPr>
        <xdr:cNvPr id="35" name="Graphic 34" descr="Coffee with solid fill">
          <a:extLst>
            <a:ext uri="{FF2B5EF4-FFF2-40B4-BE49-F238E27FC236}">
              <a16:creationId xmlns:a16="http://schemas.microsoft.com/office/drawing/2014/main" id="{87CC9A96-06BF-7048-F3BF-F6EB83E96B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763003" y="671282"/>
          <a:ext cx="457200" cy="457200"/>
        </a:xfrm>
        <a:prstGeom prst="rect">
          <a:avLst/>
        </a:prstGeom>
      </xdr:spPr>
    </xdr:pic>
    <xdr:clientData/>
  </xdr:twoCellAnchor>
  <xdr:twoCellAnchor editAs="oneCell">
    <xdr:from>
      <xdr:col>18</xdr:col>
      <xdr:colOff>36287</xdr:colOff>
      <xdr:row>3</xdr:row>
      <xdr:rowOff>172355</xdr:rowOff>
    </xdr:from>
    <xdr:to>
      <xdr:col>18</xdr:col>
      <xdr:colOff>493487</xdr:colOff>
      <xdr:row>6</xdr:row>
      <xdr:rowOff>85270</xdr:rowOff>
    </xdr:to>
    <xdr:pic>
      <xdr:nvPicPr>
        <xdr:cNvPr id="37" name="Graphic 36" descr="Daily calendar with solid fill">
          <a:extLst>
            <a:ext uri="{FF2B5EF4-FFF2-40B4-BE49-F238E27FC236}">
              <a16:creationId xmlns:a16="http://schemas.microsoft.com/office/drawing/2014/main" id="{070DE057-9F90-502C-06C1-8C88F1A3E29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976430" y="716641"/>
          <a:ext cx="457200" cy="457200"/>
        </a:xfrm>
        <a:prstGeom prst="rect">
          <a:avLst/>
        </a:prstGeom>
      </xdr:spPr>
    </xdr:pic>
    <xdr:clientData/>
  </xdr:twoCellAnchor>
  <xdr:twoCellAnchor editAs="oneCell">
    <xdr:from>
      <xdr:col>24</xdr:col>
      <xdr:colOff>603251</xdr:colOff>
      <xdr:row>2</xdr:row>
      <xdr:rowOff>78923</xdr:rowOff>
    </xdr:from>
    <xdr:to>
      <xdr:col>27</xdr:col>
      <xdr:colOff>326572</xdr:colOff>
      <xdr:row>13</xdr:row>
      <xdr:rowOff>145143</xdr:rowOff>
    </xdr:to>
    <mc:AlternateContent xmlns:mc="http://schemas.openxmlformats.org/markup-compatibility/2006" xmlns:a14="http://schemas.microsoft.com/office/drawing/2010/main">
      <mc:Choice Requires="a14">
        <xdr:graphicFrame macro="">
          <xdr:nvGraphicFramePr>
            <xdr:cNvPr id="39" name="Customer Name">
              <a:extLst>
                <a:ext uri="{FF2B5EF4-FFF2-40B4-BE49-F238E27FC236}">
                  <a16:creationId xmlns:a16="http://schemas.microsoft.com/office/drawing/2014/main" id="{411E9570-2D66-CB21-9809-CF5E7FC4AE4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5190108" y="441780"/>
              <a:ext cx="1546678" cy="206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603252</xdr:colOff>
      <xdr:row>13</xdr:row>
      <xdr:rowOff>160566</xdr:rowOff>
    </xdr:from>
    <xdr:to>
      <xdr:col>27</xdr:col>
      <xdr:colOff>344715</xdr:colOff>
      <xdr:row>23</xdr:row>
      <xdr:rowOff>145143</xdr:rowOff>
    </xdr:to>
    <mc:AlternateContent xmlns:mc="http://schemas.openxmlformats.org/markup-compatibility/2006" xmlns:a14="http://schemas.microsoft.com/office/drawing/2010/main">
      <mc:Choice Requires="a14">
        <xdr:graphicFrame macro="">
          <xdr:nvGraphicFramePr>
            <xdr:cNvPr id="40" name="Salesperson">
              <a:extLst>
                <a:ext uri="{FF2B5EF4-FFF2-40B4-BE49-F238E27FC236}">
                  <a16:creationId xmlns:a16="http://schemas.microsoft.com/office/drawing/2014/main" id="{E32D23EB-5A0A-5CEC-69B2-927E3BD1478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5190109" y="2519137"/>
              <a:ext cx="1564820" cy="1798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4535</xdr:colOff>
      <xdr:row>23</xdr:row>
      <xdr:rowOff>158751</xdr:rowOff>
    </xdr:from>
    <xdr:to>
      <xdr:col>27</xdr:col>
      <xdr:colOff>353785</xdr:colOff>
      <xdr:row>32</xdr:row>
      <xdr:rowOff>9072</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490A3735-AC88-BDDA-762D-87D5FE4490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199178" y="4331608"/>
              <a:ext cx="1564821"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199574</xdr:colOff>
      <xdr:row>3</xdr:row>
      <xdr:rowOff>117928</xdr:rowOff>
    </xdr:from>
    <xdr:to>
      <xdr:col>8</xdr:col>
      <xdr:colOff>48988</xdr:colOff>
      <xdr:row>6</xdr:row>
      <xdr:rowOff>30843</xdr:rowOff>
    </xdr:to>
    <xdr:pic>
      <xdr:nvPicPr>
        <xdr:cNvPr id="18" name="Graphic 17" descr="Coins with solid fill">
          <a:extLst>
            <a:ext uri="{FF2B5EF4-FFF2-40B4-BE49-F238E27FC236}">
              <a16:creationId xmlns:a16="http://schemas.microsoft.com/office/drawing/2014/main" id="{ED6C7198-13DB-4B3D-40E9-33BEE80DAFC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454074" y="662214"/>
          <a:ext cx="457200" cy="457200"/>
        </a:xfrm>
        <a:prstGeom prst="rect">
          <a:avLst/>
        </a:prstGeom>
      </xdr:spPr>
    </xdr:pic>
    <xdr:clientData/>
  </xdr:twoCellAnchor>
  <xdr:twoCellAnchor>
    <xdr:from>
      <xdr:col>15</xdr:col>
      <xdr:colOff>281214</xdr:colOff>
      <xdr:row>5</xdr:row>
      <xdr:rowOff>145144</xdr:rowOff>
    </xdr:from>
    <xdr:to>
      <xdr:col>24</xdr:col>
      <xdr:colOff>217714</xdr:colOff>
      <xdr:row>15</xdr:row>
      <xdr:rowOff>50944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A642BB2-60E0-4540-A1C8-55A2BF5843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8996589" y="1097644"/>
              <a:ext cx="5165725" cy="181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190499</xdr:colOff>
      <xdr:row>6</xdr:row>
      <xdr:rowOff>63500</xdr:rowOff>
    </xdr:from>
    <xdr:to>
      <xdr:col>22</xdr:col>
      <xdr:colOff>435428</xdr:colOff>
      <xdr:row>7</xdr:row>
      <xdr:rowOff>108857</xdr:rowOff>
    </xdr:to>
    <xdr:sp macro="" textlink="">
      <xdr:nvSpPr>
        <xdr:cNvPr id="22" name="TextBox 21">
          <a:extLst>
            <a:ext uri="{FF2B5EF4-FFF2-40B4-BE49-F238E27FC236}">
              <a16:creationId xmlns:a16="http://schemas.microsoft.com/office/drawing/2014/main" id="{D27A521A-CCB6-A65E-4C1B-E2186F44EDBB}"/>
            </a:ext>
          </a:extLst>
        </xdr:cNvPr>
        <xdr:cNvSpPr txBox="1"/>
      </xdr:nvSpPr>
      <xdr:spPr>
        <a:xfrm>
          <a:off x="11738428" y="1152071"/>
          <a:ext cx="2068286"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50000"/>
                </a:schemeClr>
              </a:solidFill>
              <a:latin typeface="Arial Narrow" panose="020B0606020202030204" pitchFamily="34" charset="0"/>
            </a:rPr>
            <a:t>Performance</a:t>
          </a:r>
          <a:r>
            <a:rPr lang="en-US" sz="1400" baseline="0">
              <a:solidFill>
                <a:schemeClr val="accent3">
                  <a:lumMod val="50000"/>
                </a:schemeClr>
              </a:solidFill>
              <a:latin typeface="Arial Narrow" panose="020B0606020202030204" pitchFamily="34" charset="0"/>
            </a:rPr>
            <a:t> by State</a:t>
          </a:r>
          <a:endParaRPr lang="en-US" sz="1400">
            <a:solidFill>
              <a:schemeClr val="accent3">
                <a:lumMod val="50000"/>
              </a:schemeClr>
            </a:solidFill>
            <a:latin typeface="Arial Narrow" panose="020B0606020202030204" pitchFamily="34" charset="0"/>
          </a:endParaRPr>
        </a:p>
      </xdr:txBody>
    </xdr:sp>
    <xdr:clientData/>
  </xdr:twoCellAnchor>
  <xdr:twoCellAnchor editAs="oneCell">
    <xdr:from>
      <xdr:col>25</xdr:col>
      <xdr:colOff>13607</xdr:colOff>
      <xdr:row>32</xdr:row>
      <xdr:rowOff>42638</xdr:rowOff>
    </xdr:from>
    <xdr:to>
      <xdr:col>27</xdr:col>
      <xdr:colOff>353786</xdr:colOff>
      <xdr:row>35</xdr:row>
      <xdr:rowOff>163286</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E79A6344-53FA-156B-39EC-E023263ED6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08250" y="5848352"/>
              <a:ext cx="1555750" cy="664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480785</xdr:colOff>
      <xdr:row>5</xdr:row>
      <xdr:rowOff>18143</xdr:rowOff>
    </xdr:from>
    <xdr:to>
      <xdr:col>24</xdr:col>
      <xdr:colOff>344715</xdr:colOff>
      <xdr:row>15</xdr:row>
      <xdr:rowOff>127000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DEB155FF-6D44-444F-8ADD-9909ABB036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9196160" y="970643"/>
              <a:ext cx="5093155" cy="20138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13606</xdr:colOff>
      <xdr:row>36</xdr:row>
      <xdr:rowOff>26308</xdr:rowOff>
    </xdr:from>
    <xdr:to>
      <xdr:col>27</xdr:col>
      <xdr:colOff>353786</xdr:colOff>
      <xdr:row>43</xdr:row>
      <xdr:rowOff>172357</xdr:rowOff>
    </xdr:to>
    <mc:AlternateContent xmlns:mc="http://schemas.openxmlformats.org/markup-compatibility/2006" xmlns:a14="http://schemas.microsoft.com/office/drawing/2010/main">
      <mc:Choice Requires="a14">
        <xdr:graphicFrame macro="">
          <xdr:nvGraphicFramePr>
            <xdr:cNvPr id="25" name="Product Name">
              <a:extLst>
                <a:ext uri="{FF2B5EF4-FFF2-40B4-BE49-F238E27FC236}">
                  <a16:creationId xmlns:a16="http://schemas.microsoft.com/office/drawing/2014/main" id="{15271F24-0C94-4E3F-8CC3-F0093F23DD6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5208249" y="6557737"/>
              <a:ext cx="1555751" cy="1416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99786</xdr:colOff>
      <xdr:row>0</xdr:row>
      <xdr:rowOff>0</xdr:rowOff>
    </xdr:from>
    <xdr:to>
      <xdr:col>25</xdr:col>
      <xdr:colOff>471715</xdr:colOff>
      <xdr:row>2</xdr:row>
      <xdr:rowOff>163287</xdr:rowOff>
    </xdr:to>
    <xdr:sp macro="" textlink="">
      <xdr:nvSpPr>
        <xdr:cNvPr id="2" name="TextBox 1">
          <a:extLst>
            <a:ext uri="{FF2B5EF4-FFF2-40B4-BE49-F238E27FC236}">
              <a16:creationId xmlns:a16="http://schemas.microsoft.com/office/drawing/2014/main" id="{B1D8B125-5E9C-4351-BA40-2252FD471DAA}"/>
            </a:ext>
          </a:extLst>
        </xdr:cNvPr>
        <xdr:cNvSpPr txBox="1"/>
      </xdr:nvSpPr>
      <xdr:spPr>
        <a:xfrm>
          <a:off x="2530929" y="0"/>
          <a:ext cx="13135429" cy="526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baseline="0">
              <a:solidFill>
                <a:schemeClr val="dk1"/>
              </a:solidFill>
              <a:effectLst/>
              <a:latin typeface="+mn-lt"/>
              <a:ea typeface="+mn-ea"/>
              <a:cs typeface="+mn-cs"/>
            </a:rPr>
            <a:t>      </a:t>
          </a:r>
          <a:r>
            <a:rPr lang="en-US" sz="2900" b="1" baseline="0">
              <a:solidFill>
                <a:schemeClr val="accent5">
                  <a:lumMod val="50000"/>
                </a:schemeClr>
              </a:solidFill>
              <a:effectLst/>
              <a:latin typeface="Arial Narrow" panose="020B0606020202030204" pitchFamily="34" charset="0"/>
              <a:ea typeface="+mn-ea"/>
              <a:cs typeface="+mn-cs"/>
            </a:rPr>
            <a:t>PRESSURE HOSE SALES REPORT FOR THE YEAR 2023</a:t>
          </a:r>
          <a:endParaRPr lang="en-US" sz="2900">
            <a:solidFill>
              <a:schemeClr val="accent5">
                <a:lumMod val="50000"/>
              </a:schemeClr>
            </a:solidFill>
            <a:effectLst/>
            <a:latin typeface="Arial Narrow" panose="020B0606020202030204" pitchFamily="34" charset="0"/>
          </a:endParaRPr>
        </a:p>
        <a:p>
          <a:endParaRPr lang="en-US" sz="1100"/>
        </a:p>
      </xdr:txBody>
    </xdr:sp>
    <xdr:clientData/>
  </xdr:twoCellAnchor>
  <xdr:twoCellAnchor editAs="oneCell">
    <xdr:from>
      <xdr:col>4</xdr:col>
      <xdr:colOff>406397</xdr:colOff>
      <xdr:row>4</xdr:row>
      <xdr:rowOff>52615</xdr:rowOff>
    </xdr:from>
    <xdr:to>
      <xdr:col>6</xdr:col>
      <xdr:colOff>196753</xdr:colOff>
      <xdr:row>6</xdr:row>
      <xdr:rowOff>49453</xdr:rowOff>
    </xdr:to>
    <xdr:pic>
      <xdr:nvPicPr>
        <xdr:cNvPr id="20" name="Picture 19">
          <a:extLst>
            <a:ext uri="{FF2B5EF4-FFF2-40B4-BE49-F238E27FC236}">
              <a16:creationId xmlns:a16="http://schemas.microsoft.com/office/drawing/2014/main" id="{50074283-5F31-480C-8FD1-73562BC2A9AE}"/>
            </a:ext>
          </a:extLst>
        </xdr:cNvPr>
        <xdr:cNvPicPr>
          <a:picLocks noChangeAspect="1"/>
        </xdr:cNvPicPr>
      </xdr:nvPicPr>
      <xdr:blipFill>
        <a:blip xmlns:r="http://schemas.openxmlformats.org/officeDocument/2006/relationships" r:embed="rId24"/>
        <a:stretch>
          <a:fillRect/>
        </a:stretch>
      </xdr:blipFill>
      <xdr:spPr>
        <a:xfrm>
          <a:off x="2837540" y="778329"/>
          <a:ext cx="1005927" cy="359695"/>
        </a:xfrm>
        <a:prstGeom prst="rect">
          <a:avLst/>
        </a:prstGeom>
      </xdr:spPr>
    </xdr:pic>
    <xdr:clientData/>
  </xdr:twoCellAnchor>
  <xdr:twoCellAnchor>
    <xdr:from>
      <xdr:col>7</xdr:col>
      <xdr:colOff>190501</xdr:colOff>
      <xdr:row>2</xdr:row>
      <xdr:rowOff>18143</xdr:rowOff>
    </xdr:from>
    <xdr:to>
      <xdr:col>10</xdr:col>
      <xdr:colOff>362858</xdr:colOff>
      <xdr:row>4</xdr:row>
      <xdr:rowOff>36286</xdr:rowOff>
    </xdr:to>
    <xdr:sp macro="" textlink="">
      <xdr:nvSpPr>
        <xdr:cNvPr id="28" name="TextBox 27">
          <a:extLst>
            <a:ext uri="{FF2B5EF4-FFF2-40B4-BE49-F238E27FC236}">
              <a16:creationId xmlns:a16="http://schemas.microsoft.com/office/drawing/2014/main" id="{01EDDC67-534E-4C21-AE9F-C62119ECAEA0}"/>
            </a:ext>
          </a:extLst>
        </xdr:cNvPr>
        <xdr:cNvSpPr txBox="1"/>
      </xdr:nvSpPr>
      <xdr:spPr>
        <a:xfrm>
          <a:off x="4445001" y="381000"/>
          <a:ext cx="19957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a:solidFill>
                <a:schemeClr val="accent5">
                  <a:lumMod val="50000"/>
                </a:schemeClr>
              </a:solidFill>
              <a:latin typeface="Arial Narrow" panose="020B0606020202030204" pitchFamily="34" charset="0"/>
            </a:rPr>
            <a:t>Largest Transation by Amount</a:t>
          </a:r>
        </a:p>
      </xdr:txBody>
    </xdr:sp>
    <xdr:clientData/>
  </xdr:twoCellAnchor>
  <xdr:twoCellAnchor>
    <xdr:from>
      <xdr:col>8</xdr:col>
      <xdr:colOff>190499</xdr:colOff>
      <xdr:row>4</xdr:row>
      <xdr:rowOff>36286</xdr:rowOff>
    </xdr:from>
    <xdr:to>
      <xdr:col>10</xdr:col>
      <xdr:colOff>281214</xdr:colOff>
      <xdr:row>6</xdr:row>
      <xdr:rowOff>9071</xdr:rowOff>
    </xdr:to>
    <xdr:sp macro="" textlink="">
      <xdr:nvSpPr>
        <xdr:cNvPr id="31" name="TextBox 30">
          <a:extLst>
            <a:ext uri="{FF2B5EF4-FFF2-40B4-BE49-F238E27FC236}">
              <a16:creationId xmlns:a16="http://schemas.microsoft.com/office/drawing/2014/main" id="{B8C18F3E-14F3-467A-B5C3-9F6905134F68}"/>
            </a:ext>
          </a:extLst>
        </xdr:cNvPr>
        <xdr:cNvSpPr txBox="1"/>
      </xdr:nvSpPr>
      <xdr:spPr>
        <a:xfrm>
          <a:off x="5052785" y="762000"/>
          <a:ext cx="1306286"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5">
                  <a:lumMod val="50000"/>
                </a:schemeClr>
              </a:solidFill>
              <a:latin typeface="Arial Narrow" panose="020B0606020202030204" pitchFamily="34" charset="0"/>
            </a:rPr>
            <a:t>10-1010</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ANALYSIS- Sales by Reps</a:t>
          </a:r>
        </a:p>
        <a:p>
          <a:pPr algn="l"/>
          <a:r>
            <a:rPr lang="en-US" sz="1000" b="0"/>
            <a:t>OBERVATION</a:t>
          </a:r>
        </a:p>
        <a:p>
          <a:pPr algn="l"/>
          <a:r>
            <a:rPr lang="en-US" sz="800" b="0"/>
            <a:t>Nancy is the top-performing sales representative, contributing the highest sales amount of $104,252.32</a:t>
          </a:r>
        </a:p>
        <a:p>
          <a:pPr algn="l"/>
          <a:r>
            <a:rPr lang="en-US" sz="800" b="0"/>
            <a:t>Nancy and Anne stand out significantly and account for a large share of total sales</a:t>
          </a:r>
        </a:p>
        <a:p>
          <a:pPr algn="l"/>
          <a:r>
            <a:rPr lang="en-US" sz="800" b="0"/>
            <a:t>Andrew, Mariya, Laura, and Micheal form the middle tier with moderate performance</a:t>
          </a:r>
        </a:p>
        <a:p>
          <a:r>
            <a:rPr lang="en-US" sz="800" b="0"/>
            <a:t>Robert and Jan are in the bottom tier, contributing significantly less than others.</a:t>
          </a:r>
        </a:p>
        <a:p>
          <a:r>
            <a:rPr lang="en-US" sz="800" b="0"/>
            <a:t>The</a:t>
          </a:r>
          <a:r>
            <a:rPr lang="en-US" sz="800" b="0" baseline="0"/>
            <a:t> least performing is Jan with $16,350.50</a:t>
          </a:r>
        </a:p>
        <a:p>
          <a:r>
            <a:rPr lang="en-US" sz="800" b="0"/>
            <a:t>There is a large performance gap between the top (Nancy) and bottom (Jan) performers, highlighting a possible need for training, motivation, or performance review</a:t>
          </a:r>
        </a:p>
        <a:p>
          <a:pPr algn="l"/>
          <a:r>
            <a:rPr lang="en-US" sz="1000" b="1" baseline="0"/>
            <a:t>PRE-INSIGHT</a:t>
          </a:r>
        </a:p>
        <a:p>
          <a:pPr algn="l"/>
          <a:r>
            <a:rPr lang="en-US" sz="800"/>
            <a:t>Acknowledge high performers like Nancy and Anne to sustain momentum.</a:t>
          </a:r>
        </a:p>
        <a:p>
          <a:pPr algn="l"/>
          <a:r>
            <a:rPr lang="en-US" sz="800"/>
            <a:t>Provide coaching or mentoring to lower-performing reps like Jan and Robert.</a:t>
          </a:r>
        </a:p>
        <a:p>
          <a:pPr algn="l"/>
          <a:r>
            <a:rPr lang="en-US" sz="800"/>
            <a:t>Consider whether sales targets are realistic and fairly distributed</a:t>
          </a:r>
          <a:endParaRPr lang="en-US" sz="800" b="1" baseline="0"/>
        </a:p>
      </xdr:txBody>
    </xdr:sp>
    <xdr:clientData/>
  </xdr:twoCellAnchor>
  <xdr:twoCellAnchor>
    <xdr:from>
      <xdr:col>0</xdr:col>
      <xdr:colOff>52918</xdr:colOff>
      <xdr:row>13</xdr:row>
      <xdr:rowOff>28222</xdr:rowOff>
    </xdr:from>
    <xdr:to>
      <xdr:col>7</xdr:col>
      <xdr:colOff>167218</xdr:colOff>
      <xdr:row>26</xdr:row>
      <xdr:rowOff>155222</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52918" y="2422172"/>
          <a:ext cx="4381500" cy="25209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baseline="0">
              <a:solidFill>
                <a:schemeClr val="accent5">
                  <a:lumMod val="50000"/>
                </a:schemeClr>
              </a:solidFill>
            </a:rPr>
            <a:t>                                        </a:t>
          </a:r>
          <a:r>
            <a:rPr lang="en-US" sz="1000" b="1" baseline="0">
              <a:solidFill>
                <a:schemeClr val="accent5">
                  <a:lumMod val="50000"/>
                </a:schemeClr>
              </a:solidFill>
            </a:rPr>
            <a:t>ANALYSIS- Sales by Region</a:t>
          </a:r>
        </a:p>
        <a:p>
          <a:pPr algn="l"/>
          <a:r>
            <a:rPr lang="en-US" sz="1000" b="1" baseline="0">
              <a:solidFill>
                <a:schemeClr val="accent5">
                  <a:lumMod val="50000"/>
                </a:schemeClr>
              </a:solidFill>
            </a:rPr>
            <a:t>OBSERVATION</a:t>
          </a:r>
        </a:p>
        <a:p>
          <a:pPr algn="l"/>
          <a:r>
            <a:rPr lang="en-US" sz="1000" b="0">
              <a:solidFill>
                <a:schemeClr val="accent5">
                  <a:lumMod val="50000"/>
                </a:schemeClr>
              </a:solidFill>
            </a:rPr>
            <a:t>The North region leads in sales with $141,680.34, making up the highest share of total sales</a:t>
          </a:r>
        </a:p>
        <a:p>
          <a:r>
            <a:rPr lang="en-US" sz="1000" b="0">
              <a:solidFill>
                <a:schemeClr val="accent5">
                  <a:lumMod val="50000"/>
                </a:schemeClr>
              </a:solidFill>
            </a:rPr>
            <a:t>East comes second with $108,275.51, showing healthy sales figures.</a:t>
          </a:r>
        </a:p>
        <a:p>
          <a:r>
            <a:rPr lang="en-US" sz="1000" b="0">
              <a:solidFill>
                <a:schemeClr val="accent5">
                  <a:lumMod val="50000"/>
                </a:schemeClr>
              </a:solidFill>
            </a:rPr>
            <a:t>South, with $93,858.33, performs moderately and may have room for growth with targeted marketing or sales campaigns</a:t>
          </a:r>
        </a:p>
        <a:p>
          <a:pPr algn="l"/>
          <a:r>
            <a:rPr lang="en-US" sz="1000" b="0">
              <a:solidFill>
                <a:schemeClr val="accent5">
                  <a:lumMod val="50000"/>
                </a:schemeClr>
              </a:solidFill>
            </a:rPr>
            <a:t>The West region is the lowest, contributing $91,251.98.</a:t>
          </a:r>
        </a:p>
        <a:p>
          <a:pPr algn="l"/>
          <a:r>
            <a:rPr lang="en-US" sz="1000" b="0">
              <a:solidFill>
                <a:schemeClr val="accent5">
                  <a:lumMod val="50000"/>
                </a:schemeClr>
              </a:solidFill>
            </a:rPr>
            <a:t>The data shows a geographic imbalance in sales, suggesting that strategies may need to be regionalized or adjusted per market conditions</a:t>
          </a:r>
        </a:p>
        <a:p>
          <a:pPr algn="l"/>
          <a:r>
            <a:rPr lang="en-US" sz="1000" b="1">
              <a:solidFill>
                <a:schemeClr val="accent5">
                  <a:lumMod val="50000"/>
                </a:schemeClr>
              </a:solidFill>
            </a:rPr>
            <a:t>PRE-INSIGHT</a:t>
          </a:r>
        </a:p>
        <a:p>
          <a:pPr algn="l"/>
          <a:r>
            <a:rPr lang="en-US" sz="1000">
              <a:solidFill>
                <a:schemeClr val="accent5">
                  <a:lumMod val="50000"/>
                </a:schemeClr>
              </a:solidFill>
            </a:rPr>
            <a:t>Gather customer insights from lower-performing regions to understand local market needs better</a:t>
          </a:r>
        </a:p>
        <a:p>
          <a:pPr algn="l"/>
          <a:r>
            <a:rPr lang="en-US" sz="1000">
              <a:solidFill>
                <a:schemeClr val="accent5">
                  <a:lumMod val="50000"/>
                </a:schemeClr>
              </a:solidFill>
            </a:rPr>
            <a:t>Analyze what’s working in the North and replicate successful strategies in the West and South</a:t>
          </a:r>
          <a:endParaRPr lang="en-US" sz="1000" b="0">
            <a:solidFill>
              <a:schemeClr val="accent5">
                <a:lumMod val="50000"/>
              </a:schemeClr>
            </a:solidFill>
          </a:endParaRPr>
        </a:p>
      </xdr:txBody>
    </xdr:sp>
    <xdr:clientData/>
  </xdr:twoCellAnchor>
  <xdr:twoCellAnchor>
    <xdr:from>
      <xdr:col>7</xdr:col>
      <xdr:colOff>395110</xdr:colOff>
      <xdr:row>13</xdr:row>
      <xdr:rowOff>43039</xdr:rowOff>
    </xdr:from>
    <xdr:to>
      <xdr:col>15</xdr:col>
      <xdr:colOff>225776</xdr:colOff>
      <xdr:row>27</xdr:row>
      <xdr:rowOff>77612</xdr:rowOff>
    </xdr:to>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4642554" y="2427817"/>
          <a:ext cx="4684889" cy="260279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Transation Distribution by Amount</a:t>
          </a:r>
          <a:endParaRPr lang="en-US" sz="1000">
            <a:effectLst/>
          </a:endParaRPr>
        </a:p>
        <a:p>
          <a:r>
            <a:rPr lang="en-US" sz="1000" b="1" baseline="0">
              <a:solidFill>
                <a:schemeClr val="lt1"/>
              </a:solidFill>
              <a:effectLst/>
              <a:latin typeface="+mn-lt"/>
              <a:ea typeface="+mn-ea"/>
              <a:cs typeface="+mn-cs"/>
            </a:rPr>
            <a:t>OBSERVATION</a:t>
          </a:r>
        </a:p>
        <a:p>
          <a:r>
            <a:rPr lang="en-US" sz="800"/>
            <a:t>The majority of transactions (</a:t>
          </a:r>
          <a:r>
            <a:rPr lang="en-US" sz="800" b="1"/>
            <a:t>221 transactions</a:t>
          </a:r>
          <a:r>
            <a:rPr lang="en-US" sz="800"/>
            <a:t>) fall in the </a:t>
          </a:r>
          <a:r>
            <a:rPr lang="en-US" sz="800" b="1"/>
            <a:t>lowest amount range ($10–1,010)</a:t>
          </a:r>
        </a:p>
        <a:p>
          <a:r>
            <a:rPr lang="en-US" sz="800"/>
            <a:t>Transactions above </a:t>
          </a:r>
          <a:r>
            <a:rPr lang="en-US" sz="800" b="1"/>
            <a:t>$4,010</a:t>
          </a:r>
          <a:r>
            <a:rPr lang="en-US" sz="800"/>
            <a:t> are very rare (only </a:t>
          </a:r>
          <a:r>
            <a:rPr lang="en-US" sz="800" b="1"/>
            <a:t>11 transactions combined</a:t>
          </a:r>
          <a:r>
            <a:rPr lang="en-US" sz="800"/>
            <a:t> across the 4,010+ ranges)</a:t>
          </a:r>
        </a:p>
        <a:p>
          <a:r>
            <a:rPr lang="en-US" sz="800"/>
            <a:t>The next tier (1,010–2,010) sees only </a:t>
          </a:r>
          <a:r>
            <a:rPr lang="en-US" sz="800" b="1"/>
            <a:t>82 transactions</a:t>
          </a:r>
          <a:endParaRPr lang="en-US" sz="800">
            <a:effectLst/>
          </a:endParaRPr>
        </a:p>
        <a:p>
          <a:pPr eaLnBrk="1" fontAlgn="auto" latinLnBrk="0" hangingPunct="1"/>
          <a:endParaRPr lang="en-US" sz="1000" b="1">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a:t>To Offer bundles, upselling, and loyalty incentives to push customers to spend more per transaction.</a:t>
          </a:r>
        </a:p>
        <a:p>
          <a:pPr eaLnBrk="1" fontAlgn="auto" latinLnBrk="0" hangingPunct="1"/>
          <a:r>
            <a:rPr lang="en-US" sz="800"/>
            <a:t>Identify the few customers making larger transactions and </a:t>
          </a:r>
          <a:r>
            <a:rPr lang="en-US" sz="800" b="1"/>
            <a:t>create personalized offers</a:t>
          </a:r>
          <a:r>
            <a:rPr lang="en-US" sz="800"/>
            <a:t> to retain them.</a:t>
          </a:r>
        </a:p>
        <a:p>
          <a:pPr eaLnBrk="1" fontAlgn="auto" latinLnBrk="0" hangingPunct="1"/>
          <a:r>
            <a:rPr lang="en-US" sz="800"/>
            <a:t>Target customers in the lowest bracket to transition into the $1,010–2,010 range</a:t>
          </a:r>
          <a:endParaRPr lang="en-US" sz="8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000">
            <a:effectLst/>
          </a:endParaRPr>
        </a:p>
      </xdr:txBody>
    </xdr:sp>
    <xdr:clientData/>
  </xdr:twoCellAnchor>
  <xdr:twoCellAnchor>
    <xdr:from>
      <xdr:col>7</xdr:col>
      <xdr:colOff>476957</xdr:colOff>
      <xdr:row>0</xdr:row>
      <xdr:rowOff>153106</xdr:rowOff>
    </xdr:from>
    <xdr:to>
      <xdr:col>14</xdr:col>
      <xdr:colOff>591256</xdr:colOff>
      <xdr:row>12</xdr:row>
      <xdr:rowOff>146756</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4744157" y="153106"/>
          <a:ext cx="4381499" cy="22034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0" baseline="0">
              <a:solidFill>
                <a:schemeClr val="accent5">
                  <a:lumMod val="50000"/>
                </a:schemeClr>
              </a:solidFill>
              <a:effectLst/>
              <a:latin typeface="+mn-lt"/>
              <a:ea typeface="+mn-ea"/>
              <a:cs typeface="+mn-cs"/>
            </a:rPr>
            <a:t>      </a:t>
          </a:r>
          <a:r>
            <a:rPr lang="en-US" sz="1100" b="1" baseline="0">
              <a:solidFill>
                <a:schemeClr val="accent5">
                  <a:lumMod val="50000"/>
                </a:schemeClr>
              </a:solidFill>
              <a:effectLst/>
              <a:latin typeface="+mn-lt"/>
              <a:ea typeface="+mn-ea"/>
              <a:cs typeface="+mn-cs"/>
            </a:rPr>
            <a:t>ANALYSIS- Top 10 Customers</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endParaRPr lang="en-US" sz="1000">
            <a:solidFill>
              <a:schemeClr val="accent5">
                <a:lumMod val="50000"/>
              </a:schemeClr>
            </a:solidFill>
            <a:effectLst/>
          </a:endParaRPr>
        </a:p>
        <a:p>
          <a:pPr algn="l"/>
          <a:r>
            <a:rPr lang="en-US" sz="800" b="0">
              <a:solidFill>
                <a:schemeClr val="accent5">
                  <a:lumMod val="50000"/>
                </a:schemeClr>
              </a:solidFill>
            </a:rPr>
            <a:t>Company D is the highest-value customer, contributing $67,180.50.</a:t>
          </a:r>
        </a:p>
        <a:p>
          <a:pPr algn="l"/>
          <a:r>
            <a:rPr lang="en-US" sz="800" b="0">
              <a:solidFill>
                <a:schemeClr val="accent5">
                  <a:lumMod val="50000"/>
                </a:schemeClr>
              </a:solidFill>
            </a:rPr>
            <a:t>Company D, H, and BB contribute a significant portion of overall top 10 sales</a:t>
          </a:r>
        </a:p>
        <a:p>
          <a:pPr algn="l"/>
          <a:r>
            <a:rPr lang="en-US" sz="800" b="0">
              <a:solidFill>
                <a:schemeClr val="accent5">
                  <a:lumMod val="50000"/>
                </a:schemeClr>
              </a:solidFill>
            </a:rPr>
            <a:t>Companies F to I fall in the $32K–$37K range, representing a stable middle-tier</a:t>
          </a:r>
        </a:p>
        <a:p>
          <a:pPr algn="l"/>
          <a:r>
            <a:rPr lang="en-US" sz="800" b="0">
              <a:solidFill>
                <a:schemeClr val="accent5">
                  <a:lumMod val="50000"/>
                </a:schemeClr>
              </a:solidFill>
            </a:rPr>
            <a:t>Company K being the lowest at $21,937.08.</a:t>
          </a:r>
        </a:p>
        <a:p>
          <a:pPr algn="l"/>
          <a:r>
            <a:rPr lang="en-US" sz="800" b="0">
              <a:solidFill>
                <a:schemeClr val="accent5">
                  <a:lumMod val="50000"/>
                </a:schemeClr>
              </a:solidFill>
            </a:rPr>
            <a:t>Revenue concentration risk exists if too much reliance is placed on top clients like Company D or H.</a:t>
          </a: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endParaRPr lang="en-US" sz="800">
            <a:solidFill>
              <a:schemeClr val="accent5">
                <a:lumMod val="50000"/>
              </a:schemeClr>
            </a:solidFill>
            <a:effectLst/>
          </a:endParaRPr>
        </a:p>
        <a:p>
          <a:pPr algn="l"/>
          <a:r>
            <a:rPr lang="en-US" sz="800">
              <a:solidFill>
                <a:schemeClr val="accent5">
                  <a:lumMod val="50000"/>
                </a:schemeClr>
              </a:solidFill>
            </a:rPr>
            <a:t>Ensure dedicated account management for Company D, H, and BB to maintain and grow their business</a:t>
          </a:r>
        </a:p>
        <a:p>
          <a:pPr algn="l"/>
          <a:r>
            <a:rPr lang="en-US" sz="800">
              <a:solidFill>
                <a:schemeClr val="accent5">
                  <a:lumMod val="50000"/>
                </a:schemeClr>
              </a:solidFill>
            </a:rPr>
            <a:t>Re-engage or analyze Companies J to K to uncover reasons for lower spend and possible improvements.</a:t>
          </a:r>
        </a:p>
        <a:p>
          <a:pPr algn="l"/>
          <a:r>
            <a:rPr lang="en-US" sz="800">
              <a:solidFill>
                <a:schemeClr val="accent5">
                  <a:lumMod val="50000"/>
                </a:schemeClr>
              </a:solidFill>
            </a:rPr>
            <a:t>Reduce reliance on top 1–2 clients by expanding customer base or increasing sales to lower-tier customers.</a:t>
          </a:r>
          <a:endParaRPr lang="en-US" sz="800" b="1" baseline="0">
            <a:solidFill>
              <a:schemeClr val="accent5">
                <a:lumMod val="50000"/>
              </a:schemeClr>
            </a:solidFill>
          </a:endParaRPr>
        </a:p>
        <a:p>
          <a:pPr algn="l"/>
          <a:endParaRPr lang="en-US" sz="800" b="1">
            <a:solidFill>
              <a:schemeClr val="accent5">
                <a:lumMod val="50000"/>
              </a:schemeClr>
            </a:solidFill>
          </a:endParaRPr>
        </a:p>
      </xdr:txBody>
    </xdr:sp>
    <xdr:clientData/>
  </xdr:twoCellAnchor>
  <xdr:twoCellAnchor>
    <xdr:from>
      <xdr:col>15</xdr:col>
      <xdr:colOff>364065</xdr:colOff>
      <xdr:row>0</xdr:row>
      <xdr:rowOff>70556</xdr:rowOff>
    </xdr:from>
    <xdr:to>
      <xdr:col>22</xdr:col>
      <xdr:colOff>508000</xdr:colOff>
      <xdr:row>13</xdr:row>
      <xdr:rowOff>112889</xdr:rowOff>
    </xdr:to>
    <xdr:sp macro="" textlink="">
      <xdr:nvSpPr>
        <xdr:cNvPr id="7" name="Rounded Rectangle 6">
          <a:extLst>
            <a:ext uri="{FF2B5EF4-FFF2-40B4-BE49-F238E27FC236}">
              <a16:creationId xmlns:a16="http://schemas.microsoft.com/office/drawing/2014/main" id="{00000000-0008-0000-0900-000007000000}"/>
            </a:ext>
          </a:extLst>
        </xdr:cNvPr>
        <xdr:cNvSpPr/>
      </xdr:nvSpPr>
      <xdr:spPr>
        <a:xfrm>
          <a:off x="9465732" y="70556"/>
          <a:ext cx="4391379" cy="24271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Sales By Product Category</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0"/>
            <a:t>Beverages lead sales with $110,577.11, accounting for the largest share</a:t>
          </a:r>
        </a:p>
        <a:p>
          <a:pPr eaLnBrk="1" fontAlgn="auto" latinLnBrk="0" hangingPunct="1"/>
          <a:r>
            <a:rPr lang="en-US" sz="800" b="0"/>
            <a:t>This category alone contributes over 2x the sales of the lowest category (Canned Meat).</a:t>
          </a:r>
        </a:p>
        <a:p>
          <a:pPr eaLnBrk="1" fontAlgn="auto" latinLnBrk="0" hangingPunct="1"/>
          <a:r>
            <a:rPr lang="en-US" sz="800" b="0"/>
            <a:t>Beverages and Sauces combined contribute majority of overall sales.</a:t>
          </a:r>
        </a:p>
        <a:p>
          <a:pPr eaLnBrk="1" fontAlgn="auto" latinLnBrk="0" hangingPunct="1"/>
          <a:r>
            <a:rPr lang="en-US" sz="800" b="0"/>
            <a:t>Jams &amp; Preserves and Dairy Products  represent steady performers but have potential for growth through cross-selling with higher-performing categories</a:t>
          </a:r>
        </a:p>
        <a:p>
          <a:pPr eaLnBrk="1" fontAlgn="auto" latinLnBrk="0" hangingPunct="1"/>
          <a:r>
            <a:rPr lang="en-US" sz="800" b="0"/>
            <a:t>Dried Fruit &amp; Nuts and Canned Meat are at the bottom of the list, generating under $28K each</a:t>
          </a:r>
          <a:endParaRPr lang="en-US" sz="800" b="0">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Continue prioritizing Beverages and Sauces; consider expanding product variety or bundling.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Target Canned Meat and Dried Fruit &amp; Nuts with discounts, advertising, or better positioning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Avoid overreliance on Beverages by increasing focus on underperforming categories.</a:t>
          </a:r>
          <a:endParaRPr lang="en-US" sz="800" b="0">
            <a:effectLst/>
          </a:endParaRPr>
        </a:p>
      </xdr:txBody>
    </xdr:sp>
    <xdr:clientData/>
  </xdr:twoCellAnchor>
  <xdr:twoCellAnchor>
    <xdr:from>
      <xdr:col>15</xdr:col>
      <xdr:colOff>481190</xdr:colOff>
      <xdr:row>14</xdr:row>
      <xdr:rowOff>37396</xdr:rowOff>
    </xdr:from>
    <xdr:to>
      <xdr:col>22</xdr:col>
      <xdr:colOff>595490</xdr:colOff>
      <xdr:row>27</xdr:row>
      <xdr:rowOff>28222</xdr:rowOff>
    </xdr:to>
    <xdr:sp macro="" textlink="">
      <xdr:nvSpPr>
        <xdr:cNvPr id="8" name="Rounded Rectangle 7">
          <a:extLst>
            <a:ext uri="{FF2B5EF4-FFF2-40B4-BE49-F238E27FC236}">
              <a16:creationId xmlns:a16="http://schemas.microsoft.com/office/drawing/2014/main" id="{00000000-0008-0000-0900-000008000000}"/>
            </a:ext>
          </a:extLst>
        </xdr:cNvPr>
        <xdr:cNvSpPr/>
      </xdr:nvSpPr>
      <xdr:spPr>
        <a:xfrm>
          <a:off x="9582857" y="2605618"/>
          <a:ext cx="4361744" cy="23756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1" baseline="0">
              <a:solidFill>
                <a:schemeClr val="accent5">
                  <a:lumMod val="50000"/>
                </a:schemeClr>
              </a:solidFill>
              <a:effectLst/>
              <a:latin typeface="+mn-lt"/>
              <a:ea typeface="+mn-ea"/>
              <a:cs typeface="+mn-cs"/>
            </a:rPr>
            <a:t>ANALYSIS- Sales Trend Report</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p>
        <a:p>
          <a:r>
            <a:rPr lang="en-US" sz="1000" b="0">
              <a:solidFill>
                <a:schemeClr val="accent5">
                  <a:lumMod val="50000"/>
                </a:schemeClr>
              </a:solidFill>
            </a:rPr>
            <a:t>December tops the chart with $66,642.78, the highest monthly sales.</a:t>
          </a:r>
        </a:p>
        <a:p>
          <a:r>
            <a:rPr lang="en-US" sz="1000" b="0">
              <a:solidFill>
                <a:schemeClr val="accent5">
                  <a:lumMod val="50000"/>
                </a:schemeClr>
              </a:solidFill>
            </a:rPr>
            <a:t>It outperforms the lowest month (February) showing a strong end-of-year sales surge</a:t>
          </a:r>
        </a:p>
        <a:p>
          <a:r>
            <a:rPr lang="en-US" sz="1000" b="0">
              <a:solidFill>
                <a:schemeClr val="accent5">
                  <a:lumMod val="50000"/>
                </a:schemeClr>
              </a:solidFill>
            </a:rPr>
            <a:t>February ($19,985.50) is the lowest sales month, followed closely by April ($20,771.79).</a:t>
          </a:r>
        </a:p>
        <a:p>
          <a:r>
            <a:rPr lang="en-US" sz="1000" b="0">
              <a:solidFill>
                <a:schemeClr val="accent5">
                  <a:lumMod val="50000"/>
                </a:schemeClr>
              </a:solidFill>
            </a:rPr>
            <a:t>Most other months (Jan, Mar, May, Jul, Aug, Sep, Nov) are clustered between $27K</a:t>
          </a:r>
          <a:r>
            <a:rPr lang="en-US" sz="1000" b="1">
              <a:solidFill>
                <a:schemeClr val="accent5">
                  <a:lumMod val="50000"/>
                </a:schemeClr>
              </a:solidFill>
            </a:rPr>
            <a:t>–$34K</a:t>
          </a:r>
          <a:r>
            <a:rPr lang="en-US" sz="1000">
              <a:solidFill>
                <a:schemeClr val="accent5">
                  <a:lumMod val="50000"/>
                </a:schemeClr>
              </a:solidFill>
            </a:rPr>
            <a:t>, showing consistent but moderate performance</a:t>
          </a:r>
          <a:endParaRPr lang="en-US" sz="1000">
            <a:solidFill>
              <a:schemeClr val="accent5">
                <a:lumMod val="50000"/>
              </a:schemeClr>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Strengthen marketing and inventory in </a:t>
          </a:r>
          <a:r>
            <a:rPr lang="en-US" sz="800" b="1">
              <a:solidFill>
                <a:schemeClr val="accent5">
                  <a:lumMod val="50000"/>
                </a:schemeClr>
              </a:solidFill>
            </a:rPr>
            <a:t>Dec, Jun, and Oct</a:t>
          </a:r>
          <a:r>
            <a:rPr lang="en-US" sz="800">
              <a:solidFill>
                <a:schemeClr val="accent5">
                  <a:lumMod val="50000"/>
                </a:schemeClr>
              </a:solidFill>
            </a:rPr>
            <a:t> to maximize revenue.</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Develop special promotions or incentives for </a:t>
          </a:r>
          <a:r>
            <a:rPr lang="en-US" sz="800" b="1">
              <a:solidFill>
                <a:schemeClr val="accent5">
                  <a:lumMod val="50000"/>
                </a:schemeClr>
              </a:solidFill>
            </a:rPr>
            <a:t>Feb and Apr</a:t>
          </a:r>
          <a:r>
            <a:rPr lang="en-US" sz="800">
              <a:solidFill>
                <a:schemeClr val="accent5">
                  <a:lumMod val="50000"/>
                </a:schemeClr>
              </a:solidFill>
            </a:rPr>
            <a:t> to balance performance.</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Implement consistent engagement campaigns to reduce sales dips.</a:t>
          </a:r>
          <a:endParaRPr lang="en-US" sz="800">
            <a:solidFill>
              <a:schemeClr val="accent5">
                <a:lumMod val="50000"/>
              </a:schemeClr>
            </a:solidFill>
            <a:effectLst/>
          </a:endParaRPr>
        </a:p>
        <a:p>
          <a:pPr algn="l"/>
          <a:endParaRPr lang="en-US" sz="800" b="1">
            <a:solidFill>
              <a:schemeClr val="accent5">
                <a:lumMod val="50000"/>
              </a:schemeClr>
            </a:solidFill>
          </a:endParaRPr>
        </a:p>
      </xdr:txBody>
    </xdr:sp>
    <xdr:clientData/>
  </xdr:twoCellAnchor>
  <xdr:twoCellAnchor>
    <xdr:from>
      <xdr:col>23</xdr:col>
      <xdr:colOff>36690</xdr:colOff>
      <xdr:row>0</xdr:row>
      <xdr:rowOff>63500</xdr:rowOff>
    </xdr:from>
    <xdr:to>
      <xdr:col>30</xdr:col>
      <xdr:colOff>150990</xdr:colOff>
      <xdr:row>12</xdr:row>
      <xdr:rowOff>57150</xdr:rowOff>
    </xdr:to>
    <xdr:sp macro="" textlink="">
      <xdr:nvSpPr>
        <xdr:cNvPr id="6" name="Rounded Rectangle 4">
          <a:extLst>
            <a:ext uri="{FF2B5EF4-FFF2-40B4-BE49-F238E27FC236}">
              <a16:creationId xmlns:a16="http://schemas.microsoft.com/office/drawing/2014/main" id="{C0AFD648-107D-CE97-F6AA-3281E2872E93}"/>
            </a:ext>
          </a:extLst>
        </xdr:cNvPr>
        <xdr:cNvSpPr/>
      </xdr:nvSpPr>
      <xdr:spPr>
        <a:xfrm>
          <a:off x="13992579" y="63500"/>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0" baseline="0">
              <a:solidFill>
                <a:schemeClr val="accent5">
                  <a:lumMod val="50000"/>
                </a:schemeClr>
              </a:solidFill>
              <a:effectLst/>
              <a:latin typeface="+mn-lt"/>
              <a:ea typeface="+mn-ea"/>
              <a:cs typeface="+mn-cs"/>
            </a:rPr>
            <a:t>      </a:t>
          </a:r>
          <a:r>
            <a:rPr lang="en-US" sz="1100" b="1" baseline="0">
              <a:solidFill>
                <a:schemeClr val="accent5">
                  <a:lumMod val="50000"/>
                </a:schemeClr>
              </a:solidFill>
              <a:effectLst/>
              <a:latin typeface="+mn-lt"/>
              <a:ea typeface="+mn-ea"/>
              <a:cs typeface="+mn-cs"/>
            </a:rPr>
            <a:t>ANALYSIS- Performance by State</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endParaRPr lang="en-US" sz="1000">
            <a:solidFill>
              <a:schemeClr val="accent5">
                <a:lumMod val="50000"/>
              </a:schemeClr>
            </a:solidFill>
            <a:effectLst/>
          </a:endParaRPr>
        </a:p>
        <a:p>
          <a:r>
            <a:rPr lang="en-US" sz="800" b="1">
              <a:solidFill>
                <a:schemeClr val="accent5">
                  <a:lumMod val="50000"/>
                </a:schemeClr>
              </a:solidFill>
            </a:rPr>
            <a:t>New York (NY)</a:t>
          </a:r>
          <a:r>
            <a:rPr lang="en-US" sz="800">
              <a:solidFill>
                <a:schemeClr val="accent5">
                  <a:lumMod val="50000"/>
                </a:schemeClr>
              </a:solidFill>
            </a:rPr>
            <a:t> has the highest revenue at </a:t>
          </a:r>
          <a:r>
            <a:rPr lang="en-US" sz="800" b="1">
              <a:solidFill>
                <a:schemeClr val="accent5">
                  <a:lumMod val="50000"/>
                </a:schemeClr>
              </a:solidFill>
            </a:rPr>
            <a:t>$67,180.50</a:t>
          </a:r>
          <a:r>
            <a:rPr lang="en-US" sz="800">
              <a:solidFill>
                <a:schemeClr val="accent5">
                  <a:lumMod val="50000"/>
                </a:schemeClr>
              </a:solidFill>
            </a:rPr>
            <a:t>.</a:t>
          </a:r>
          <a:r>
            <a:rPr lang="en-US" sz="800" baseline="0">
              <a:solidFill>
                <a:schemeClr val="accent5">
                  <a:lumMod val="50000"/>
                </a:schemeClr>
              </a:solidFill>
            </a:rPr>
            <a:t> </a:t>
          </a:r>
          <a:r>
            <a:rPr lang="en-US" sz="800">
              <a:solidFill>
                <a:schemeClr val="accent5">
                  <a:lumMod val="50000"/>
                </a:schemeClr>
              </a:solidFill>
            </a:rPr>
            <a:t>Followed by </a:t>
          </a:r>
          <a:r>
            <a:rPr lang="en-US" sz="800" b="1">
              <a:solidFill>
                <a:schemeClr val="accent5">
                  <a:lumMod val="50000"/>
                </a:schemeClr>
              </a:solidFill>
            </a:rPr>
            <a:t>Oregon (OR) - $50,208.35</a:t>
          </a:r>
          <a:r>
            <a:rPr lang="en-US" sz="800">
              <a:solidFill>
                <a:schemeClr val="accent5">
                  <a:lumMod val="50000"/>
                </a:schemeClr>
              </a:solidFill>
            </a:rPr>
            <a:t> and </a:t>
          </a:r>
          <a:r>
            <a:rPr lang="en-US" sz="800" b="1">
              <a:solidFill>
                <a:schemeClr val="accent5">
                  <a:lumMod val="50000"/>
                </a:schemeClr>
              </a:solidFill>
            </a:rPr>
            <a:t>Florida (FL) - $50,145.33</a:t>
          </a:r>
          <a:r>
            <a:rPr lang="en-US" sz="800">
              <a:solidFill>
                <a:schemeClr val="accent5">
                  <a:lumMod val="50000"/>
                </a:schemeClr>
              </a:solidFill>
            </a:rPr>
            <a:t>.</a:t>
          </a:r>
        </a:p>
        <a:p>
          <a:r>
            <a:rPr lang="en-US" sz="800" b="1">
              <a:solidFill>
                <a:schemeClr val="accent5">
                  <a:lumMod val="50000"/>
                </a:schemeClr>
              </a:solidFill>
            </a:rPr>
            <a:t>Nevada (NV)</a:t>
          </a:r>
          <a:r>
            <a:rPr lang="en-US" sz="800">
              <a:solidFill>
                <a:schemeClr val="accent5">
                  <a:lumMod val="50000"/>
                </a:schemeClr>
              </a:solidFill>
            </a:rPr>
            <a:t> has the lowest revenue at </a:t>
          </a:r>
          <a:r>
            <a:rPr lang="en-US" sz="800" b="1">
              <a:solidFill>
                <a:schemeClr val="accent5">
                  <a:lumMod val="50000"/>
                </a:schemeClr>
              </a:solidFill>
            </a:rPr>
            <a:t>$15,365.50</a:t>
          </a:r>
        </a:p>
        <a:p>
          <a:r>
            <a:rPr lang="en-US" sz="800" b="1">
              <a:solidFill>
                <a:schemeClr val="accent5">
                  <a:lumMod val="50000"/>
                </a:schemeClr>
              </a:solidFill>
            </a:rPr>
            <a:t>Colorado (CO) - $16,350.50</a:t>
          </a:r>
          <a:r>
            <a:rPr lang="en-US" sz="800">
              <a:solidFill>
                <a:schemeClr val="accent5">
                  <a:lumMod val="50000"/>
                </a:schemeClr>
              </a:solidFill>
            </a:rPr>
            <a:t> and </a:t>
          </a:r>
          <a:r>
            <a:rPr lang="en-US" sz="800" b="1">
              <a:solidFill>
                <a:schemeClr val="accent5">
                  <a:lumMod val="50000"/>
                </a:schemeClr>
              </a:solidFill>
            </a:rPr>
            <a:t>Idaho (ID) - $17,204.00</a:t>
          </a:r>
          <a:r>
            <a:rPr lang="en-US" sz="800">
              <a:solidFill>
                <a:schemeClr val="accent5">
                  <a:lumMod val="50000"/>
                </a:schemeClr>
              </a:solidFill>
            </a:rPr>
            <a:t> are also among the lowest.</a:t>
          </a:r>
        </a:p>
        <a:p>
          <a:endParaRPr lang="en-US" sz="800">
            <a:solidFill>
              <a:schemeClr val="accent5">
                <a:lumMod val="50000"/>
              </a:schemeClr>
            </a:solidFill>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endParaRPr lang="en-US" sz="800">
            <a:solidFill>
              <a:schemeClr val="accent5">
                <a:lumMod val="50000"/>
              </a:schemeClr>
            </a:solidFill>
            <a:effectLst/>
          </a:endParaRPr>
        </a:p>
        <a:p>
          <a:pPr algn="l"/>
          <a:r>
            <a:rPr lang="en-US" sz="800" b="0">
              <a:solidFill>
                <a:schemeClr val="accent5">
                  <a:lumMod val="50000"/>
                </a:schemeClr>
              </a:solidFill>
            </a:rPr>
            <a:t>The East Coast (NY, FL) and Pacific Northwest (OR, WA) appear to be strong revenue contributors, possibly due to higher population, economic activity, or market penetration</a:t>
          </a:r>
        </a:p>
        <a:p>
          <a:pPr algn="l"/>
          <a:r>
            <a:rPr lang="en-US" sz="800" b="0">
              <a:solidFill>
                <a:schemeClr val="accent5">
                  <a:lumMod val="50000"/>
                </a:schemeClr>
              </a:solidFill>
            </a:rPr>
            <a:t>Low-performing states like NV, CO, and ID may represent areas for targeted marketing or business development to increase revenue</a:t>
          </a:r>
        </a:p>
        <a:p>
          <a:pPr algn="l"/>
          <a:r>
            <a:rPr lang="en-US" sz="800" b="0">
              <a:solidFill>
                <a:schemeClr val="accent5">
                  <a:lumMod val="50000"/>
                </a:schemeClr>
              </a:solidFill>
            </a:rPr>
            <a:t>States like NY and OR, already performing well, may be ideal for scaling operations, launching new products, or increasing investment due to their proven performance.</a:t>
          </a:r>
        </a:p>
      </xdr:txBody>
    </xdr:sp>
    <xdr:clientData/>
  </xdr:twoCellAnchor>
  <xdr:twoCellAnchor>
    <xdr:from>
      <xdr:col>23</xdr:col>
      <xdr:colOff>121355</xdr:colOff>
      <xdr:row>13</xdr:row>
      <xdr:rowOff>53622</xdr:rowOff>
    </xdr:from>
    <xdr:to>
      <xdr:col>30</xdr:col>
      <xdr:colOff>265290</xdr:colOff>
      <xdr:row>26</xdr:row>
      <xdr:rowOff>95955</xdr:rowOff>
    </xdr:to>
    <xdr:sp macro="" textlink="">
      <xdr:nvSpPr>
        <xdr:cNvPr id="9" name="Rounded Rectangle 6">
          <a:extLst>
            <a:ext uri="{FF2B5EF4-FFF2-40B4-BE49-F238E27FC236}">
              <a16:creationId xmlns:a16="http://schemas.microsoft.com/office/drawing/2014/main" id="{00A77C72-F2E4-8E5C-5484-C59D750413BF}"/>
            </a:ext>
          </a:extLst>
        </xdr:cNvPr>
        <xdr:cNvSpPr/>
      </xdr:nvSpPr>
      <xdr:spPr>
        <a:xfrm>
          <a:off x="14077244" y="2438400"/>
          <a:ext cx="4391379" cy="24271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Top 5 Cities by Revenue</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0"/>
            <a:t>New York City leads significantly with $67,180.50, outperforming the next highest (Portland)</a:t>
          </a:r>
          <a:r>
            <a:rPr lang="en-US" sz="800" b="0" baseline="0"/>
            <a:t> </a:t>
          </a:r>
          <a:r>
            <a:rPr lang="en-US" sz="800" b="0"/>
            <a:t>$50,208.35</a:t>
          </a:r>
        </a:p>
        <a:p>
          <a:pPr eaLnBrk="1" fontAlgn="auto" latinLnBrk="0" hangingPunct="1"/>
          <a:r>
            <a:rPr lang="en-US" sz="800" b="0"/>
            <a:t>Portland ($50,208.35) and Miami ($50,145.33) have almost identical revenue, differing by just $63.02, suggesting comparable performance or market strength</a:t>
          </a:r>
          <a:endParaRPr lang="en-US" sz="800" b="0">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b="0"/>
            <a:t>New York’s dominance suggests a large customer base, high economic activity, and effective business strategies. It’s likely the most mature and penetrated market in the list.</a:t>
          </a:r>
        </a:p>
        <a:p>
          <a:pPr eaLnBrk="1" fontAlgn="auto" latinLnBrk="0" hangingPunct="1"/>
          <a:r>
            <a:rPr lang="en-US" sz="800" b="0"/>
            <a:t>Portland and Miami show competitive strength, indicating that mid-sized cities can also drive significant revenue—possibly due to concentrated demand, tech presence, or strong urban economies.</a:t>
          </a:r>
        </a:p>
        <a:p>
          <a:pPr eaLnBrk="1" fontAlgn="auto" latinLnBrk="0" hangingPunct="1"/>
          <a:r>
            <a:rPr lang="en-US" sz="800" b="0"/>
            <a:t>The top cities are geographically diverse (East Coast, West Coast, South, Midwest), showing that revenue generation is not limited by region, and success can be achieved across different markets.</a:t>
          </a:r>
          <a:endParaRPr lang="en-US" sz="800" b="0">
            <a:solidFill>
              <a:schemeClr val="lt1"/>
            </a:solidFill>
            <a:effectLst/>
            <a:latin typeface="+mn-lt"/>
            <a:ea typeface="+mn-ea"/>
            <a:cs typeface="+mn-cs"/>
          </a:endParaRPr>
        </a:p>
      </xdr:txBody>
    </xdr:sp>
    <xdr:clientData/>
  </xdr:twoCellAnchor>
  <xdr:twoCellAnchor>
    <xdr:from>
      <xdr:col>30</xdr:col>
      <xdr:colOff>290688</xdr:colOff>
      <xdr:row>0</xdr:row>
      <xdr:rowOff>56445</xdr:rowOff>
    </xdr:from>
    <xdr:to>
      <xdr:col>37</xdr:col>
      <xdr:colOff>434622</xdr:colOff>
      <xdr:row>13</xdr:row>
      <xdr:rowOff>35278</xdr:rowOff>
    </xdr:to>
    <xdr:sp macro="" textlink="">
      <xdr:nvSpPr>
        <xdr:cNvPr id="10" name="Rounded Rectangle 6">
          <a:extLst>
            <a:ext uri="{FF2B5EF4-FFF2-40B4-BE49-F238E27FC236}">
              <a16:creationId xmlns:a16="http://schemas.microsoft.com/office/drawing/2014/main" id="{9267EA19-7105-403D-2886-939E8D8BC677}"/>
            </a:ext>
          </a:extLst>
        </xdr:cNvPr>
        <xdr:cNvSpPr/>
      </xdr:nvSpPr>
      <xdr:spPr>
        <a:xfrm>
          <a:off x="18494021" y="56445"/>
          <a:ext cx="4391379" cy="23636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Top 6 Ship Cities by Region</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1"/>
            <a:t>New York</a:t>
          </a:r>
          <a:r>
            <a:rPr lang="en-US" sz="800"/>
            <a:t> stands out as the highest revenue city at </a:t>
          </a:r>
          <a:r>
            <a:rPr lang="en-US" sz="800" b="1"/>
            <a:t>$67,180.50</a:t>
          </a:r>
          <a:r>
            <a:rPr lang="en-US" sz="800"/>
            <a:t>, with a substantial lead over the second-highest city (Portland)</a:t>
          </a:r>
        </a:p>
        <a:p>
          <a:pPr eaLnBrk="1" fontAlgn="auto" latinLnBrk="0" hangingPunct="1"/>
          <a:r>
            <a:rPr lang="en-US" sz="800" b="1"/>
            <a:t>Portland ($50,208.35)</a:t>
          </a:r>
          <a:r>
            <a:rPr lang="en-US" sz="800"/>
            <a:t> and </a:t>
          </a:r>
          <a:r>
            <a:rPr lang="en-US" sz="800" b="1"/>
            <a:t>Miami ($50,145.33)</a:t>
          </a:r>
          <a:r>
            <a:rPr lang="en-US" sz="800"/>
            <a:t> are virtually tied, showing comparable shipping revenue strength</a:t>
          </a:r>
        </a:p>
        <a:p>
          <a:pPr eaLnBrk="1" fontAlgn="auto" latinLnBrk="0" hangingPunct="1"/>
          <a:endParaRPr lang="en-US" sz="1000" b="1">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b="0"/>
            <a:t>The geographic diversity suggests a balanced national logistics strategy, with key revenue contributions from each major U.S. region</a:t>
          </a:r>
        </a:p>
        <a:p>
          <a:pPr eaLnBrk="1" fontAlgn="auto" latinLnBrk="0" hangingPunct="1"/>
          <a:r>
            <a:rPr lang="en-US" sz="800" b="0"/>
            <a:t>With Chicago and Milwaukee both in the top 6, the Midwest shows strong shipping capacity, suggesting this region should not be underestimated for fulfillment and logistics planning</a:t>
          </a:r>
        </a:p>
        <a:p>
          <a:pPr eaLnBrk="1" fontAlgn="auto" latinLnBrk="0" hangingPunct="1"/>
          <a:r>
            <a:rPr lang="en-US" sz="800" b="0"/>
            <a:t>With cities already performing well, there is potential to further optimize distribution routes, invest in regional warehouses, or strengthen last-mile delivery networks to maximize shipping efficiency.</a:t>
          </a:r>
        </a:p>
        <a:p>
          <a:pPr eaLnBrk="1" fontAlgn="auto" latinLnBrk="0" hangingPunct="1"/>
          <a:endParaRPr lang="en-US" sz="1000" b="1">
            <a:solidFill>
              <a:schemeClr val="lt1"/>
            </a:solidFill>
            <a:effectLst/>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38100" y="137584"/>
          <a:ext cx="4361744" cy="2194983"/>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PROJECT SPLIT</a:t>
          </a:r>
        </a:p>
        <a:p>
          <a:pPr algn="l"/>
          <a:r>
            <a:rPr lang="en-US" sz="1000" b="1" baseline="0"/>
            <a:t>1 Category One -Independent Variable</a:t>
          </a:r>
        </a:p>
        <a:p>
          <a:pPr algn="l"/>
          <a:r>
            <a:rPr lang="en-US" sz="800" b="0" baseline="0"/>
            <a:t>Customer Name</a:t>
          </a:r>
        </a:p>
        <a:p>
          <a:pPr algn="l"/>
          <a:r>
            <a:rPr lang="en-US" sz="800" b="0" baseline="0"/>
            <a:t>Salespersons</a:t>
          </a:r>
        </a:p>
        <a:p>
          <a:pPr algn="l"/>
          <a:r>
            <a:rPr lang="en-US" sz="800" b="0" baseline="0"/>
            <a:t>Region</a:t>
          </a:r>
        </a:p>
        <a:p>
          <a:pPr algn="l"/>
          <a:r>
            <a:rPr lang="en-US" sz="800" b="0" baseline="0"/>
            <a:t>Ship Name</a:t>
          </a:r>
        </a:p>
        <a:p>
          <a:pPr algn="l"/>
          <a:r>
            <a:rPr lang="en-US" sz="800" b="0" baseline="0"/>
            <a:t>Payment Type</a:t>
          </a:r>
        </a:p>
        <a:p>
          <a:pPr algn="l"/>
          <a:r>
            <a:rPr lang="en-US" sz="800" b="0" baseline="0"/>
            <a:t>Product Name</a:t>
          </a:r>
        </a:p>
        <a:p>
          <a:pPr algn="l"/>
          <a:r>
            <a:rPr lang="en-US" sz="800" b="0" baseline="0"/>
            <a:t>Category Name</a:t>
          </a:r>
        </a:p>
        <a:p>
          <a:pPr algn="l"/>
          <a:r>
            <a:rPr lang="en-US" sz="800" b="0" baseline="0"/>
            <a:t>Category</a:t>
          </a:r>
        </a:p>
        <a:p>
          <a:pPr marL="0" marR="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2 Category Two - Dependent Variable</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Quantity</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Revenue</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Unit Price</a:t>
          </a:r>
          <a:endParaRPr lang="en-US" sz="800" b="0">
            <a:effectLst/>
          </a:endParaRPr>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31751" y="2413000"/>
          <a:ext cx="4361744" cy="219568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INDUSTARY TYPE</a:t>
          </a:r>
        </a:p>
        <a:p>
          <a:pPr algn="l"/>
          <a:r>
            <a:rPr lang="en-US" sz="800" b="0" baseline="0">
              <a:solidFill>
                <a:schemeClr val="accent5">
                  <a:lumMod val="50000"/>
                </a:schemeClr>
              </a:solidFill>
            </a:rPr>
            <a:t>Geocery with Revenue Means</a:t>
          </a:r>
        </a:p>
        <a:p>
          <a:pPr algn="l"/>
          <a:endParaRPr lang="en-US" sz="1000" b="1">
            <a:solidFill>
              <a:schemeClr val="accent5">
                <a:lumMod val="50000"/>
              </a:schemeClr>
            </a:solidFill>
          </a:endParaRPr>
        </a:p>
        <a:p>
          <a:pPr algn="l"/>
          <a:r>
            <a:rPr lang="en-US" sz="1000" b="1" baseline="0">
              <a:solidFill>
                <a:schemeClr val="accent5">
                  <a:lumMod val="50000"/>
                </a:schemeClr>
              </a:solidFill>
            </a:rPr>
            <a:t>                                                      STORY OF DATA</a:t>
          </a:r>
        </a:p>
        <a:p>
          <a:pPr algn="l"/>
          <a:r>
            <a:rPr lang="en-US" sz="800" b="0" baseline="0">
              <a:solidFill>
                <a:schemeClr val="accent5">
                  <a:lumMod val="50000"/>
                </a:schemeClr>
              </a:solidFill>
            </a:rPr>
            <a:t>This data is telling a story around goods sold by the firm in different countries. It also highlight different quantity purchas, the ship use for  shipping, also includ salespersons for each sale made</a:t>
          </a:r>
        </a:p>
        <a:p>
          <a:pPr marL="0" marR="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accent5">
                  <a:lumMod val="50000"/>
                </a:schemeClr>
              </a:solidFill>
              <a:effectLst/>
              <a:latin typeface="+mn-lt"/>
              <a:ea typeface="+mn-ea"/>
              <a:cs typeface="+mn-cs"/>
            </a:rPr>
            <a:t>                                    </a:t>
          </a:r>
          <a:r>
            <a:rPr lang="en-US" sz="1000" b="1" baseline="0">
              <a:solidFill>
                <a:schemeClr val="accent5">
                  <a:lumMod val="50000"/>
                </a:schemeClr>
              </a:solidFill>
              <a:effectLst/>
              <a:latin typeface="+mn-lt"/>
              <a:ea typeface="+mn-ea"/>
              <a:cs typeface="+mn-cs"/>
            </a:rPr>
            <a:t>STAKEHOLDERS FOR PROJECT</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accent5">
                  <a:lumMod val="50000"/>
                </a:schemeClr>
              </a:solidFill>
              <a:effectLst/>
              <a:latin typeface="+mn-lt"/>
              <a:ea typeface="+mn-ea"/>
              <a:cs typeface="+mn-cs"/>
            </a:rPr>
            <a:t>The chief excutives and marketing team</a:t>
          </a:r>
          <a:endParaRPr lang="en-US" sz="800" b="0">
            <a:solidFill>
              <a:schemeClr val="accent5">
                <a:lumMod val="50000"/>
              </a:schemeClr>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accent5">
                  <a:lumMod val="50000"/>
                </a:schemeClr>
              </a:solidFill>
              <a:effectLst/>
              <a:latin typeface="+mn-lt"/>
              <a:ea typeface="+mn-ea"/>
              <a:cs typeface="+mn-cs"/>
            </a:rPr>
            <a:t>                               </a:t>
          </a: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effectLst/>
              <a:latin typeface="+mn-lt"/>
              <a:ea typeface="+mn-ea"/>
              <a:cs typeface="+mn-cs"/>
            </a:rPr>
            <a:t>                    WHAT SUCCESS MEANS TO THE INDUSTARY</a:t>
          </a: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effectLst/>
              <a:latin typeface="+mn-lt"/>
              <a:ea typeface="+mn-ea"/>
              <a:cs typeface="+mn-cs"/>
            </a:rPr>
            <a:t>Generating more revenue, this is what they consider as value</a:t>
          </a:r>
          <a:endParaRPr lang="en-US" sz="800">
            <a:solidFill>
              <a:schemeClr val="accent5">
                <a:lumMod val="50000"/>
              </a:schemeClr>
            </a:solidFill>
            <a:effectLst/>
          </a:endParaRPr>
        </a:p>
        <a:p>
          <a:pPr algn="l"/>
          <a:endParaRPr lang="en-US" sz="1000" b="0"/>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4727222" y="2420761"/>
          <a:ext cx="4361744" cy="2194983"/>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P0TENTIAL INSIGHT</a:t>
          </a:r>
        </a:p>
        <a:p>
          <a:pPr algn="l"/>
          <a:r>
            <a:rPr lang="en-US" sz="800" b="0" baseline="0">
              <a:effectLst/>
            </a:rPr>
            <a:t>1. Finetune the best region for the yea and explore more measures to gain grounds against </a:t>
          </a:r>
        </a:p>
        <a:p>
          <a:pPr algn="l"/>
          <a:r>
            <a:rPr lang="en-US" sz="800" b="0" baseline="0">
              <a:effectLst/>
            </a:rPr>
            <a:t>     Compertitors eg more ads.</a:t>
          </a:r>
        </a:p>
        <a:p>
          <a:pPr algn="l"/>
          <a:r>
            <a:rPr lang="en-US" sz="800" b="0" baseline="0">
              <a:effectLst/>
            </a:rPr>
            <a:t>2. Finetune out the best performing product and ensure this product never diminishs, hence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effectLst/>
            </a:rPr>
            <a:t>     </a:t>
          </a:r>
          <a:r>
            <a:rPr lang="en-US" sz="800" b="0" baseline="0">
              <a:solidFill>
                <a:schemeClr val="lt1"/>
              </a:solidFill>
              <a:effectLst/>
              <a:latin typeface="+mn-lt"/>
              <a:ea typeface="+mn-ea"/>
              <a:cs typeface="+mn-cs"/>
            </a:rPr>
            <a:t>preventing its customers from firm switching.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3. Finetune least performing and implementing methodologies used at the top performance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     region measure more revenue means</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4. Finetune performance of each sales person and transfer top performance sales person that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    seems to be low performing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5. Finetune if possibe the lowest sale product could be splash by 10% to boost sales</a:t>
          </a:r>
        </a:p>
        <a:p>
          <a:pPr marL="0" marR="0" indent="0" algn="l" defTabSz="914400" eaLnBrk="1" fontAlgn="auto" latinLnBrk="0" hangingPunct="1">
            <a:lnSpc>
              <a:spcPct val="100000"/>
            </a:lnSpc>
            <a:spcBef>
              <a:spcPts val="0"/>
            </a:spcBef>
            <a:spcAft>
              <a:spcPts val="0"/>
            </a:spcAft>
            <a:buClrTx/>
            <a:buSzTx/>
            <a:buFontTx/>
            <a:buNone/>
            <a:tabLst/>
            <a:defRPr/>
          </a:pP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4696178" y="153106"/>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POTENTIAL ANALYSIS/QUESTION</a:t>
          </a:r>
        </a:p>
        <a:p>
          <a:pPr algn="l"/>
          <a:r>
            <a:rPr lang="en-US" sz="800" b="1">
              <a:solidFill>
                <a:schemeClr val="accent5">
                  <a:lumMod val="50000"/>
                </a:schemeClr>
              </a:solidFill>
            </a:rPr>
            <a:t>1 Regional performance by revenue generated</a:t>
          </a:r>
        </a:p>
        <a:p>
          <a:pPr algn="l"/>
          <a:r>
            <a:rPr lang="en-US" sz="800" b="1">
              <a:solidFill>
                <a:schemeClr val="accent5">
                  <a:lumMod val="50000"/>
                </a:schemeClr>
              </a:solidFill>
            </a:rPr>
            <a:t>2 performance analysis of each salesperson by revenue generated</a:t>
          </a:r>
        </a:p>
        <a:p>
          <a:pPr algn="l"/>
          <a:r>
            <a:rPr lang="en-US" sz="800" b="1">
              <a:solidFill>
                <a:schemeClr val="accent5">
                  <a:lumMod val="50000"/>
                </a:schemeClr>
              </a:solidFill>
            </a:rPr>
            <a:t>3. Customer performance by quantity purchase</a:t>
          </a:r>
        </a:p>
        <a:p>
          <a:pPr algn="l"/>
          <a:r>
            <a:rPr lang="en-US" sz="800" b="1">
              <a:solidFill>
                <a:schemeClr val="accent5">
                  <a:lumMod val="50000"/>
                </a:schemeClr>
              </a:solidFill>
            </a:rPr>
            <a:t>4. Payment</a:t>
          </a:r>
          <a:r>
            <a:rPr lang="en-US" sz="800" b="1" baseline="0">
              <a:solidFill>
                <a:schemeClr val="accent5">
                  <a:lumMod val="50000"/>
                </a:schemeClr>
              </a:solidFill>
            </a:rPr>
            <a:t> usage over time by quantity use by payment</a:t>
          </a:r>
        </a:p>
        <a:p>
          <a:pPr algn="l"/>
          <a:r>
            <a:rPr lang="en-US" sz="800" b="1" baseline="0">
              <a:solidFill>
                <a:schemeClr val="accent5">
                  <a:lumMod val="50000"/>
                </a:schemeClr>
              </a:solidFill>
            </a:rPr>
            <a:t>5. Best performaning product for the year by quantity purchased</a:t>
          </a:r>
        </a:p>
        <a:p>
          <a:pPr algn="l"/>
          <a:r>
            <a:rPr lang="en-US" sz="800" b="1" baseline="0">
              <a:solidFill>
                <a:schemeClr val="accent5">
                  <a:lumMod val="50000"/>
                </a:schemeClr>
              </a:solidFill>
            </a:rPr>
            <a:t>6. Performance analysis for shipping contribute with reference to quantity and revenue</a:t>
          </a:r>
        </a:p>
        <a:p>
          <a:pPr algn="l"/>
          <a:r>
            <a:rPr lang="en-US" sz="800" b="1" baseline="0">
              <a:solidFill>
                <a:schemeClr val="accent5">
                  <a:lumMod val="50000"/>
                </a:schemeClr>
              </a:solidFill>
            </a:rPr>
            <a:t>7. Product category performance quantity</a:t>
          </a:r>
        </a:p>
        <a:p>
          <a:pPr algn="l"/>
          <a:r>
            <a:rPr lang="en-US" sz="800" b="1" baseline="0">
              <a:solidFill>
                <a:schemeClr val="accent5">
                  <a:lumMod val="50000"/>
                </a:schemeClr>
              </a:solidFill>
            </a:rPr>
            <a:t>8. Sales person performance per region by revenue</a:t>
          </a:r>
        </a:p>
        <a:p>
          <a:pPr algn="l"/>
          <a:r>
            <a:rPr lang="en-US" sz="800" b="1" baseline="0">
              <a:solidFill>
                <a:schemeClr val="accent5">
                  <a:lumMod val="50000"/>
                </a:schemeClr>
              </a:solidFill>
            </a:rPr>
            <a:t>9. Payment type across different regions</a:t>
          </a:r>
        </a:p>
        <a:p>
          <a:pPr algn="l"/>
          <a:r>
            <a:rPr lang="en-US" sz="800" b="1" baseline="0">
              <a:solidFill>
                <a:schemeClr val="accent5">
                  <a:lumMod val="50000"/>
                </a:schemeClr>
              </a:solidFill>
            </a:rPr>
            <a:t>10. Distribution of unit across product categories</a:t>
          </a:r>
        </a:p>
        <a:p>
          <a:pPr algn="l"/>
          <a:endParaRPr lang="en-US" sz="800" b="1" baseline="0">
            <a:solidFill>
              <a:schemeClr val="accent5">
                <a:lumMod val="50000"/>
              </a:schemeClr>
            </a:solidFill>
          </a:endParaRP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rPr>
            <a:t>                    </a:t>
          </a:r>
          <a:r>
            <a:rPr lang="en-US" sz="1000" b="1" baseline="0">
              <a:solidFill>
                <a:schemeClr val="accent5">
                  <a:lumMod val="50000"/>
                </a:schemeClr>
              </a:solidFill>
            </a:rPr>
            <a:t>     </a:t>
          </a:r>
          <a:r>
            <a:rPr lang="en-US" sz="1000" b="1" baseline="0">
              <a:solidFill>
                <a:schemeClr val="accent5">
                  <a:lumMod val="50000"/>
                </a:schemeClr>
              </a:solidFill>
              <a:effectLst/>
              <a:latin typeface="+mn-lt"/>
              <a:ea typeface="+mn-ea"/>
              <a:cs typeface="+mn-cs"/>
            </a:rPr>
            <a:t>POTENTIAL ANALYSIS/QUESTION</a:t>
          </a:r>
        </a:p>
        <a:p>
          <a:pPr marL="0" marR="0" indent="0" algn="l" defTabSz="914400" eaLnBrk="1" fontAlgn="auto" latinLnBrk="0" hangingPunct="1">
            <a:lnSpc>
              <a:spcPct val="100000"/>
            </a:lnSpc>
            <a:spcBef>
              <a:spcPts val="0"/>
            </a:spcBef>
            <a:spcAft>
              <a:spcPts val="0"/>
            </a:spcAft>
            <a:buClrTx/>
            <a:buSzTx/>
            <a:buFontTx/>
            <a:buNone/>
            <a:tabLst/>
            <a:defRPr/>
          </a:pPr>
          <a:r>
            <a:rPr lang="en-US" sz="1000" b="1" baseline="0">
              <a:solidFill>
                <a:schemeClr val="accent5">
                  <a:lumMod val="50000"/>
                </a:schemeClr>
              </a:solidFill>
              <a:effectLst/>
              <a:latin typeface="+mn-lt"/>
              <a:ea typeface="+mn-ea"/>
              <a:cs typeface="+mn-cs"/>
            </a:rPr>
            <a:t>     </a:t>
          </a:r>
          <a:r>
            <a:rPr lang="en-US" sz="800" b="1" baseline="0">
              <a:solidFill>
                <a:schemeClr val="accent5">
                  <a:lumMod val="50000"/>
                </a:schemeClr>
              </a:solidFill>
              <a:effectLst/>
              <a:latin typeface="+mn-lt"/>
              <a:ea typeface="+mn-ea"/>
              <a:cs typeface="+mn-cs"/>
            </a:rPr>
            <a:t>Profit</a:t>
          </a:r>
          <a:endParaRPr lang="en-US" sz="800">
            <a:solidFill>
              <a:schemeClr val="accent5">
                <a:lumMod val="50000"/>
              </a:schemeClr>
            </a:solidFill>
            <a:effectLst/>
          </a:endParaRPr>
        </a:p>
        <a:p>
          <a:pPr algn="l"/>
          <a:endParaRPr lang="en-US" sz="800" b="1" baseline="0"/>
        </a:p>
        <a:p>
          <a:pPr algn="l"/>
          <a:endParaRPr lang="en-US" sz="800" b="1"/>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66FDBE9E-9B6D-4D18-B044-4F54F57B23D6}"/>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t>                                   GENERAL OBSERAVATIONS</a:t>
          </a:r>
        </a:p>
        <a:p>
          <a:pPr algn="l"/>
          <a:r>
            <a:rPr lang="en-US" sz="1000"/>
            <a:t>New York is the clear leader in shipping revenue, overall revenue, and top city performance ($67,180.50).</a:t>
          </a:r>
          <a:r>
            <a:rPr lang="en-US" sz="1000" baseline="0"/>
            <a:t> </a:t>
          </a:r>
          <a:r>
            <a:rPr lang="en-US" sz="1000"/>
            <a:t>This suggests either a concentrated</a:t>
          </a:r>
          <a:r>
            <a:rPr lang="en-US" sz="1000" baseline="0"/>
            <a:t> </a:t>
          </a:r>
          <a:r>
            <a:rPr lang="en-US" sz="1000"/>
            <a:t>customer base in New York or a high-value sales environment there</a:t>
          </a:r>
        </a:p>
        <a:p>
          <a:pPr algn="l"/>
          <a:r>
            <a:rPr lang="en-US" sz="1000"/>
            <a:t>Company D is the top customer, aligning closely with New York’s dominance, which may indicate a geographical concentration.</a:t>
          </a:r>
        </a:p>
        <a:p>
          <a:pPr algn="l"/>
          <a:r>
            <a:rPr lang="en-US" sz="1000"/>
            <a:t>Beverages is the best-performing product, though the product category chart shows “Jams” with the highest revenue ($41,391). This discrepancy suggests a need for clearer categorization between "product type" and "product category.</a:t>
          </a:r>
        </a:p>
        <a:p>
          <a:pPr algn="l"/>
          <a:r>
            <a:rPr lang="en-US" sz="1000"/>
            <a:t>Sales fluctuate significantly throughout the year, with notable peaks in June ($11,595) and December ($11,026).</a:t>
          </a:r>
        </a:p>
        <a:p>
          <a:endParaRPr lang="en-US" sz="1000"/>
        </a:p>
        <a:p>
          <a:endParaRPr lang="en-US" sz="1000"/>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C80E9F1E-C49F-4DB8-8456-6B8EB367F86D}"/>
            </a:ext>
          </a:extLst>
        </xdr:cNvPr>
        <xdr:cNvSpPr/>
      </xdr:nvSpPr>
      <xdr:spPr>
        <a:xfrm>
          <a:off x="31751" y="2422172"/>
          <a:ext cx="4381500" cy="22041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OBSERVATION</a:t>
          </a:r>
        </a:p>
        <a:p>
          <a:pPr algn="l"/>
          <a:r>
            <a:rPr lang="en-US" sz="1000">
              <a:solidFill>
                <a:schemeClr val="accent5">
                  <a:lumMod val="50000"/>
                </a:schemeClr>
              </a:solidFill>
            </a:rPr>
            <a:t>December is the highest sales month, indicating strong year-end demand, possibly due to seasonal or holiday sales.</a:t>
          </a:r>
        </a:p>
        <a:p>
          <a:pPr algn="l"/>
          <a:r>
            <a:rPr lang="en-US" sz="1000">
              <a:solidFill>
                <a:schemeClr val="accent5">
                  <a:lumMod val="50000"/>
                </a:schemeClr>
              </a:solidFill>
            </a:rPr>
            <a:t>April has the lowest performance ($738.40), suggesting either a market slowdown or operational issues in that period.</a:t>
          </a:r>
        </a:p>
        <a:p>
          <a:pPr algn="l"/>
          <a:r>
            <a:rPr lang="en-US" sz="1000">
              <a:solidFill>
                <a:schemeClr val="accent5">
                  <a:lumMod val="50000"/>
                </a:schemeClr>
              </a:solidFill>
            </a:rPr>
            <a:t>Andrew Cencini appears to account for the entire visible sales performance figure ($67,180.50). If accurate, this indicates either heavy reliance on one salesperson or filtered data showing only Andrew’s performance.</a:t>
          </a:r>
        </a:p>
        <a:p>
          <a:r>
            <a:rPr lang="en-US" sz="1000">
              <a:solidFill>
                <a:schemeClr val="accent5">
                  <a:lumMod val="50000"/>
                </a:schemeClr>
              </a:solidFill>
            </a:rPr>
            <a:t>The performance by state map shows significant revenue concentration in a few states, with many states underperforming.</a:t>
          </a:r>
        </a:p>
        <a:p>
          <a:r>
            <a:rPr lang="en-US" sz="1000">
              <a:solidFill>
                <a:schemeClr val="accent5">
                  <a:lumMod val="50000"/>
                </a:schemeClr>
              </a:solidFill>
            </a:rPr>
            <a:t>This may indicate untapped potential in underrepresented regions.</a:t>
          </a:r>
        </a:p>
        <a:p>
          <a:pPr algn="l"/>
          <a:endParaRPr lang="en-US" sz="1000" b="1" baseline="0">
            <a:solidFill>
              <a:schemeClr val="accent5">
                <a:lumMod val="50000"/>
              </a:schemeClr>
            </a:solidFill>
          </a:endParaRPr>
        </a:p>
        <a:p>
          <a:pPr algn="l"/>
          <a:endParaRPr lang="en-US" sz="1000" b="0">
            <a:solidFill>
              <a:schemeClr val="accent5">
                <a:lumMod val="50000"/>
              </a:schemeClr>
            </a:solidFill>
          </a:endParaRPr>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84823674-E06C-41C1-8F01-816214637551}"/>
            </a:ext>
          </a:extLst>
        </xdr:cNvPr>
        <xdr:cNvSpPr/>
      </xdr:nvSpPr>
      <xdr:spPr>
        <a:xfrm>
          <a:off x="4746978" y="2429933"/>
          <a:ext cx="4381499"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9CC3811B-90C2-4A03-895A-0FA007851293}"/>
            </a:ext>
          </a:extLst>
        </xdr:cNvPr>
        <xdr:cNvSpPr/>
      </xdr:nvSpPr>
      <xdr:spPr>
        <a:xfrm>
          <a:off x="4715934" y="153106"/>
          <a:ext cx="4381499" cy="22034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OBSERVATIONS</a:t>
          </a:r>
        </a:p>
        <a:p>
          <a:pPr algn="l"/>
          <a:r>
            <a:rPr lang="en-US" sz="1000">
              <a:solidFill>
                <a:schemeClr val="accent5">
                  <a:lumMod val="50000"/>
                </a:schemeClr>
              </a:solidFill>
            </a:rPr>
            <a:t>The bulk of transactions are in the smallest bracket (10-1010) with 15 transactions, but the largest single transaction is also from this same bracket ID (10-1010), indicating a possible need to clarify transaction categorization or review high-volume low-value sales patterns.</a:t>
          </a:r>
        </a:p>
        <a:p>
          <a:r>
            <a:rPr lang="en-US" sz="1000">
              <a:solidFill>
                <a:schemeClr val="accent5">
                  <a:lumMod val="50000"/>
                </a:schemeClr>
              </a:solidFill>
            </a:rPr>
            <a:t>Jams outperform other categories significantly.</a:t>
          </a:r>
        </a:p>
        <a:p>
          <a:r>
            <a:rPr lang="en-US" sz="1000">
              <a:solidFill>
                <a:schemeClr val="accent5">
                  <a:lumMod val="50000"/>
                </a:schemeClr>
              </a:solidFill>
            </a:rPr>
            <a:t>Several categories like “Baked” and “Grains” generate minimal revenue, suggesting possible discontinuation or repositioning</a:t>
          </a:r>
        </a:p>
        <a:p>
          <a:pPr algn="l"/>
          <a:endParaRPr lang="en-US" sz="800" b="1" baseline="0">
            <a:solidFill>
              <a:schemeClr val="accent5">
                <a:lumMod val="50000"/>
              </a:schemeClr>
            </a:solidFill>
          </a:endParaRPr>
        </a:p>
        <a:p>
          <a:pPr algn="l"/>
          <a:endParaRPr lang="en-US" sz="800" b="1">
            <a:solidFill>
              <a:schemeClr val="accent5">
                <a:lumMod val="50000"/>
              </a:schemeClr>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25F3B4BC-B3BA-4902-BD37-5D2170F17ED5}"/>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                                </a:t>
          </a:r>
          <a:r>
            <a:rPr lang="en-US" sz="1100" b="1" baseline="0">
              <a:solidFill>
                <a:schemeClr val="lt1"/>
              </a:solidFill>
              <a:effectLst/>
              <a:latin typeface="+mn-lt"/>
              <a:ea typeface="+mn-ea"/>
              <a:cs typeface="+mn-cs"/>
            </a:rPr>
            <a:t>GENERAL RECOMMENDATIONS</a:t>
          </a:r>
          <a:endParaRPr lang="en-US" sz="1000">
            <a:effectLst/>
          </a:endParaRPr>
        </a:p>
        <a:p>
          <a:pPr algn="l"/>
          <a:endParaRPr lang="en-US" sz="1000" b="1" baseline="0"/>
        </a:p>
        <a:p>
          <a:r>
            <a:rPr lang="en-US" sz="1000"/>
            <a:t>Reduce over-reliance on one city by strengthening sales in other high-potential states and cities.</a:t>
          </a:r>
        </a:p>
        <a:p>
          <a:r>
            <a:rPr lang="en-US" sz="1000"/>
            <a:t>Consider market penetration strategies such as targeted promotions or partnerships in underperforming areas.</a:t>
          </a:r>
        </a:p>
        <a:p>
          <a:r>
            <a:rPr lang="en-US" sz="1000"/>
            <a:t>Ensure consistent classification of “Best Performing Product” vs. “Top Revenue Product Category” to avoid confusion.</a:t>
          </a:r>
        </a:p>
        <a:p>
          <a:r>
            <a:rPr lang="en-US" sz="1000"/>
            <a:t>Conduct deeper analysis on why Jams dominate and whether similar strategies can boost other categories.</a:t>
          </a:r>
        </a:p>
        <a:p>
          <a:endParaRPr lang="en-US" sz="1000"/>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81E72990-E8DE-48A5-A07B-E2B066FC31B7}"/>
            </a:ext>
          </a:extLst>
        </xdr:cNvPr>
        <xdr:cNvSpPr/>
      </xdr:nvSpPr>
      <xdr:spPr>
        <a:xfrm>
          <a:off x="31751" y="2422172"/>
          <a:ext cx="4381500" cy="22041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RECOMMENDATIONS</a:t>
          </a:r>
        </a:p>
        <a:p>
          <a:r>
            <a:rPr lang="en-US" sz="1000">
              <a:solidFill>
                <a:schemeClr val="accent5">
                  <a:lumMod val="50000"/>
                </a:schemeClr>
              </a:solidFill>
            </a:rPr>
            <a:t>Investigate the reasons for low April sales and develop targeted campaigns to boost mid-year performance.</a:t>
          </a:r>
        </a:p>
        <a:p>
          <a:r>
            <a:rPr lang="en-US" sz="1000">
              <a:solidFill>
                <a:schemeClr val="accent5">
                  <a:lumMod val="50000"/>
                </a:schemeClr>
              </a:solidFill>
            </a:rPr>
            <a:t>Leverage December’s seasonal peak by introducing pre-holiday campaigns starting in October/November.</a:t>
          </a:r>
        </a:p>
        <a:p>
          <a:r>
            <a:rPr lang="en-US" sz="1000">
              <a:solidFill>
                <a:schemeClr val="accent5">
                  <a:lumMod val="50000"/>
                </a:schemeClr>
              </a:solidFill>
            </a:rPr>
            <a:t>If data is accurate, reliance on Andrew Cencini is risky. Expand training and lead distribution among other sales reps.</a:t>
          </a:r>
        </a:p>
        <a:p>
          <a:r>
            <a:rPr lang="en-US" sz="1000">
              <a:solidFill>
                <a:schemeClr val="accent5">
                  <a:lumMod val="50000"/>
                </a:schemeClr>
              </a:solidFill>
            </a:rPr>
            <a:t>Set performance benchmarks to improve overall sales team productivity</a:t>
          </a:r>
        </a:p>
        <a:p>
          <a:r>
            <a:rPr lang="en-US" sz="1000">
              <a:solidFill>
                <a:schemeClr val="accent5">
                  <a:lumMod val="50000"/>
                </a:schemeClr>
              </a:solidFill>
            </a:rPr>
            <a:t>While Company D is top customer, a diversified customer portfolio will reduce dependency risk.</a:t>
          </a:r>
        </a:p>
        <a:p>
          <a:r>
            <a:rPr lang="en-US" sz="1000">
              <a:solidFill>
                <a:schemeClr val="accent5">
                  <a:lumMod val="50000"/>
                </a:schemeClr>
              </a:solidFill>
            </a:rPr>
            <a:t>Use predictive analytics to identify and nurture other potential high-value clients.</a:t>
          </a:r>
        </a:p>
        <a:p>
          <a:endParaRPr lang="en-US" sz="1000">
            <a:solidFill>
              <a:schemeClr val="accent5">
                <a:lumMod val="50000"/>
              </a:schemeClr>
            </a:solidFill>
          </a:endParaRPr>
        </a:p>
        <a:p>
          <a:endParaRPr lang="en-US" sz="1000">
            <a:solidFill>
              <a:schemeClr val="accent5">
                <a:lumMod val="50000"/>
              </a:schemeClr>
            </a:solidFill>
          </a:endParaRPr>
        </a:p>
        <a:p>
          <a:pPr algn="l"/>
          <a:endParaRPr lang="en-US" sz="1000" b="0">
            <a:solidFill>
              <a:schemeClr val="accent5">
                <a:lumMod val="50000"/>
              </a:schemeClr>
            </a:solidFill>
          </a:endParaRPr>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09FAE9D3-47E4-4EF1-BD29-425879A13D3F}"/>
            </a:ext>
          </a:extLst>
        </xdr:cNvPr>
        <xdr:cNvSpPr/>
      </xdr:nvSpPr>
      <xdr:spPr>
        <a:xfrm>
          <a:off x="4746978" y="2429933"/>
          <a:ext cx="4381499"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C10C3AD2-35C6-4C9E-8635-C7C89941780C}"/>
            </a:ext>
          </a:extLst>
        </xdr:cNvPr>
        <xdr:cNvSpPr/>
      </xdr:nvSpPr>
      <xdr:spPr>
        <a:xfrm>
          <a:off x="4696178" y="153106"/>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accent5">
                  <a:lumMod val="50000"/>
                </a:schemeClr>
              </a:solidFill>
            </a:rPr>
            <a:t>                         </a:t>
          </a:r>
          <a:r>
            <a:rPr lang="en-US" sz="1000" b="1" baseline="0">
              <a:solidFill>
                <a:schemeClr val="accent5">
                  <a:lumMod val="50000"/>
                </a:schemeClr>
              </a:solidFill>
              <a:effectLst/>
              <a:latin typeface="+mn-lt"/>
              <a:ea typeface="+mn-ea"/>
              <a:cs typeface="+mn-cs"/>
            </a:rPr>
            <a:t>GENERAL RECOMMENDATIONS</a:t>
          </a:r>
          <a:endParaRPr lang="en-US" sz="1000">
            <a:solidFill>
              <a:schemeClr val="accent5">
                <a:lumMod val="50000"/>
              </a:schemeClr>
            </a:solidFill>
            <a:effectLst/>
          </a:endParaRPr>
        </a:p>
        <a:p>
          <a:pPr algn="l"/>
          <a:endParaRPr lang="en-US" sz="1000" b="1" baseline="0">
            <a:solidFill>
              <a:schemeClr val="accent5">
                <a:lumMod val="50000"/>
              </a:schemeClr>
            </a:solidFill>
          </a:endParaRPr>
        </a:p>
        <a:p>
          <a:r>
            <a:rPr lang="en-US" sz="1000" b="1" baseline="0">
              <a:solidFill>
                <a:schemeClr val="accent5">
                  <a:lumMod val="50000"/>
                </a:schemeClr>
              </a:solidFill>
              <a:effectLst/>
              <a:latin typeface="+mn-lt"/>
              <a:ea typeface="+mn-ea"/>
              <a:cs typeface="+mn-cs"/>
            </a:rPr>
            <a:t>   </a:t>
          </a:r>
          <a:r>
            <a:rPr lang="en-US" sz="1000">
              <a:solidFill>
                <a:schemeClr val="accent5">
                  <a:lumMod val="50000"/>
                </a:schemeClr>
              </a:solidFill>
            </a:rPr>
            <a:t>Consider repositioning or discontinuing low-revenue categories unless they have strategic brand value.</a:t>
          </a:r>
        </a:p>
        <a:p>
          <a:r>
            <a:rPr lang="en-US" sz="1000">
              <a:solidFill>
                <a:schemeClr val="accent5">
                  <a:lumMod val="50000"/>
                </a:schemeClr>
              </a:solidFill>
            </a:rPr>
            <a:t>Invest marketing in mid-tier categories like Pasta and Dried goods to balance portfolio revenue.</a:t>
          </a:r>
        </a:p>
        <a:p>
          <a:r>
            <a:rPr lang="en-US" sz="1000">
              <a:solidFill>
                <a:schemeClr val="accent5">
                  <a:lumMod val="50000"/>
                </a:schemeClr>
              </a:solidFill>
            </a:rPr>
            <a:t>If the majority of transactions are low-value, explore upselling and bundling strategies to increase average transaction size.</a:t>
          </a:r>
        </a:p>
        <a:p>
          <a:r>
            <a:rPr lang="en-US" sz="1000">
              <a:solidFill>
                <a:schemeClr val="accent5">
                  <a:lumMod val="50000"/>
                </a:schemeClr>
              </a:solidFill>
            </a:rPr>
            <a:t>Evaluate the profitability of each transaction range to focus on the most lucrative segments.</a:t>
          </a:r>
        </a:p>
        <a:p>
          <a:pPr marL="0" marR="0" indent="0" algn="l" defTabSz="914400" eaLnBrk="1" fontAlgn="auto" latinLnBrk="0" hangingPunct="1">
            <a:lnSpc>
              <a:spcPct val="100000"/>
            </a:lnSpc>
            <a:spcBef>
              <a:spcPts val="0"/>
            </a:spcBef>
            <a:spcAft>
              <a:spcPts val="0"/>
            </a:spcAft>
            <a:buClrTx/>
            <a:buSzTx/>
            <a:buFontTx/>
            <a:buNone/>
            <a:tabLst/>
            <a:defRPr/>
          </a:pPr>
          <a:endParaRPr lang="en-US" sz="1000">
            <a:solidFill>
              <a:schemeClr val="accent5">
                <a:lumMod val="50000"/>
              </a:schemeClr>
            </a:solidFill>
            <a:effectLst/>
          </a:endParaRPr>
        </a:p>
        <a:p>
          <a:pPr algn="l"/>
          <a:endParaRPr lang="en-US" sz="1000" b="1" baseline="0">
            <a:solidFill>
              <a:schemeClr val="accent5">
                <a:lumMod val="50000"/>
              </a:schemeClr>
            </a:solidFill>
          </a:endParaRPr>
        </a:p>
        <a:p>
          <a:pPr algn="l"/>
          <a:endParaRPr lang="en-US" sz="1000" b="1">
            <a:solidFill>
              <a:schemeClr val="accent5">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5.667042129629" createdVersion="5" refreshedVersion="5" minRefreshableVersion="3" recordCount="369" xr:uid="{00000000-000A-0000-FFFF-FFFF0A000000}">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ount="1">
        <s v="USA"/>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88605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x v="0"/>
    <s v="Check"/>
    <x v="0"/>
    <x v="0"/>
    <n v="14"/>
    <n v="49"/>
    <x v="0"/>
    <n v="66.542000000000002"/>
  </r>
  <r>
    <n v="1002"/>
    <x v="0"/>
    <n v="27"/>
    <x v="0"/>
    <s v="789 27th Street"/>
    <x v="0"/>
    <x v="0"/>
    <n v="99999"/>
    <s v="USA"/>
    <x v="0"/>
    <x v="0"/>
    <d v="2014-01-29T00:00:00"/>
    <s v="Shipping Company B"/>
    <s v="Karen Toh"/>
    <s v="789 27th Street"/>
    <x v="0"/>
    <s v="NV"/>
    <n v="99999"/>
    <x v="0"/>
    <s v="Check"/>
    <x v="1"/>
    <x v="1"/>
    <n v="3.5"/>
    <n v="47"/>
    <x v="1"/>
    <n v="16.6145"/>
  </r>
  <r>
    <n v="1003"/>
    <x v="1"/>
    <n v="4"/>
    <x v="1"/>
    <s v="123 4th Street"/>
    <x v="1"/>
    <x v="1"/>
    <n v="99999"/>
    <s v="USA"/>
    <x v="1"/>
    <x v="1"/>
    <d v="2014-01-06T00:00:00"/>
    <s v="Shipping Company A"/>
    <s v="Christina Lee"/>
    <s v="123 4th Street"/>
    <x v="1"/>
    <s v="NY"/>
    <n v="99999"/>
    <x v="0"/>
    <s v="Credit Card"/>
    <x v="2"/>
    <x v="1"/>
    <n v="30"/>
    <n v="69"/>
    <x v="2"/>
    <n v="198.72"/>
  </r>
  <r>
    <n v="1004"/>
    <x v="1"/>
    <n v="4"/>
    <x v="1"/>
    <s v="123 4th Street"/>
    <x v="1"/>
    <x v="1"/>
    <n v="99999"/>
    <s v="USA"/>
    <x v="1"/>
    <x v="1"/>
    <d v="2014-01-06T00:00:00"/>
    <s v="Shipping Company A"/>
    <s v="Christina Lee"/>
    <s v="123 4th Street"/>
    <x v="1"/>
    <s v="NY"/>
    <n v="99999"/>
    <x v="0"/>
    <s v="Credit Card"/>
    <x v="3"/>
    <x v="1"/>
    <n v="53"/>
    <n v="89"/>
    <x v="3"/>
    <n v="448.11500000000001"/>
  </r>
  <r>
    <n v="1005"/>
    <x v="1"/>
    <n v="4"/>
    <x v="1"/>
    <s v="123 4th Street"/>
    <x v="1"/>
    <x v="1"/>
    <n v="99999"/>
    <s v="USA"/>
    <x v="1"/>
    <x v="1"/>
    <d v="2014-01-06T00:00:00"/>
    <s v="Shipping Company A"/>
    <s v="Christina Lee"/>
    <s v="123 4th Street"/>
    <x v="1"/>
    <s v="NY"/>
    <n v="99999"/>
    <x v="0"/>
    <s v="Credit Card"/>
    <x v="1"/>
    <x v="1"/>
    <n v="3.5"/>
    <n v="11"/>
    <x v="4"/>
    <n v="3.7345000000000002"/>
  </r>
  <r>
    <n v="1006"/>
    <x v="2"/>
    <n v="12"/>
    <x v="2"/>
    <s v="123 12th Street"/>
    <x v="0"/>
    <x v="0"/>
    <n v="99999"/>
    <s v="USA"/>
    <x v="0"/>
    <x v="0"/>
    <d v="2014-01-14T00:00:00"/>
    <s v="Shipping Company B"/>
    <s v="John Edwards"/>
    <s v="123 12th Street"/>
    <x v="0"/>
    <s v="NV"/>
    <n v="99999"/>
    <x v="0"/>
    <s v="Credit Card"/>
    <x v="4"/>
    <x v="0"/>
    <n v="18"/>
    <n v="81"/>
    <x v="5"/>
    <n v="141.42600000000002"/>
  </r>
  <r>
    <n v="1007"/>
    <x v="2"/>
    <n v="12"/>
    <x v="2"/>
    <s v="123 12th Street"/>
    <x v="0"/>
    <x v="0"/>
    <n v="99999"/>
    <s v="USA"/>
    <x v="0"/>
    <x v="0"/>
    <d v="2014-01-14T00:00:00"/>
    <s v="Shipping Company B"/>
    <s v="John Edwards"/>
    <s v="123 12th Street"/>
    <x v="0"/>
    <s v="NV"/>
    <n v="99999"/>
    <x v="0"/>
    <s v="Credit Card"/>
    <x v="5"/>
    <x v="0"/>
    <n v="46"/>
    <n v="44"/>
    <x v="6"/>
    <n v="198.352"/>
  </r>
  <r>
    <n v="1008"/>
    <x v="3"/>
    <n v="8"/>
    <x v="3"/>
    <s v="123 8th Street"/>
    <x v="2"/>
    <x v="2"/>
    <n v="99999"/>
    <s v="USA"/>
    <x v="2"/>
    <x v="2"/>
    <d v="2014-01-10T00:00:00"/>
    <s v="Shipping Company C"/>
    <s v="Elizabeth Andersen"/>
    <s v="123 8th Street"/>
    <x v="2"/>
    <s v="OR"/>
    <n v="99999"/>
    <x v="0"/>
    <s v="Credit Card"/>
    <x v="6"/>
    <x v="2"/>
    <n v="9.1999999999999993"/>
    <n v="38"/>
    <x v="7"/>
    <n v="36.008800000000001"/>
  </r>
  <r>
    <n v="1009"/>
    <x v="1"/>
    <n v="4"/>
    <x v="1"/>
    <s v="123 4th Street"/>
    <x v="1"/>
    <x v="1"/>
    <n v="99999"/>
    <s v="USA"/>
    <x v="1"/>
    <x v="1"/>
    <d v="2014-01-06T00:00:00"/>
    <s v="Shipping Company C"/>
    <s v="Christina Lee"/>
    <s v="123 4th Street"/>
    <x v="1"/>
    <s v="NY"/>
    <n v="99999"/>
    <x v="0"/>
    <s v="Check"/>
    <x v="6"/>
    <x v="2"/>
    <n v="9.1999999999999993"/>
    <n v="88"/>
    <x v="8"/>
    <n v="79.340799999999987"/>
  </r>
  <r>
    <n v="1010"/>
    <x v="4"/>
    <n v="29"/>
    <x v="4"/>
    <s v="789 29th Street"/>
    <x v="3"/>
    <x v="3"/>
    <n v="99999"/>
    <s v="USA"/>
    <x v="3"/>
    <x v="0"/>
    <d v="2014-01-31T00:00:00"/>
    <s v="Shipping Company B"/>
    <s v="Soo Jung Lee"/>
    <s v="789 29th Street"/>
    <x v="3"/>
    <s v="CO"/>
    <n v="99999"/>
    <x v="0"/>
    <s v="Check"/>
    <x v="7"/>
    <x v="3"/>
    <n v="12.75"/>
    <n v="94"/>
    <x v="9"/>
    <n v="122.24700000000001"/>
  </r>
  <r>
    <n v="1011"/>
    <x v="5"/>
    <n v="3"/>
    <x v="5"/>
    <s v="123 3rd Street"/>
    <x v="4"/>
    <x v="4"/>
    <n v="99999"/>
    <s v="USA"/>
    <x v="0"/>
    <x v="0"/>
    <d v="2014-01-05T00:00:00"/>
    <s v="Shipping Company B"/>
    <s v="Thomas Axerr"/>
    <s v="123 3rd Street"/>
    <x v="4"/>
    <s v="CA"/>
    <n v="99999"/>
    <x v="0"/>
    <s v="Cash"/>
    <x v="8"/>
    <x v="4"/>
    <n v="9.65"/>
    <n v="91"/>
    <x v="10"/>
    <n v="92.205749999999995"/>
  </r>
  <r>
    <n v="1012"/>
    <x v="6"/>
    <n v="6"/>
    <x v="6"/>
    <s v="123 6th Street"/>
    <x v="5"/>
    <x v="5"/>
    <n v="99999"/>
    <s v="USA"/>
    <x v="4"/>
    <x v="2"/>
    <d v="2014-01-08T00:00:00"/>
    <s v="Shipping Company B"/>
    <s v="Francisco Pérez-Olaeta"/>
    <s v="123 6th Street"/>
    <x v="5"/>
    <s v="WI"/>
    <n v="99999"/>
    <x v="0"/>
    <s v="Credit Card"/>
    <x v="9"/>
    <x v="5"/>
    <n v="40"/>
    <n v="32"/>
    <x v="11"/>
    <n v="133.12"/>
  </r>
  <r>
    <n v="1013"/>
    <x v="7"/>
    <n v="28"/>
    <x v="7"/>
    <s v="789 28th Street"/>
    <x v="6"/>
    <x v="6"/>
    <n v="99999"/>
    <s v="USA"/>
    <x v="5"/>
    <x v="3"/>
    <d v="2014-01-30T00:00:00"/>
    <s v="Shipping Company C"/>
    <s v="Amritansh Raghav"/>
    <s v="789 28th Street"/>
    <x v="6"/>
    <s v="TN"/>
    <n v="99999"/>
    <x v="0"/>
    <s v="Check"/>
    <x v="5"/>
    <x v="0"/>
    <n v="46"/>
    <n v="55"/>
    <x v="12"/>
    <n v="253"/>
  </r>
  <r>
    <n v="1014"/>
    <x v="3"/>
    <n v="8"/>
    <x v="3"/>
    <s v="123 8th Street"/>
    <x v="2"/>
    <x v="2"/>
    <n v="99999"/>
    <s v="USA"/>
    <x v="2"/>
    <x v="2"/>
    <d v="2014-01-10T00:00:00"/>
    <s v="Shipping Company C"/>
    <s v="Elizabeth Andersen"/>
    <s v="123 8th Street"/>
    <x v="2"/>
    <s v="OR"/>
    <n v="99999"/>
    <x v="0"/>
    <s v="Check"/>
    <x v="7"/>
    <x v="3"/>
    <n v="12.75"/>
    <n v="47"/>
    <x v="13"/>
    <n v="61.722750000000005"/>
  </r>
  <r>
    <n v="1015"/>
    <x v="8"/>
    <n v="10"/>
    <x v="8"/>
    <s v="123 10th Street"/>
    <x v="7"/>
    <x v="7"/>
    <n v="99999"/>
    <s v="USA"/>
    <x v="6"/>
    <x v="1"/>
    <d v="2014-01-12T00:00:00"/>
    <s v="Shipping Company B"/>
    <s v="Roland Wacker"/>
    <s v="123 10th Street"/>
    <x v="7"/>
    <s v="IL"/>
    <n v="99999"/>
    <x v="0"/>
    <s v="Credit Card"/>
    <x v="10"/>
    <x v="0"/>
    <n v="2.99"/>
    <n v="90"/>
    <x v="14"/>
    <n v="27.717300000000005"/>
  </r>
  <r>
    <n v="1016"/>
    <x v="9"/>
    <n v="7"/>
    <x v="9"/>
    <s v="123 7th Street"/>
    <x v="8"/>
    <x v="8"/>
    <n v="99999"/>
    <s v="USA"/>
    <x v="2"/>
    <x v="2"/>
    <m/>
    <m/>
    <s v="Ming-Yang Xie"/>
    <s v="123 7th Street"/>
    <x v="8"/>
    <s v="ID"/>
    <n v="99999"/>
    <x v="0"/>
    <m/>
    <x v="5"/>
    <x v="0"/>
    <n v="46"/>
    <n v="24"/>
    <x v="15"/>
    <n v="110.4"/>
  </r>
  <r>
    <n v="1017"/>
    <x v="8"/>
    <n v="10"/>
    <x v="8"/>
    <s v="123 10th Street"/>
    <x v="7"/>
    <x v="7"/>
    <n v="99999"/>
    <s v="USA"/>
    <x v="6"/>
    <x v="1"/>
    <d v="2014-01-12T00:00:00"/>
    <s v="Shipping Company A"/>
    <s v="Roland Wacker"/>
    <s v="123 10th Street"/>
    <x v="7"/>
    <s v="IL"/>
    <n v="99999"/>
    <x v="0"/>
    <m/>
    <x v="11"/>
    <x v="6"/>
    <n v="25"/>
    <n v="34"/>
    <x v="16"/>
    <n v="80.75"/>
  </r>
  <r>
    <n v="1018"/>
    <x v="8"/>
    <n v="10"/>
    <x v="8"/>
    <s v="123 10th Street"/>
    <x v="7"/>
    <x v="7"/>
    <n v="99999"/>
    <s v="USA"/>
    <x v="6"/>
    <x v="1"/>
    <d v="2014-01-12T00:00:00"/>
    <s v="Shipping Company A"/>
    <s v="Roland Wacker"/>
    <s v="123 10th Street"/>
    <x v="7"/>
    <s v="IL"/>
    <n v="99999"/>
    <x v="0"/>
    <m/>
    <x v="12"/>
    <x v="7"/>
    <n v="22"/>
    <n v="17"/>
    <x v="17"/>
    <n v="35.903999999999996"/>
  </r>
  <r>
    <n v="1019"/>
    <x v="8"/>
    <n v="10"/>
    <x v="8"/>
    <s v="123 10th Street"/>
    <x v="7"/>
    <x v="7"/>
    <n v="99999"/>
    <s v="USA"/>
    <x v="6"/>
    <x v="1"/>
    <d v="2014-01-12T00:00:00"/>
    <s v="Shipping Company A"/>
    <s v="Roland Wacker"/>
    <s v="123 10th Street"/>
    <x v="7"/>
    <s v="IL"/>
    <n v="99999"/>
    <x v="0"/>
    <m/>
    <x v="6"/>
    <x v="2"/>
    <n v="9.1999999999999993"/>
    <n v="44"/>
    <x v="18"/>
    <n v="42.099199999999996"/>
  </r>
  <r>
    <n v="1020"/>
    <x v="10"/>
    <n v="11"/>
    <x v="10"/>
    <s v="123 11th Street"/>
    <x v="9"/>
    <x v="9"/>
    <n v="99999"/>
    <s v="USA"/>
    <x v="5"/>
    <x v="3"/>
    <m/>
    <s v="Shipping Company C"/>
    <s v="Peter Krschne"/>
    <s v="123 11th Street"/>
    <x v="9"/>
    <s v="FL"/>
    <n v="99999"/>
    <x v="0"/>
    <m/>
    <x v="1"/>
    <x v="1"/>
    <n v="3.5"/>
    <n v="81"/>
    <x v="19"/>
    <n v="27.499500000000001"/>
  </r>
  <r>
    <n v="1021"/>
    <x v="10"/>
    <n v="11"/>
    <x v="10"/>
    <s v="123 11th Street"/>
    <x v="9"/>
    <x v="9"/>
    <n v="99999"/>
    <s v="USA"/>
    <x v="5"/>
    <x v="3"/>
    <m/>
    <s v="Shipping Company C"/>
    <s v="Peter Krschne"/>
    <s v="123 11th Street"/>
    <x v="9"/>
    <s v="FL"/>
    <n v="99999"/>
    <x v="0"/>
    <m/>
    <x v="10"/>
    <x v="0"/>
    <n v="2.99"/>
    <n v="49"/>
    <x v="20"/>
    <n v="15.090530000000005"/>
  </r>
  <r>
    <n v="1022"/>
    <x v="11"/>
    <n v="1"/>
    <x v="11"/>
    <s v="123 1st Street"/>
    <x v="10"/>
    <x v="10"/>
    <n v="99999"/>
    <s v="USA"/>
    <x v="2"/>
    <x v="2"/>
    <m/>
    <m/>
    <s v="Anna Bedecs"/>
    <s v="123 1st Street"/>
    <x v="10"/>
    <s v="WA"/>
    <n v="99999"/>
    <x v="0"/>
    <m/>
    <x v="4"/>
    <x v="0"/>
    <n v="18"/>
    <n v="42"/>
    <x v="21"/>
    <n v="75.600000000000009"/>
  </r>
  <r>
    <n v="1023"/>
    <x v="11"/>
    <n v="1"/>
    <x v="11"/>
    <s v="123 1st Street"/>
    <x v="10"/>
    <x v="10"/>
    <n v="99999"/>
    <s v="USA"/>
    <x v="2"/>
    <x v="2"/>
    <m/>
    <m/>
    <s v="Anna Bedecs"/>
    <s v="123 1st Street"/>
    <x v="10"/>
    <s v="WA"/>
    <n v="99999"/>
    <x v="0"/>
    <m/>
    <x v="5"/>
    <x v="0"/>
    <n v="46"/>
    <n v="58"/>
    <x v="22"/>
    <n v="269.46800000000002"/>
  </r>
  <r>
    <n v="1024"/>
    <x v="11"/>
    <n v="1"/>
    <x v="11"/>
    <s v="123 1st Street"/>
    <x v="10"/>
    <x v="10"/>
    <n v="99999"/>
    <s v="USA"/>
    <x v="2"/>
    <x v="2"/>
    <m/>
    <m/>
    <s v="Anna Bedecs"/>
    <s v="123 1st Street"/>
    <x v="10"/>
    <s v="WA"/>
    <n v="99999"/>
    <x v="0"/>
    <m/>
    <x v="10"/>
    <x v="0"/>
    <n v="2.99"/>
    <n v="67"/>
    <x v="23"/>
    <n v="20.033000000000001"/>
  </r>
  <r>
    <n v="1025"/>
    <x v="7"/>
    <n v="28"/>
    <x v="7"/>
    <s v="789 28th Street"/>
    <x v="6"/>
    <x v="6"/>
    <n v="99999"/>
    <s v="USA"/>
    <x v="5"/>
    <x v="3"/>
    <d v="2014-01-30T00:00:00"/>
    <s v="Shipping Company C"/>
    <s v="Amritansh Raghav"/>
    <s v="789 28th Street"/>
    <x v="6"/>
    <s v="TN"/>
    <n v="99999"/>
    <x v="0"/>
    <s v="Credit Card"/>
    <x v="8"/>
    <x v="4"/>
    <n v="9.65"/>
    <n v="100"/>
    <x v="24"/>
    <n v="93.605000000000004"/>
  </r>
  <r>
    <n v="1026"/>
    <x v="7"/>
    <n v="28"/>
    <x v="7"/>
    <s v="789 28th Street"/>
    <x v="6"/>
    <x v="6"/>
    <n v="99999"/>
    <s v="USA"/>
    <x v="5"/>
    <x v="3"/>
    <d v="2014-01-30T00:00:00"/>
    <s v="Shipping Company C"/>
    <s v="Amritansh Raghav"/>
    <s v="789 28th Street"/>
    <x v="6"/>
    <s v="TN"/>
    <n v="99999"/>
    <x v="0"/>
    <s v="Credit Card"/>
    <x v="13"/>
    <x v="8"/>
    <n v="18.399999999999999"/>
    <n v="63"/>
    <x v="25"/>
    <n v="114.76079999999999"/>
  </r>
  <r>
    <n v="1027"/>
    <x v="12"/>
    <n v="9"/>
    <x v="12"/>
    <s v="123 9th Street"/>
    <x v="11"/>
    <x v="11"/>
    <n v="99999"/>
    <s v="USA"/>
    <x v="7"/>
    <x v="0"/>
    <d v="2014-01-11T00:00:00"/>
    <s v="Shipping Company A"/>
    <s v="Sven Mortensen"/>
    <s v="123 9th Street"/>
    <x v="11"/>
    <s v="UT"/>
    <n v="99999"/>
    <x v="0"/>
    <s v="Check"/>
    <x v="14"/>
    <x v="9"/>
    <n v="19.5"/>
    <n v="57"/>
    <x v="26"/>
    <n v="110.0385"/>
  </r>
  <r>
    <n v="1028"/>
    <x v="12"/>
    <n v="9"/>
    <x v="12"/>
    <s v="123 9th Street"/>
    <x v="11"/>
    <x v="11"/>
    <n v="99999"/>
    <s v="USA"/>
    <x v="7"/>
    <x v="0"/>
    <d v="2014-01-11T00:00:00"/>
    <s v="Shipping Company A"/>
    <s v="Sven Mortensen"/>
    <s v="123 9th Street"/>
    <x v="11"/>
    <s v="UT"/>
    <n v="99999"/>
    <x v="0"/>
    <s v="Check"/>
    <x v="15"/>
    <x v="10"/>
    <n v="34.799999999999997"/>
    <n v="81"/>
    <x v="27"/>
    <n v="295.97399999999999"/>
  </r>
  <r>
    <n v="1029"/>
    <x v="6"/>
    <n v="6"/>
    <x v="6"/>
    <s v="123 6th Street"/>
    <x v="5"/>
    <x v="5"/>
    <n v="99999"/>
    <s v="USA"/>
    <x v="4"/>
    <x v="2"/>
    <d v="2014-01-08T00:00:00"/>
    <s v="Shipping Company B"/>
    <s v="Francisco Pérez-Olaeta"/>
    <s v="123 6th Street"/>
    <x v="5"/>
    <s v="WI"/>
    <n v="99999"/>
    <x v="0"/>
    <s v="Credit Card"/>
    <x v="0"/>
    <x v="0"/>
    <n v="14"/>
    <n v="71"/>
    <x v="28"/>
    <n v="95.424000000000007"/>
  </r>
  <r>
    <n v="1030"/>
    <x v="13"/>
    <n v="8"/>
    <x v="3"/>
    <s v="123 8th Street"/>
    <x v="2"/>
    <x v="2"/>
    <n v="99999"/>
    <s v="USA"/>
    <x v="2"/>
    <x v="2"/>
    <d v="2014-02-10T00:00:00"/>
    <s v="Shipping Company B"/>
    <s v="Elizabeth Andersen"/>
    <s v="123 8th Street"/>
    <x v="2"/>
    <s v="OR"/>
    <n v="99999"/>
    <x v="0"/>
    <s v="Check"/>
    <x v="9"/>
    <x v="5"/>
    <n v="40"/>
    <n v="32"/>
    <x v="11"/>
    <n v="129.28"/>
  </r>
  <r>
    <n v="1031"/>
    <x v="14"/>
    <n v="3"/>
    <x v="5"/>
    <s v="123 3rd Street"/>
    <x v="4"/>
    <x v="4"/>
    <n v="99999"/>
    <s v="USA"/>
    <x v="0"/>
    <x v="0"/>
    <d v="2014-02-05T00:00:00"/>
    <s v="Shipping Company B"/>
    <s v="Thomas Axerr"/>
    <s v="123 3rd Street"/>
    <x v="4"/>
    <s v="CA"/>
    <n v="99999"/>
    <x v="0"/>
    <s v="Cash"/>
    <x v="16"/>
    <x v="7"/>
    <n v="10"/>
    <n v="63"/>
    <x v="29"/>
    <n v="65.52"/>
  </r>
  <r>
    <n v="1032"/>
    <x v="14"/>
    <n v="3"/>
    <x v="5"/>
    <s v="123 3rd Street"/>
    <x v="4"/>
    <x v="4"/>
    <n v="99999"/>
    <s v="USA"/>
    <x v="0"/>
    <x v="0"/>
    <d v="2014-02-05T00:00:00"/>
    <s v="Shipping Company B"/>
    <s v="Thomas Axerr"/>
    <s v="123 3rd Street"/>
    <x v="4"/>
    <s v="CA"/>
    <n v="99999"/>
    <x v="0"/>
    <s v="Cash"/>
    <x v="9"/>
    <x v="5"/>
    <n v="40"/>
    <n v="30"/>
    <x v="30"/>
    <n v="120"/>
  </r>
  <r>
    <n v="1033"/>
    <x v="15"/>
    <n v="6"/>
    <x v="6"/>
    <s v="123 6th Street"/>
    <x v="5"/>
    <x v="5"/>
    <n v="99999"/>
    <s v="USA"/>
    <x v="4"/>
    <x v="2"/>
    <d v="2014-02-08T00:00:00"/>
    <s v="Shipping Company B"/>
    <s v="Francisco Pérez-Olaeta"/>
    <s v="123 6th Street"/>
    <x v="5"/>
    <s v="WI"/>
    <n v="99999"/>
    <x v="0"/>
    <s v="Credit Card"/>
    <x v="17"/>
    <x v="11"/>
    <m/>
    <m/>
    <x v="31"/>
    <n v="43"/>
  </r>
  <r>
    <n v="1034"/>
    <x v="16"/>
    <n v="28"/>
    <x v="7"/>
    <s v="789 28th Street"/>
    <x v="6"/>
    <x v="6"/>
    <n v="99999"/>
    <s v="USA"/>
    <x v="5"/>
    <x v="3"/>
    <d v="2014-03-02T00:00:00"/>
    <s v="Shipping Company C"/>
    <s v="Amritansh Raghav"/>
    <s v="789 28th Street"/>
    <x v="6"/>
    <s v="TN"/>
    <n v="99999"/>
    <x v="0"/>
    <s v="Check"/>
    <x v="17"/>
    <x v="11"/>
    <m/>
    <m/>
    <x v="31"/>
    <n v="31"/>
  </r>
  <r>
    <n v="1035"/>
    <x v="13"/>
    <n v="8"/>
    <x v="3"/>
    <s v="123 8th Street"/>
    <x v="2"/>
    <x v="2"/>
    <n v="99999"/>
    <s v="USA"/>
    <x v="2"/>
    <x v="2"/>
    <d v="2014-02-10T00:00:00"/>
    <s v="Shipping Company C"/>
    <s v="Elizabeth Andersen"/>
    <s v="123 8th Street"/>
    <x v="2"/>
    <s v="OR"/>
    <n v="99999"/>
    <x v="0"/>
    <s v="Check"/>
    <x v="17"/>
    <x v="11"/>
    <m/>
    <m/>
    <x v="31"/>
    <n v="46"/>
  </r>
  <r>
    <n v="1036"/>
    <x v="17"/>
    <n v="10"/>
    <x v="8"/>
    <s v="123 10th Street"/>
    <x v="7"/>
    <x v="7"/>
    <n v="99999"/>
    <s v="USA"/>
    <x v="6"/>
    <x v="1"/>
    <d v="2014-02-12T00:00:00"/>
    <s v="Shipping Company B"/>
    <s v="Roland Wacker"/>
    <s v="123 10th Street"/>
    <x v="7"/>
    <s v="IL"/>
    <n v="99999"/>
    <x v="0"/>
    <s v="Credit Card"/>
    <x v="18"/>
    <x v="1"/>
    <n v="10"/>
    <n v="47"/>
    <x v="32"/>
    <n v="48.88"/>
  </r>
  <r>
    <n v="1038"/>
    <x v="17"/>
    <n v="10"/>
    <x v="8"/>
    <s v="123 10th Street"/>
    <x v="7"/>
    <x v="7"/>
    <n v="99999"/>
    <s v="USA"/>
    <x v="6"/>
    <x v="1"/>
    <m/>
    <s v="Shipping Company A"/>
    <s v="Roland Wacker"/>
    <s v="123 10th Street"/>
    <x v="7"/>
    <s v="IL"/>
    <n v="99999"/>
    <x v="0"/>
    <m/>
    <x v="1"/>
    <x v="1"/>
    <n v="3.5"/>
    <n v="49"/>
    <x v="33"/>
    <n v="16.464000000000002"/>
  </r>
  <r>
    <n v="1039"/>
    <x v="18"/>
    <n v="11"/>
    <x v="10"/>
    <s v="123 11th Street"/>
    <x v="9"/>
    <x v="9"/>
    <n v="99999"/>
    <s v="USA"/>
    <x v="5"/>
    <x v="3"/>
    <m/>
    <s v="Shipping Company C"/>
    <s v="Peter Krschne"/>
    <s v="123 11th Street"/>
    <x v="9"/>
    <s v="FL"/>
    <n v="99999"/>
    <x v="0"/>
    <m/>
    <x v="9"/>
    <x v="5"/>
    <n v="40"/>
    <n v="72"/>
    <x v="34"/>
    <n v="285.12"/>
  </r>
  <r>
    <n v="1040"/>
    <x v="19"/>
    <n v="1"/>
    <x v="11"/>
    <s v="123 1st Street"/>
    <x v="10"/>
    <x v="10"/>
    <n v="99999"/>
    <s v="USA"/>
    <x v="2"/>
    <x v="2"/>
    <m/>
    <s v="Shipping Company C"/>
    <s v="Anna Bedecs"/>
    <s v="123 1st Street"/>
    <x v="10"/>
    <s v="WA"/>
    <n v="99999"/>
    <x v="0"/>
    <m/>
    <x v="13"/>
    <x v="8"/>
    <n v="18.399999999999999"/>
    <n v="13"/>
    <x v="35"/>
    <n v="23.680800000000001"/>
  </r>
  <r>
    <n v="1041"/>
    <x v="16"/>
    <n v="28"/>
    <x v="7"/>
    <s v="789 28th Street"/>
    <x v="6"/>
    <x v="6"/>
    <n v="99999"/>
    <s v="USA"/>
    <x v="5"/>
    <x v="3"/>
    <n v="41700"/>
    <s v="Shipping Company C"/>
    <s v="Amritansh Raghav"/>
    <s v="789 28th Street"/>
    <x v="6"/>
    <s v="TN"/>
    <n v="99999"/>
    <x v="0"/>
    <s v="Credit Card"/>
    <x v="5"/>
    <x v="0"/>
    <n v="46"/>
    <n v="32"/>
    <x v="36"/>
    <n v="148.67200000000003"/>
  </r>
  <r>
    <n v="1042"/>
    <x v="20"/>
    <n v="9"/>
    <x v="12"/>
    <s v="123 9th Street"/>
    <x v="11"/>
    <x v="11"/>
    <n v="99999"/>
    <s v="USA"/>
    <x v="7"/>
    <x v="0"/>
    <d v="2014-02-11T00:00:00"/>
    <s v="Shipping Company A"/>
    <s v="Sven Mortensen"/>
    <s v="123 9th Street"/>
    <x v="11"/>
    <s v="UT"/>
    <n v="99999"/>
    <x v="0"/>
    <s v="Check"/>
    <x v="8"/>
    <x v="4"/>
    <n v="9.65"/>
    <n v="27"/>
    <x v="37"/>
    <n v="24.752250000000004"/>
  </r>
  <r>
    <n v="1043"/>
    <x v="15"/>
    <n v="6"/>
    <x v="6"/>
    <s v="123 6th Street"/>
    <x v="5"/>
    <x v="5"/>
    <n v="99999"/>
    <s v="USA"/>
    <x v="4"/>
    <x v="2"/>
    <d v="2014-02-08T00:00:00"/>
    <s v="Shipping Company B"/>
    <s v="Francisco Pérez-Olaeta"/>
    <s v="123 6th Street"/>
    <x v="5"/>
    <s v="WI"/>
    <n v="99999"/>
    <x v="0"/>
    <s v="Credit Card"/>
    <x v="7"/>
    <x v="3"/>
    <n v="12.75"/>
    <n v="71"/>
    <x v="38"/>
    <n v="91.430250000000001"/>
  </r>
  <r>
    <n v="1044"/>
    <x v="13"/>
    <n v="8"/>
    <x v="3"/>
    <s v="123 8th Street"/>
    <x v="2"/>
    <x v="2"/>
    <n v="99999"/>
    <s v="USA"/>
    <x v="2"/>
    <x v="2"/>
    <d v="2014-02-10T00:00:00"/>
    <s v="Shipping Company B"/>
    <s v="Elizabeth Andersen"/>
    <s v="123 8th Street"/>
    <x v="2"/>
    <s v="OR"/>
    <n v="99999"/>
    <x v="0"/>
    <s v="Check"/>
    <x v="7"/>
    <x v="3"/>
    <n v="12.75"/>
    <n v="13"/>
    <x v="39"/>
    <n v="15.746249999999998"/>
  </r>
  <r>
    <n v="1045"/>
    <x v="21"/>
    <n v="25"/>
    <x v="13"/>
    <s v="789 25th Street"/>
    <x v="7"/>
    <x v="7"/>
    <n v="99999"/>
    <s v="USA"/>
    <x v="6"/>
    <x v="1"/>
    <d v="2014-02-27T00:00:00"/>
    <s v="Shipping Company A"/>
    <s v="John Rodman"/>
    <s v="789 25th Street"/>
    <x v="7"/>
    <s v="IL"/>
    <n v="99999"/>
    <x v="0"/>
    <s v="Cash"/>
    <x v="12"/>
    <x v="7"/>
    <n v="22"/>
    <n v="98"/>
    <x v="40"/>
    <n v="204.82000000000002"/>
  </r>
  <r>
    <n v="1046"/>
    <x v="22"/>
    <n v="26"/>
    <x v="14"/>
    <s v="789 26th Street"/>
    <x v="9"/>
    <x v="9"/>
    <n v="99999"/>
    <s v="USA"/>
    <x v="5"/>
    <x v="3"/>
    <d v="2014-02-28T00:00:00"/>
    <s v="Shipping Company C"/>
    <s v="Run Liu"/>
    <s v="789 26th Street"/>
    <x v="9"/>
    <s v="FL"/>
    <n v="99999"/>
    <x v="0"/>
    <s v="Credit Card"/>
    <x v="11"/>
    <x v="6"/>
    <n v="25"/>
    <n v="21"/>
    <x v="41"/>
    <n v="53.550000000000004"/>
  </r>
  <r>
    <n v="1047"/>
    <x v="23"/>
    <n v="29"/>
    <x v="4"/>
    <s v="789 29th Street"/>
    <x v="3"/>
    <x v="3"/>
    <n v="99999"/>
    <s v="USA"/>
    <x v="3"/>
    <x v="0"/>
    <d v="2014-03-03T00:00:00"/>
    <s v="Shipping Company B"/>
    <s v="Soo Jung Lee"/>
    <s v="789 29th Street"/>
    <x v="3"/>
    <s v="CO"/>
    <n v="99999"/>
    <x v="0"/>
    <s v="Check"/>
    <x v="19"/>
    <x v="12"/>
    <n v="39"/>
    <n v="26"/>
    <x v="42"/>
    <n v="106.47000000000001"/>
  </r>
  <r>
    <n v="1048"/>
    <x v="15"/>
    <n v="6"/>
    <x v="6"/>
    <s v="123 6th Street"/>
    <x v="5"/>
    <x v="5"/>
    <n v="99999"/>
    <s v="USA"/>
    <x v="4"/>
    <x v="2"/>
    <d v="2014-02-08T00:00:00"/>
    <s v="Shipping Company C"/>
    <s v="Francisco Pérez-Olaeta"/>
    <s v="123 6th Street"/>
    <x v="5"/>
    <s v="WI"/>
    <n v="99999"/>
    <x v="0"/>
    <s v="Check"/>
    <x v="2"/>
    <x v="1"/>
    <n v="30"/>
    <n v="96"/>
    <x v="34"/>
    <n v="296.64"/>
  </r>
  <r>
    <n v="1049"/>
    <x v="15"/>
    <n v="6"/>
    <x v="6"/>
    <s v="123 6th Street"/>
    <x v="5"/>
    <x v="5"/>
    <n v="99999"/>
    <s v="USA"/>
    <x v="4"/>
    <x v="2"/>
    <d v="2014-02-08T00:00:00"/>
    <s v="Shipping Company C"/>
    <s v="Francisco Pérez-Olaeta"/>
    <s v="123 6th Street"/>
    <x v="5"/>
    <s v="WI"/>
    <n v="99999"/>
    <x v="0"/>
    <s v="Check"/>
    <x v="3"/>
    <x v="1"/>
    <n v="53"/>
    <n v="16"/>
    <x v="43"/>
    <n v="88.192000000000021"/>
  </r>
  <r>
    <n v="1050"/>
    <x v="24"/>
    <n v="4"/>
    <x v="1"/>
    <s v="123 4th Street"/>
    <x v="1"/>
    <x v="1"/>
    <n v="99999"/>
    <s v="USA"/>
    <x v="1"/>
    <x v="1"/>
    <m/>
    <m/>
    <s v="Christina Lee"/>
    <s v="123 4th Street"/>
    <x v="1"/>
    <s v="NY"/>
    <n v="99999"/>
    <x v="0"/>
    <m/>
    <x v="20"/>
    <x v="9"/>
    <n v="38"/>
    <n v="96"/>
    <x v="44"/>
    <n v="346.56"/>
  </r>
  <r>
    <n v="1051"/>
    <x v="14"/>
    <n v="3"/>
    <x v="5"/>
    <s v="123 3rd Street"/>
    <x v="4"/>
    <x v="4"/>
    <n v="99999"/>
    <s v="USA"/>
    <x v="0"/>
    <x v="0"/>
    <m/>
    <m/>
    <s v="Thomas Axerr"/>
    <s v="123 3rd Street"/>
    <x v="4"/>
    <s v="CA"/>
    <n v="99999"/>
    <x v="0"/>
    <m/>
    <x v="10"/>
    <x v="0"/>
    <n v="2.99"/>
    <n v="75"/>
    <x v="45"/>
    <n v="23.097750000000005"/>
  </r>
  <r>
    <n v="1052"/>
    <x v="25"/>
    <n v="9"/>
    <x v="12"/>
    <s v="123 9th Street"/>
    <x v="11"/>
    <x v="11"/>
    <n v="99999"/>
    <s v="USA"/>
    <x v="7"/>
    <x v="0"/>
    <n v="41709"/>
    <s v="Shipping Company A"/>
    <s v="Sven Mortensen"/>
    <s v="123 9th Street"/>
    <x v="11"/>
    <s v="UT"/>
    <n v="99999"/>
    <x v="0"/>
    <s v="Check"/>
    <x v="14"/>
    <x v="9"/>
    <n v="19.5"/>
    <n v="55"/>
    <x v="46"/>
    <n v="108.32250000000001"/>
  </r>
  <r>
    <n v="1053"/>
    <x v="25"/>
    <n v="9"/>
    <x v="12"/>
    <s v="123 9th Street"/>
    <x v="11"/>
    <x v="11"/>
    <n v="99999"/>
    <s v="USA"/>
    <x v="7"/>
    <x v="0"/>
    <d v="2014-03-11T00:00:00"/>
    <s v="Shipping Company A"/>
    <s v="Sven Mortensen"/>
    <s v="123 9th Street"/>
    <x v="11"/>
    <s v="UT"/>
    <n v="99999"/>
    <x v="0"/>
    <s v="Check"/>
    <x v="15"/>
    <x v="10"/>
    <n v="34.799999999999997"/>
    <n v="11"/>
    <x v="47"/>
    <n v="36.748799999999996"/>
  </r>
  <r>
    <n v="1054"/>
    <x v="26"/>
    <n v="6"/>
    <x v="6"/>
    <s v="123 6th Street"/>
    <x v="5"/>
    <x v="5"/>
    <n v="99999"/>
    <s v="USA"/>
    <x v="4"/>
    <x v="2"/>
    <d v="2014-03-08T00:00:00"/>
    <s v="Shipping Company B"/>
    <s v="Francisco Pérez-Olaeta"/>
    <s v="123 6th Street"/>
    <x v="5"/>
    <s v="WI"/>
    <n v="99999"/>
    <x v="0"/>
    <s v="Credit Card"/>
    <x v="0"/>
    <x v="0"/>
    <n v="14"/>
    <n v="53"/>
    <x v="48"/>
    <n v="71.974000000000004"/>
  </r>
  <r>
    <n v="1055"/>
    <x v="27"/>
    <n v="8"/>
    <x v="3"/>
    <s v="123 8th Street"/>
    <x v="2"/>
    <x v="2"/>
    <n v="99999"/>
    <s v="USA"/>
    <x v="2"/>
    <x v="2"/>
    <d v="2014-03-10T00:00:00"/>
    <s v="Shipping Company B"/>
    <s v="Elizabeth Andersen"/>
    <s v="123 8th Street"/>
    <x v="2"/>
    <s v="OR"/>
    <n v="99999"/>
    <x v="0"/>
    <s v="Check"/>
    <x v="9"/>
    <x v="5"/>
    <n v="40"/>
    <n v="85"/>
    <x v="49"/>
    <n v="357"/>
  </r>
  <r>
    <n v="1056"/>
    <x v="27"/>
    <n v="8"/>
    <x v="3"/>
    <s v="123 8th Street"/>
    <x v="2"/>
    <x v="2"/>
    <n v="99999"/>
    <s v="USA"/>
    <x v="2"/>
    <x v="2"/>
    <d v="2014-03-10T00:00:00"/>
    <s v="Shipping Company B"/>
    <s v="Elizabeth Andersen"/>
    <s v="123 8th Street"/>
    <x v="2"/>
    <s v="OR"/>
    <n v="99999"/>
    <x v="0"/>
    <s v="Check"/>
    <x v="6"/>
    <x v="2"/>
    <n v="9.1999999999999993"/>
    <n v="97"/>
    <x v="50"/>
    <n v="91.024800000000013"/>
  </r>
  <r>
    <n v="1057"/>
    <x v="28"/>
    <n v="25"/>
    <x v="13"/>
    <s v="789 25th Street"/>
    <x v="7"/>
    <x v="7"/>
    <n v="99999"/>
    <s v="USA"/>
    <x v="6"/>
    <x v="1"/>
    <d v="2014-03-27T00:00:00"/>
    <s v="Shipping Company A"/>
    <s v="John Rodman"/>
    <s v="789 25th Street"/>
    <x v="7"/>
    <s v="IL"/>
    <n v="99999"/>
    <x v="0"/>
    <s v="Cash"/>
    <x v="21"/>
    <x v="2"/>
    <n v="10"/>
    <n v="46"/>
    <x v="51"/>
    <n v="46.46"/>
  </r>
  <r>
    <n v="1058"/>
    <x v="29"/>
    <n v="26"/>
    <x v="14"/>
    <s v="789 26th Street"/>
    <x v="9"/>
    <x v="9"/>
    <n v="99999"/>
    <s v="USA"/>
    <x v="5"/>
    <x v="3"/>
    <d v="2014-03-28T00:00:00"/>
    <s v="Shipping Company C"/>
    <s v="Run Liu"/>
    <s v="789 26th Street"/>
    <x v="9"/>
    <s v="FL"/>
    <n v="99999"/>
    <x v="0"/>
    <s v="Credit Card"/>
    <x v="22"/>
    <x v="13"/>
    <n v="21.35"/>
    <n v="97"/>
    <x v="52"/>
    <n v="196.74025"/>
  </r>
  <r>
    <n v="1059"/>
    <x v="29"/>
    <n v="26"/>
    <x v="14"/>
    <s v="789 26th Street"/>
    <x v="9"/>
    <x v="9"/>
    <n v="99999"/>
    <s v="USA"/>
    <x v="5"/>
    <x v="3"/>
    <d v="2014-03-28T00:00:00"/>
    <s v="Shipping Company C"/>
    <s v="Run Liu"/>
    <s v="789 26th Street"/>
    <x v="9"/>
    <s v="FL"/>
    <n v="99999"/>
    <x v="0"/>
    <s v="Credit Card"/>
    <x v="8"/>
    <x v="4"/>
    <n v="9.65"/>
    <n v="97"/>
    <x v="53"/>
    <n v="95.477100000000021"/>
  </r>
  <r>
    <n v="1060"/>
    <x v="29"/>
    <n v="26"/>
    <x v="14"/>
    <s v="789 26th Street"/>
    <x v="9"/>
    <x v="9"/>
    <n v="99999"/>
    <s v="USA"/>
    <x v="5"/>
    <x v="3"/>
    <d v="2014-03-28T00:00:00"/>
    <s v="Shipping Company C"/>
    <s v="Run Liu"/>
    <s v="789 26th Street"/>
    <x v="9"/>
    <s v="FL"/>
    <n v="99999"/>
    <x v="0"/>
    <s v="Credit Card"/>
    <x v="13"/>
    <x v="8"/>
    <n v="18.399999999999999"/>
    <n v="65"/>
    <x v="54"/>
    <n v="123.18800000000002"/>
  </r>
  <r>
    <n v="1061"/>
    <x v="30"/>
    <n v="29"/>
    <x v="4"/>
    <s v="789 29th Street"/>
    <x v="3"/>
    <x v="3"/>
    <n v="99999"/>
    <s v="USA"/>
    <x v="3"/>
    <x v="0"/>
    <d v="2014-03-31T00:00:00"/>
    <s v="Shipping Company B"/>
    <s v="Soo Jung Lee"/>
    <s v="789 29th Street"/>
    <x v="3"/>
    <s v="CO"/>
    <n v="99999"/>
    <x v="0"/>
    <s v="Check"/>
    <x v="0"/>
    <x v="0"/>
    <n v="14"/>
    <n v="72"/>
    <x v="55"/>
    <n v="100.80000000000001"/>
  </r>
  <r>
    <n v="1062"/>
    <x v="26"/>
    <n v="6"/>
    <x v="6"/>
    <s v="123 6th Street"/>
    <x v="5"/>
    <x v="5"/>
    <n v="99999"/>
    <s v="USA"/>
    <x v="4"/>
    <x v="2"/>
    <d v="2014-03-08T00:00:00"/>
    <s v="Shipping Company C"/>
    <s v="Francisco Pérez-Olaeta"/>
    <s v="123 6th Street"/>
    <x v="5"/>
    <s v="WI"/>
    <n v="99999"/>
    <x v="0"/>
    <s v="Check"/>
    <x v="7"/>
    <x v="3"/>
    <n v="12.75"/>
    <n v="16"/>
    <x v="56"/>
    <n v="20.196000000000002"/>
  </r>
  <r>
    <n v="1064"/>
    <x v="31"/>
    <n v="4"/>
    <x v="1"/>
    <s v="123 4th Street"/>
    <x v="1"/>
    <x v="1"/>
    <n v="99999"/>
    <s v="USA"/>
    <x v="1"/>
    <x v="1"/>
    <d v="2014-03-06T00:00:00"/>
    <s v="Shipping Company A"/>
    <s v="Christina Lee"/>
    <s v="123 4th Street"/>
    <x v="1"/>
    <s v="NY"/>
    <n v="99999"/>
    <x v="0"/>
    <s v="Credit Card"/>
    <x v="23"/>
    <x v="6"/>
    <n v="81"/>
    <n v="77"/>
    <x v="57"/>
    <n v="642.41100000000006"/>
  </r>
  <r>
    <n v="1065"/>
    <x v="31"/>
    <n v="4"/>
    <x v="1"/>
    <s v="123 4th Street"/>
    <x v="1"/>
    <x v="1"/>
    <n v="99999"/>
    <s v="USA"/>
    <x v="1"/>
    <x v="1"/>
    <d v="2014-03-06T00:00:00"/>
    <s v="Shipping Company A"/>
    <s v="Christina Lee"/>
    <s v="123 4th Street"/>
    <x v="1"/>
    <s v="NY"/>
    <n v="99999"/>
    <x v="0"/>
    <s v="Credit Card"/>
    <x v="24"/>
    <x v="14"/>
    <n v="7"/>
    <n v="37"/>
    <x v="58"/>
    <n v="24.605"/>
  </r>
  <r>
    <n v="1067"/>
    <x v="27"/>
    <n v="8"/>
    <x v="3"/>
    <s v="123 8th Street"/>
    <x v="2"/>
    <x v="2"/>
    <n v="99999"/>
    <s v="USA"/>
    <x v="2"/>
    <x v="2"/>
    <d v="2014-03-10T00:00:00"/>
    <s v="Shipping Company C"/>
    <s v="Elizabeth Andersen"/>
    <s v="123 8th Street"/>
    <x v="2"/>
    <s v="OR"/>
    <n v="99999"/>
    <x v="0"/>
    <s v="Credit Card"/>
    <x v="15"/>
    <x v="10"/>
    <n v="34.799999999999997"/>
    <n v="63"/>
    <x v="59"/>
    <n v="217.04759999999999"/>
  </r>
  <r>
    <n v="1070"/>
    <x v="32"/>
    <n v="3"/>
    <x v="5"/>
    <s v="123 3rd Street"/>
    <x v="4"/>
    <x v="4"/>
    <n v="99999"/>
    <s v="USA"/>
    <x v="0"/>
    <x v="0"/>
    <d v="2014-03-05T00:00:00"/>
    <s v="Shipping Company B"/>
    <s v="Thomas Axerr"/>
    <s v="123 3rd Street"/>
    <x v="4"/>
    <s v="CA"/>
    <n v="99999"/>
    <x v="0"/>
    <s v="Cash"/>
    <x v="16"/>
    <x v="7"/>
    <n v="10"/>
    <n v="48"/>
    <x v="60"/>
    <n v="48"/>
  </r>
  <r>
    <n v="1071"/>
    <x v="32"/>
    <n v="3"/>
    <x v="5"/>
    <s v="123 3rd Street"/>
    <x v="4"/>
    <x v="4"/>
    <n v="99999"/>
    <s v="USA"/>
    <x v="0"/>
    <x v="0"/>
    <d v="2014-03-05T00:00:00"/>
    <s v="Shipping Company B"/>
    <s v="Thomas Axerr"/>
    <s v="123 3rd Street"/>
    <x v="4"/>
    <s v="CA"/>
    <n v="99999"/>
    <x v="0"/>
    <s v="Cash"/>
    <x v="9"/>
    <x v="5"/>
    <n v="40"/>
    <n v="71"/>
    <x v="61"/>
    <n v="295.36"/>
  </r>
  <r>
    <n v="1075"/>
    <x v="33"/>
    <n v="10"/>
    <x v="8"/>
    <s v="123 10th Street"/>
    <x v="7"/>
    <x v="7"/>
    <n v="99999"/>
    <s v="USA"/>
    <x v="6"/>
    <x v="1"/>
    <d v="2014-03-12T00:00:00"/>
    <s v="Shipping Company B"/>
    <s v="Roland Wacker"/>
    <s v="123 10th Street"/>
    <x v="7"/>
    <s v="IL"/>
    <n v="99999"/>
    <x v="0"/>
    <s v="Credit Card"/>
    <x v="18"/>
    <x v="1"/>
    <n v="10"/>
    <n v="55"/>
    <x v="62"/>
    <n v="55"/>
  </r>
  <r>
    <n v="1077"/>
    <x v="33"/>
    <n v="10"/>
    <x v="8"/>
    <s v="123 10th Street"/>
    <x v="7"/>
    <x v="7"/>
    <n v="99999"/>
    <s v="USA"/>
    <x v="6"/>
    <x v="1"/>
    <m/>
    <s v="Shipping Company A"/>
    <s v="Roland Wacker"/>
    <s v="123 10th Street"/>
    <x v="7"/>
    <s v="IL"/>
    <n v="99999"/>
    <x v="0"/>
    <m/>
    <x v="1"/>
    <x v="1"/>
    <n v="3.5"/>
    <n v="21"/>
    <x v="63"/>
    <n v="7.3500000000000005"/>
  </r>
  <r>
    <n v="1078"/>
    <x v="34"/>
    <n v="11"/>
    <x v="10"/>
    <s v="123 11th Street"/>
    <x v="9"/>
    <x v="9"/>
    <n v="99999"/>
    <s v="USA"/>
    <x v="5"/>
    <x v="3"/>
    <m/>
    <s v="Shipping Company C"/>
    <s v="Peter Krschne"/>
    <s v="123 11th Street"/>
    <x v="9"/>
    <s v="FL"/>
    <n v="99999"/>
    <x v="0"/>
    <m/>
    <x v="9"/>
    <x v="5"/>
    <n v="40"/>
    <n v="67"/>
    <x v="64"/>
    <n v="270.68"/>
  </r>
  <r>
    <n v="1079"/>
    <x v="23"/>
    <n v="1"/>
    <x v="11"/>
    <s v="123 1st Street"/>
    <x v="10"/>
    <x v="10"/>
    <n v="99999"/>
    <s v="USA"/>
    <x v="2"/>
    <x v="2"/>
    <m/>
    <s v="Shipping Company C"/>
    <s v="Anna Bedecs"/>
    <s v="123 1st Street"/>
    <x v="10"/>
    <s v="WA"/>
    <n v="99999"/>
    <x v="0"/>
    <m/>
    <x v="13"/>
    <x v="8"/>
    <n v="18.399999999999999"/>
    <n v="75"/>
    <x v="65"/>
    <n v="138"/>
  </r>
  <r>
    <n v="1080"/>
    <x v="35"/>
    <n v="28"/>
    <x v="7"/>
    <s v="789 28th Street"/>
    <x v="6"/>
    <x v="6"/>
    <n v="99999"/>
    <s v="USA"/>
    <x v="5"/>
    <x v="3"/>
    <d v="2014-03-30T00:00:00"/>
    <s v="Shipping Company C"/>
    <s v="Amritansh Raghav"/>
    <s v="789 28th Street"/>
    <x v="6"/>
    <s v="TN"/>
    <n v="99999"/>
    <x v="0"/>
    <s v="Credit Card"/>
    <x v="5"/>
    <x v="0"/>
    <n v="46"/>
    <n v="17"/>
    <x v="66"/>
    <n v="80.546000000000006"/>
  </r>
  <r>
    <n v="1081"/>
    <x v="36"/>
    <n v="4"/>
    <x v="1"/>
    <s v="123 4th Street"/>
    <x v="1"/>
    <x v="1"/>
    <n v="99999"/>
    <s v="USA"/>
    <x v="1"/>
    <x v="1"/>
    <d v="2014-04-06T00:00:00"/>
    <s v="Shipping Company A"/>
    <s v="Christina Lee"/>
    <s v="123 4th Street"/>
    <x v="1"/>
    <s v="NY"/>
    <n v="99999"/>
    <x v="0"/>
    <s v="Credit Card"/>
    <x v="1"/>
    <x v="1"/>
    <n v="3.5"/>
    <n v="48"/>
    <x v="67"/>
    <n v="16.295999999999999"/>
  </r>
  <r>
    <n v="1082"/>
    <x v="37"/>
    <n v="12"/>
    <x v="2"/>
    <s v="123 12th Street"/>
    <x v="0"/>
    <x v="0"/>
    <n v="99999"/>
    <s v="USA"/>
    <x v="0"/>
    <x v="0"/>
    <d v="2014-04-14T00:00:00"/>
    <s v="Shipping Company B"/>
    <s v="John Edwards"/>
    <s v="123 12th Street"/>
    <x v="0"/>
    <s v="NV"/>
    <n v="99999"/>
    <x v="0"/>
    <s v="Credit Card"/>
    <x v="4"/>
    <x v="0"/>
    <n v="18"/>
    <n v="74"/>
    <x v="68"/>
    <n v="137.19600000000003"/>
  </r>
  <r>
    <n v="1083"/>
    <x v="37"/>
    <n v="12"/>
    <x v="2"/>
    <s v="123 12th Street"/>
    <x v="0"/>
    <x v="0"/>
    <n v="99999"/>
    <s v="USA"/>
    <x v="0"/>
    <x v="0"/>
    <d v="2014-04-14T00:00:00"/>
    <s v="Shipping Company B"/>
    <s v="John Edwards"/>
    <s v="123 12th Street"/>
    <x v="0"/>
    <s v="NV"/>
    <n v="99999"/>
    <x v="0"/>
    <s v="Credit Card"/>
    <x v="5"/>
    <x v="0"/>
    <n v="46"/>
    <n v="96"/>
    <x v="69"/>
    <n v="428.35200000000003"/>
  </r>
  <r>
    <n v="1084"/>
    <x v="38"/>
    <n v="8"/>
    <x v="3"/>
    <s v="123 8th Street"/>
    <x v="2"/>
    <x v="2"/>
    <n v="99999"/>
    <s v="USA"/>
    <x v="2"/>
    <x v="2"/>
    <d v="2014-04-10T00:00:00"/>
    <s v="Shipping Company C"/>
    <s v="Elizabeth Andersen"/>
    <s v="123 8th Street"/>
    <x v="2"/>
    <s v="OR"/>
    <n v="99999"/>
    <x v="0"/>
    <s v="Credit Card"/>
    <x v="6"/>
    <x v="2"/>
    <n v="9.1999999999999993"/>
    <n v="12"/>
    <x v="70"/>
    <n v="11.3712"/>
  </r>
  <r>
    <n v="1085"/>
    <x v="36"/>
    <n v="4"/>
    <x v="1"/>
    <s v="123 4th Street"/>
    <x v="1"/>
    <x v="1"/>
    <n v="99999"/>
    <s v="USA"/>
    <x v="1"/>
    <x v="1"/>
    <n v="41735"/>
    <s v="Shipping Company C"/>
    <s v="Christina Lee"/>
    <s v="123 4th Street"/>
    <x v="1"/>
    <s v="NY"/>
    <n v="99999"/>
    <x v="0"/>
    <s v="Check"/>
    <x v="6"/>
    <x v="2"/>
    <n v="9.1999999999999993"/>
    <n v="62"/>
    <x v="71"/>
    <n v="58.751199999999997"/>
  </r>
  <r>
    <n v="1086"/>
    <x v="39"/>
    <n v="29"/>
    <x v="4"/>
    <s v="789 29th Street"/>
    <x v="3"/>
    <x v="3"/>
    <n v="99999"/>
    <s v="USA"/>
    <x v="3"/>
    <x v="0"/>
    <n v="41760"/>
    <s v="Shipping Company B"/>
    <s v="Soo Jung Lee"/>
    <s v="789 29th Street"/>
    <x v="3"/>
    <s v="CO"/>
    <n v="99999"/>
    <x v="0"/>
    <s v="Check"/>
    <x v="7"/>
    <x v="3"/>
    <n v="12.75"/>
    <n v="35"/>
    <x v="72"/>
    <n v="45.963750000000005"/>
  </r>
  <r>
    <n v="1087"/>
    <x v="40"/>
    <n v="3"/>
    <x v="5"/>
    <s v="123 3rd Street"/>
    <x v="4"/>
    <x v="4"/>
    <n v="99999"/>
    <s v="USA"/>
    <x v="0"/>
    <x v="0"/>
    <n v="41734"/>
    <s v="Shipping Company B"/>
    <s v="Thomas Axerr"/>
    <s v="123 3rd Street"/>
    <x v="4"/>
    <s v="CA"/>
    <n v="99999"/>
    <x v="0"/>
    <s v="Cash"/>
    <x v="8"/>
    <x v="4"/>
    <n v="9.65"/>
    <n v="95"/>
    <x v="73"/>
    <n v="91.675000000000011"/>
  </r>
  <r>
    <n v="1088"/>
    <x v="41"/>
    <n v="6"/>
    <x v="6"/>
    <s v="123 6th Street"/>
    <x v="5"/>
    <x v="5"/>
    <n v="99999"/>
    <s v="USA"/>
    <x v="4"/>
    <x v="2"/>
    <n v="41737"/>
    <s v="Shipping Company B"/>
    <s v="Francisco Pérez-Olaeta"/>
    <s v="123 6th Street"/>
    <x v="5"/>
    <s v="WI"/>
    <n v="99999"/>
    <x v="0"/>
    <s v="Credit Card"/>
    <x v="9"/>
    <x v="5"/>
    <n v="40"/>
    <n v="17"/>
    <x v="74"/>
    <n v="68.680000000000007"/>
  </r>
  <r>
    <n v="1089"/>
    <x v="42"/>
    <n v="28"/>
    <x v="7"/>
    <s v="789 28th Street"/>
    <x v="6"/>
    <x v="6"/>
    <n v="99999"/>
    <s v="USA"/>
    <x v="5"/>
    <x v="3"/>
    <d v="2014-04-30T00:00:00"/>
    <s v="Shipping Company C"/>
    <s v="Amritansh Raghav"/>
    <s v="789 28th Street"/>
    <x v="6"/>
    <s v="TN"/>
    <n v="99999"/>
    <x v="0"/>
    <s v="Check"/>
    <x v="5"/>
    <x v="0"/>
    <n v="46"/>
    <n v="96"/>
    <x v="69"/>
    <n v="463.68000000000006"/>
  </r>
  <r>
    <n v="1090"/>
    <x v="38"/>
    <n v="8"/>
    <x v="3"/>
    <s v="123 8th Street"/>
    <x v="2"/>
    <x v="2"/>
    <n v="99999"/>
    <s v="USA"/>
    <x v="2"/>
    <x v="2"/>
    <d v="2014-04-10T00:00:00"/>
    <s v="Shipping Company C"/>
    <s v="Elizabeth Andersen"/>
    <s v="123 8th Street"/>
    <x v="2"/>
    <s v="OR"/>
    <n v="99999"/>
    <x v="0"/>
    <s v="Check"/>
    <x v="7"/>
    <x v="3"/>
    <n v="12.75"/>
    <n v="83"/>
    <x v="75"/>
    <n v="102.65025"/>
  </r>
  <r>
    <n v="1091"/>
    <x v="43"/>
    <n v="10"/>
    <x v="8"/>
    <s v="123 10th Street"/>
    <x v="7"/>
    <x v="7"/>
    <n v="99999"/>
    <s v="USA"/>
    <x v="6"/>
    <x v="1"/>
    <d v="2014-04-12T00:00:00"/>
    <s v="Shipping Company B"/>
    <s v="Roland Wacker"/>
    <s v="123 10th Street"/>
    <x v="7"/>
    <s v="IL"/>
    <n v="99999"/>
    <x v="0"/>
    <s v="Credit Card"/>
    <x v="10"/>
    <x v="0"/>
    <n v="2.99"/>
    <n v="88"/>
    <x v="76"/>
    <n v="26.04888"/>
  </r>
  <r>
    <n v="1092"/>
    <x v="44"/>
    <n v="7"/>
    <x v="9"/>
    <s v="123 7th Street"/>
    <x v="8"/>
    <x v="8"/>
    <n v="99999"/>
    <s v="USA"/>
    <x v="2"/>
    <x v="2"/>
    <m/>
    <m/>
    <s v="Ming-Yang Xie"/>
    <s v="123 7th Street"/>
    <x v="8"/>
    <s v="ID"/>
    <n v="99999"/>
    <x v="0"/>
    <m/>
    <x v="5"/>
    <x v="0"/>
    <n v="46"/>
    <n v="59"/>
    <x v="77"/>
    <n v="284.97000000000003"/>
  </r>
  <r>
    <n v="1093"/>
    <x v="43"/>
    <n v="10"/>
    <x v="8"/>
    <s v="123 10th Street"/>
    <x v="7"/>
    <x v="7"/>
    <n v="99999"/>
    <s v="USA"/>
    <x v="6"/>
    <x v="1"/>
    <d v="2014-04-12T00:00:00"/>
    <s v="Shipping Company A"/>
    <s v="Roland Wacker"/>
    <s v="123 10th Street"/>
    <x v="7"/>
    <s v="IL"/>
    <n v="99999"/>
    <x v="0"/>
    <m/>
    <x v="11"/>
    <x v="6"/>
    <n v="25"/>
    <n v="27"/>
    <x v="78"/>
    <n v="68.849999999999994"/>
  </r>
  <r>
    <n v="1094"/>
    <x v="43"/>
    <n v="10"/>
    <x v="8"/>
    <s v="123 10th Street"/>
    <x v="7"/>
    <x v="7"/>
    <n v="99999"/>
    <s v="USA"/>
    <x v="6"/>
    <x v="1"/>
    <d v="2014-04-12T00:00:00"/>
    <s v="Shipping Company A"/>
    <s v="Roland Wacker"/>
    <s v="123 10th Street"/>
    <x v="7"/>
    <s v="IL"/>
    <n v="99999"/>
    <x v="0"/>
    <m/>
    <x v="12"/>
    <x v="7"/>
    <n v="22"/>
    <n v="37"/>
    <x v="79"/>
    <n v="85.470000000000013"/>
  </r>
  <r>
    <n v="1095"/>
    <x v="43"/>
    <n v="10"/>
    <x v="8"/>
    <s v="123 10th Street"/>
    <x v="7"/>
    <x v="7"/>
    <n v="99999"/>
    <s v="USA"/>
    <x v="6"/>
    <x v="1"/>
    <d v="2014-04-12T00:00:00"/>
    <s v="Shipping Company A"/>
    <s v="Roland Wacker"/>
    <s v="123 10th Street"/>
    <x v="7"/>
    <s v="IL"/>
    <n v="99999"/>
    <x v="0"/>
    <m/>
    <x v="6"/>
    <x v="2"/>
    <n v="9.1999999999999993"/>
    <n v="75"/>
    <x v="80"/>
    <n v="69"/>
  </r>
  <r>
    <n v="1096"/>
    <x v="45"/>
    <n v="11"/>
    <x v="10"/>
    <s v="123 11th Street"/>
    <x v="9"/>
    <x v="9"/>
    <n v="99999"/>
    <s v="USA"/>
    <x v="5"/>
    <x v="3"/>
    <m/>
    <s v="Shipping Company C"/>
    <s v="Peter Krschne"/>
    <s v="123 11th Street"/>
    <x v="9"/>
    <s v="FL"/>
    <n v="99999"/>
    <x v="0"/>
    <m/>
    <x v="1"/>
    <x v="1"/>
    <n v="3.5"/>
    <n v="71"/>
    <x v="81"/>
    <n v="24.104500000000002"/>
  </r>
  <r>
    <n v="1097"/>
    <x v="45"/>
    <n v="11"/>
    <x v="10"/>
    <s v="123 11th Street"/>
    <x v="9"/>
    <x v="9"/>
    <n v="99999"/>
    <s v="USA"/>
    <x v="5"/>
    <x v="3"/>
    <m/>
    <s v="Shipping Company C"/>
    <s v="Peter Krschne"/>
    <s v="123 11th Street"/>
    <x v="9"/>
    <s v="FL"/>
    <n v="99999"/>
    <x v="0"/>
    <m/>
    <x v="10"/>
    <x v="0"/>
    <n v="2.99"/>
    <n v="88"/>
    <x v="76"/>
    <n v="26.04888"/>
  </r>
  <r>
    <n v="1098"/>
    <x v="46"/>
    <n v="1"/>
    <x v="11"/>
    <s v="123 1st Street"/>
    <x v="10"/>
    <x v="10"/>
    <n v="99999"/>
    <s v="USA"/>
    <x v="2"/>
    <x v="2"/>
    <m/>
    <m/>
    <s v="Anna Bedecs"/>
    <s v="123 1st Street"/>
    <x v="10"/>
    <s v="WA"/>
    <n v="99999"/>
    <x v="0"/>
    <m/>
    <x v="4"/>
    <x v="0"/>
    <n v="18"/>
    <n v="55"/>
    <x v="82"/>
    <n v="97.02"/>
  </r>
  <r>
    <n v="1099"/>
    <x v="47"/>
    <n v="29"/>
    <x v="4"/>
    <s v="789 29th Street"/>
    <x v="3"/>
    <x v="3"/>
    <n v="99999"/>
    <s v="USA"/>
    <x v="3"/>
    <x v="0"/>
    <d v="2014-05-31T00:00:00"/>
    <s v="Shipping Company B"/>
    <s v="Soo Jung Lee"/>
    <s v="789 29th Street"/>
    <x v="3"/>
    <s v="CO"/>
    <n v="99999"/>
    <x v="0"/>
    <s v="Check"/>
    <x v="7"/>
    <x v="3"/>
    <n v="12.75"/>
    <n v="14"/>
    <x v="83"/>
    <n v="16.9575"/>
  </r>
  <r>
    <n v="1100"/>
    <x v="48"/>
    <n v="3"/>
    <x v="5"/>
    <s v="123 3rd Street"/>
    <x v="4"/>
    <x v="4"/>
    <n v="99999"/>
    <s v="USA"/>
    <x v="0"/>
    <x v="0"/>
    <d v="2014-05-05T00:00:00"/>
    <s v="Shipping Company B"/>
    <s v="Thomas Axerr"/>
    <s v="123 3rd Street"/>
    <x v="4"/>
    <s v="CA"/>
    <n v="99999"/>
    <x v="0"/>
    <s v="Cash"/>
    <x v="8"/>
    <x v="4"/>
    <n v="9.65"/>
    <n v="43"/>
    <x v="84"/>
    <n v="42.324900000000007"/>
  </r>
  <r>
    <n v="1101"/>
    <x v="49"/>
    <n v="6"/>
    <x v="6"/>
    <s v="123 6th Street"/>
    <x v="5"/>
    <x v="5"/>
    <n v="99999"/>
    <s v="USA"/>
    <x v="4"/>
    <x v="2"/>
    <n v="41767"/>
    <s v="Shipping Company B"/>
    <s v="Francisco Pérez-Olaeta"/>
    <s v="123 6th Street"/>
    <x v="5"/>
    <s v="WI"/>
    <n v="99999"/>
    <x v="0"/>
    <s v="Credit Card"/>
    <x v="9"/>
    <x v="5"/>
    <n v="40"/>
    <n v="63"/>
    <x v="85"/>
    <n v="254.52"/>
  </r>
  <r>
    <n v="1102"/>
    <x v="50"/>
    <n v="28"/>
    <x v="7"/>
    <s v="789 28th Street"/>
    <x v="6"/>
    <x v="6"/>
    <n v="99999"/>
    <s v="USA"/>
    <x v="5"/>
    <x v="3"/>
    <d v="2014-05-30T00:00:00"/>
    <s v="Shipping Company C"/>
    <s v="Amritansh Raghav"/>
    <s v="789 28th Street"/>
    <x v="6"/>
    <s v="TN"/>
    <n v="99999"/>
    <x v="0"/>
    <s v="Check"/>
    <x v="5"/>
    <x v="0"/>
    <n v="46"/>
    <n v="36"/>
    <x v="86"/>
    <n v="165.60000000000002"/>
  </r>
  <r>
    <n v="1103"/>
    <x v="51"/>
    <n v="8"/>
    <x v="3"/>
    <s v="123 8th Street"/>
    <x v="2"/>
    <x v="2"/>
    <n v="99999"/>
    <s v="USA"/>
    <x v="2"/>
    <x v="2"/>
    <d v="2014-05-10T00:00:00"/>
    <s v="Shipping Company C"/>
    <s v="Elizabeth Andersen"/>
    <s v="123 8th Street"/>
    <x v="2"/>
    <s v="OR"/>
    <n v="99999"/>
    <x v="0"/>
    <s v="Check"/>
    <x v="7"/>
    <x v="3"/>
    <n v="12.75"/>
    <n v="41"/>
    <x v="87"/>
    <n v="54.366000000000007"/>
  </r>
  <r>
    <n v="1104"/>
    <x v="52"/>
    <n v="10"/>
    <x v="8"/>
    <s v="123 10th Street"/>
    <x v="7"/>
    <x v="7"/>
    <n v="99999"/>
    <s v="USA"/>
    <x v="6"/>
    <x v="1"/>
    <d v="2014-05-12T00:00:00"/>
    <s v="Shipping Company B"/>
    <s v="Roland Wacker"/>
    <s v="123 10th Street"/>
    <x v="7"/>
    <s v="IL"/>
    <n v="99999"/>
    <x v="0"/>
    <s v="Credit Card"/>
    <x v="10"/>
    <x v="0"/>
    <n v="2.99"/>
    <n v="35"/>
    <x v="88"/>
    <n v="10.255700000000001"/>
  </r>
  <r>
    <n v="1105"/>
    <x v="53"/>
    <n v="7"/>
    <x v="9"/>
    <s v="123 7th Street"/>
    <x v="8"/>
    <x v="8"/>
    <n v="99999"/>
    <s v="USA"/>
    <x v="2"/>
    <x v="2"/>
    <m/>
    <m/>
    <s v="Ming-Yang Xie"/>
    <s v="123 7th Street"/>
    <x v="8"/>
    <s v="ID"/>
    <n v="99999"/>
    <x v="0"/>
    <m/>
    <x v="5"/>
    <x v="0"/>
    <n v="46"/>
    <n v="31"/>
    <x v="89"/>
    <n v="136.89599999999999"/>
  </r>
  <r>
    <n v="1106"/>
    <x v="52"/>
    <n v="10"/>
    <x v="8"/>
    <s v="123 10th Street"/>
    <x v="7"/>
    <x v="7"/>
    <n v="99999"/>
    <s v="USA"/>
    <x v="6"/>
    <x v="1"/>
    <n v="41771"/>
    <s v="Shipping Company A"/>
    <s v="Roland Wacker"/>
    <s v="123 10th Street"/>
    <x v="7"/>
    <s v="IL"/>
    <n v="99999"/>
    <x v="0"/>
    <m/>
    <x v="11"/>
    <x v="6"/>
    <n v="25"/>
    <n v="52"/>
    <x v="90"/>
    <n v="123.5"/>
  </r>
  <r>
    <n v="1107"/>
    <x v="52"/>
    <n v="10"/>
    <x v="8"/>
    <s v="123 10th Street"/>
    <x v="7"/>
    <x v="7"/>
    <n v="99999"/>
    <s v="USA"/>
    <x v="6"/>
    <x v="1"/>
    <n v="41771"/>
    <s v="Shipping Company A"/>
    <s v="Roland Wacker"/>
    <s v="123 10th Street"/>
    <x v="7"/>
    <s v="IL"/>
    <n v="99999"/>
    <x v="0"/>
    <m/>
    <x v="12"/>
    <x v="7"/>
    <n v="22"/>
    <n v="30"/>
    <x v="91"/>
    <n v="67.320000000000007"/>
  </r>
  <r>
    <n v="1108"/>
    <x v="52"/>
    <n v="10"/>
    <x v="8"/>
    <s v="123 10th Street"/>
    <x v="7"/>
    <x v="7"/>
    <n v="99999"/>
    <s v="USA"/>
    <x v="6"/>
    <x v="1"/>
    <d v="2014-05-12T00:00:00"/>
    <s v="Shipping Company A"/>
    <s v="Roland Wacker"/>
    <s v="123 10th Street"/>
    <x v="7"/>
    <s v="IL"/>
    <n v="99999"/>
    <x v="0"/>
    <m/>
    <x v="6"/>
    <x v="2"/>
    <n v="9.1999999999999993"/>
    <n v="41"/>
    <x v="92"/>
    <n v="38.474400000000003"/>
  </r>
  <r>
    <n v="1109"/>
    <x v="54"/>
    <n v="11"/>
    <x v="10"/>
    <s v="123 11th Street"/>
    <x v="9"/>
    <x v="9"/>
    <n v="99999"/>
    <s v="USA"/>
    <x v="5"/>
    <x v="3"/>
    <m/>
    <s v="Shipping Company C"/>
    <s v="Peter Krschne"/>
    <s v="123 11th Street"/>
    <x v="9"/>
    <s v="FL"/>
    <n v="99999"/>
    <x v="0"/>
    <m/>
    <x v="1"/>
    <x v="1"/>
    <n v="3.5"/>
    <n v="44"/>
    <x v="93"/>
    <n v="15.246"/>
  </r>
  <r>
    <n v="1110"/>
    <x v="54"/>
    <n v="11"/>
    <x v="10"/>
    <s v="123 11th Street"/>
    <x v="9"/>
    <x v="9"/>
    <n v="99999"/>
    <s v="USA"/>
    <x v="5"/>
    <x v="3"/>
    <m/>
    <s v="Shipping Company C"/>
    <s v="Peter Krschne"/>
    <s v="123 11th Street"/>
    <x v="9"/>
    <s v="FL"/>
    <n v="99999"/>
    <x v="0"/>
    <m/>
    <x v="10"/>
    <x v="0"/>
    <n v="2.99"/>
    <n v="77"/>
    <x v="94"/>
    <n v="23.023000000000003"/>
  </r>
  <r>
    <n v="1111"/>
    <x v="55"/>
    <n v="1"/>
    <x v="11"/>
    <s v="123 1st Street"/>
    <x v="10"/>
    <x v="10"/>
    <n v="99999"/>
    <s v="USA"/>
    <x v="2"/>
    <x v="2"/>
    <m/>
    <m/>
    <s v="Anna Bedecs"/>
    <s v="123 1st Street"/>
    <x v="10"/>
    <s v="WA"/>
    <n v="99999"/>
    <x v="0"/>
    <m/>
    <x v="4"/>
    <x v="0"/>
    <n v="18"/>
    <n v="29"/>
    <x v="95"/>
    <n v="52.722000000000001"/>
  </r>
  <r>
    <n v="1112"/>
    <x v="55"/>
    <n v="1"/>
    <x v="11"/>
    <s v="123 1st Street"/>
    <x v="10"/>
    <x v="10"/>
    <n v="99999"/>
    <s v="USA"/>
    <x v="2"/>
    <x v="2"/>
    <m/>
    <m/>
    <s v="Anna Bedecs"/>
    <s v="123 1st Street"/>
    <x v="10"/>
    <s v="WA"/>
    <n v="99999"/>
    <x v="0"/>
    <m/>
    <x v="5"/>
    <x v="0"/>
    <n v="46"/>
    <n v="77"/>
    <x v="96"/>
    <n v="368.36800000000005"/>
  </r>
  <r>
    <n v="1113"/>
    <x v="55"/>
    <n v="1"/>
    <x v="11"/>
    <s v="123 1st Street"/>
    <x v="10"/>
    <x v="10"/>
    <n v="99999"/>
    <s v="USA"/>
    <x v="2"/>
    <x v="2"/>
    <m/>
    <m/>
    <s v="Anna Bedecs"/>
    <s v="123 1st Street"/>
    <x v="10"/>
    <s v="WA"/>
    <n v="99999"/>
    <x v="0"/>
    <m/>
    <x v="10"/>
    <x v="0"/>
    <n v="2.99"/>
    <n v="73"/>
    <x v="97"/>
    <n v="21.827000000000002"/>
  </r>
  <r>
    <n v="1114"/>
    <x v="50"/>
    <n v="28"/>
    <x v="7"/>
    <s v="789 28th Street"/>
    <x v="6"/>
    <x v="6"/>
    <n v="99999"/>
    <s v="USA"/>
    <x v="5"/>
    <x v="3"/>
    <n v="41789"/>
    <s v="Shipping Company C"/>
    <s v="Amritansh Raghav"/>
    <s v="789 28th Street"/>
    <x v="6"/>
    <s v="TN"/>
    <n v="99999"/>
    <x v="0"/>
    <s v="Credit Card"/>
    <x v="8"/>
    <x v="4"/>
    <n v="9.65"/>
    <n v="74"/>
    <x v="98"/>
    <n v="67.839500000000001"/>
  </r>
  <r>
    <n v="1115"/>
    <x v="50"/>
    <n v="28"/>
    <x v="7"/>
    <s v="789 28th Street"/>
    <x v="6"/>
    <x v="6"/>
    <n v="99999"/>
    <s v="USA"/>
    <x v="5"/>
    <x v="3"/>
    <d v="2014-05-30T00:00:00"/>
    <s v="Shipping Company C"/>
    <s v="Amritansh Raghav"/>
    <s v="789 28th Street"/>
    <x v="6"/>
    <s v="TN"/>
    <n v="99999"/>
    <x v="0"/>
    <s v="Credit Card"/>
    <x v="13"/>
    <x v="8"/>
    <n v="18.399999999999999"/>
    <n v="25"/>
    <x v="99"/>
    <n v="46.46"/>
  </r>
  <r>
    <n v="1116"/>
    <x v="56"/>
    <n v="9"/>
    <x v="12"/>
    <s v="123 9th Street"/>
    <x v="11"/>
    <x v="11"/>
    <n v="99999"/>
    <s v="USA"/>
    <x v="7"/>
    <x v="0"/>
    <d v="2014-05-11T00:00:00"/>
    <s v="Shipping Company A"/>
    <s v="Sven Mortensen"/>
    <s v="123 9th Street"/>
    <x v="11"/>
    <s v="UT"/>
    <n v="99999"/>
    <x v="0"/>
    <s v="Check"/>
    <x v="14"/>
    <x v="9"/>
    <n v="19.5"/>
    <n v="82"/>
    <x v="100"/>
    <n v="153.50399999999999"/>
  </r>
  <r>
    <n v="1117"/>
    <x v="56"/>
    <n v="9"/>
    <x v="12"/>
    <s v="123 9th Street"/>
    <x v="11"/>
    <x v="11"/>
    <n v="99999"/>
    <s v="USA"/>
    <x v="7"/>
    <x v="0"/>
    <d v="2014-05-11T00:00:00"/>
    <s v="Shipping Company A"/>
    <s v="Sven Mortensen"/>
    <s v="123 9th Street"/>
    <x v="11"/>
    <s v="UT"/>
    <n v="99999"/>
    <x v="0"/>
    <s v="Check"/>
    <x v="15"/>
    <x v="10"/>
    <n v="34.799999999999997"/>
    <n v="37"/>
    <x v="101"/>
    <n v="132.62279999999998"/>
  </r>
  <r>
    <n v="1118"/>
    <x v="49"/>
    <n v="6"/>
    <x v="6"/>
    <s v="123 6th Street"/>
    <x v="5"/>
    <x v="5"/>
    <n v="99999"/>
    <s v="USA"/>
    <x v="4"/>
    <x v="2"/>
    <n v="41767"/>
    <s v="Shipping Company B"/>
    <s v="Francisco Pérez-Olaeta"/>
    <s v="123 6th Street"/>
    <x v="5"/>
    <s v="WI"/>
    <n v="99999"/>
    <x v="0"/>
    <s v="Credit Card"/>
    <x v="0"/>
    <x v="0"/>
    <n v="14"/>
    <n v="84"/>
    <x v="102"/>
    <n v="112.896"/>
  </r>
  <r>
    <n v="1119"/>
    <x v="51"/>
    <n v="8"/>
    <x v="3"/>
    <s v="123 8th Street"/>
    <x v="2"/>
    <x v="2"/>
    <n v="99999"/>
    <s v="USA"/>
    <x v="2"/>
    <x v="2"/>
    <n v="41769"/>
    <s v="Shipping Company B"/>
    <s v="Elizabeth Andersen"/>
    <s v="123 8th Street"/>
    <x v="2"/>
    <s v="OR"/>
    <n v="99999"/>
    <x v="0"/>
    <s v="Check"/>
    <x v="9"/>
    <x v="5"/>
    <n v="40"/>
    <n v="73"/>
    <x v="103"/>
    <n v="283.24"/>
  </r>
  <r>
    <n v="1120"/>
    <x v="51"/>
    <n v="8"/>
    <x v="3"/>
    <s v="123 8th Street"/>
    <x v="2"/>
    <x v="2"/>
    <n v="99999"/>
    <s v="USA"/>
    <x v="2"/>
    <x v="2"/>
    <n v="41769"/>
    <s v="Shipping Company B"/>
    <s v="Elizabeth Andersen"/>
    <s v="123 8th Street"/>
    <x v="2"/>
    <s v="OR"/>
    <n v="99999"/>
    <x v="0"/>
    <s v="Check"/>
    <x v="6"/>
    <x v="2"/>
    <n v="9.1999999999999993"/>
    <n v="51"/>
    <x v="104"/>
    <n v="44.573999999999998"/>
  </r>
  <r>
    <n v="1121"/>
    <x v="57"/>
    <n v="25"/>
    <x v="13"/>
    <s v="789 25th Street"/>
    <x v="7"/>
    <x v="7"/>
    <n v="99999"/>
    <s v="USA"/>
    <x v="6"/>
    <x v="1"/>
    <n v="41786"/>
    <s v="Shipping Company A"/>
    <s v="John Rodman"/>
    <s v="789 25th Street"/>
    <x v="7"/>
    <s v="IL"/>
    <n v="99999"/>
    <x v="0"/>
    <s v="Cash"/>
    <x v="21"/>
    <x v="2"/>
    <n v="10"/>
    <n v="66"/>
    <x v="91"/>
    <n v="68.64"/>
  </r>
  <r>
    <n v="1122"/>
    <x v="58"/>
    <n v="26"/>
    <x v="14"/>
    <s v="789 26th Street"/>
    <x v="9"/>
    <x v="9"/>
    <n v="99999"/>
    <s v="USA"/>
    <x v="5"/>
    <x v="3"/>
    <n v="41787"/>
    <s v="Shipping Company C"/>
    <s v="Run Liu"/>
    <s v="789 26th Street"/>
    <x v="9"/>
    <s v="FL"/>
    <n v="99999"/>
    <x v="0"/>
    <s v="Credit Card"/>
    <x v="22"/>
    <x v="13"/>
    <n v="21.35"/>
    <n v="36"/>
    <x v="105"/>
    <n v="74.554200000000009"/>
  </r>
  <r>
    <n v="1123"/>
    <x v="58"/>
    <n v="26"/>
    <x v="14"/>
    <s v="789 26th Street"/>
    <x v="9"/>
    <x v="9"/>
    <n v="99999"/>
    <s v="USA"/>
    <x v="5"/>
    <x v="3"/>
    <d v="2014-05-28T00:00:00"/>
    <s v="Shipping Company C"/>
    <s v="Run Liu"/>
    <s v="789 26th Street"/>
    <x v="9"/>
    <s v="FL"/>
    <n v="99999"/>
    <x v="0"/>
    <s v="Credit Card"/>
    <x v="8"/>
    <x v="4"/>
    <n v="9.65"/>
    <n v="87"/>
    <x v="106"/>
    <n v="87.313200000000009"/>
  </r>
  <r>
    <n v="1124"/>
    <x v="58"/>
    <n v="26"/>
    <x v="14"/>
    <s v="789 26th Street"/>
    <x v="9"/>
    <x v="9"/>
    <n v="99999"/>
    <s v="USA"/>
    <x v="5"/>
    <x v="3"/>
    <d v="2014-05-28T00:00:00"/>
    <s v="Shipping Company C"/>
    <s v="Run Liu"/>
    <s v="789 26th Street"/>
    <x v="9"/>
    <s v="FL"/>
    <n v="99999"/>
    <x v="0"/>
    <s v="Credit Card"/>
    <x v="13"/>
    <x v="8"/>
    <n v="18.399999999999999"/>
    <n v="64"/>
    <x v="107"/>
    <n v="115.40479999999999"/>
  </r>
  <r>
    <n v="1125"/>
    <x v="47"/>
    <n v="29"/>
    <x v="4"/>
    <s v="789 29th Street"/>
    <x v="3"/>
    <x v="3"/>
    <n v="99999"/>
    <s v="USA"/>
    <x v="3"/>
    <x v="0"/>
    <d v="2014-05-31T00:00:00"/>
    <s v="Shipping Company B"/>
    <s v="Soo Jung Lee"/>
    <s v="789 29th Street"/>
    <x v="3"/>
    <s v="CO"/>
    <n v="99999"/>
    <x v="0"/>
    <s v="Check"/>
    <x v="0"/>
    <x v="0"/>
    <n v="14"/>
    <n v="21"/>
    <x v="108"/>
    <n v="30.870000000000005"/>
  </r>
  <r>
    <n v="1126"/>
    <x v="49"/>
    <n v="6"/>
    <x v="6"/>
    <s v="123 6th Street"/>
    <x v="5"/>
    <x v="5"/>
    <n v="99999"/>
    <s v="USA"/>
    <x v="4"/>
    <x v="2"/>
    <d v="2014-05-08T00:00:00"/>
    <s v="Shipping Company C"/>
    <s v="Francisco Pérez-Olaeta"/>
    <s v="123 6th Street"/>
    <x v="5"/>
    <s v="WI"/>
    <n v="99999"/>
    <x v="0"/>
    <s v="Check"/>
    <x v="7"/>
    <x v="3"/>
    <n v="12.75"/>
    <n v="19"/>
    <x v="109"/>
    <n v="24.46725"/>
  </r>
  <r>
    <n v="1128"/>
    <x v="59"/>
    <n v="4"/>
    <x v="1"/>
    <s v="123 4th Street"/>
    <x v="1"/>
    <x v="1"/>
    <n v="99999"/>
    <s v="USA"/>
    <x v="1"/>
    <x v="1"/>
    <d v="2014-05-06T00:00:00"/>
    <s v="Shipping Company A"/>
    <s v="Christina Lee"/>
    <s v="123 4th Street"/>
    <x v="1"/>
    <s v="NY"/>
    <n v="99999"/>
    <x v="0"/>
    <s v="Credit Card"/>
    <x v="23"/>
    <x v="6"/>
    <n v="81"/>
    <n v="23"/>
    <x v="110"/>
    <n v="195.61500000000001"/>
  </r>
  <r>
    <n v="1129"/>
    <x v="59"/>
    <n v="4"/>
    <x v="1"/>
    <s v="123 4th Street"/>
    <x v="1"/>
    <x v="1"/>
    <n v="99999"/>
    <s v="USA"/>
    <x v="1"/>
    <x v="1"/>
    <d v="2014-05-06T00:00:00"/>
    <s v="Shipping Company A"/>
    <s v="Christina Lee"/>
    <s v="123 4th Street"/>
    <x v="1"/>
    <s v="NY"/>
    <n v="99999"/>
    <x v="0"/>
    <s v="Credit Card"/>
    <x v="24"/>
    <x v="14"/>
    <n v="7"/>
    <n v="72"/>
    <x v="111"/>
    <n v="51.912000000000006"/>
  </r>
  <r>
    <n v="1131"/>
    <x v="51"/>
    <n v="8"/>
    <x v="3"/>
    <s v="123 8th Street"/>
    <x v="2"/>
    <x v="2"/>
    <n v="99999"/>
    <s v="USA"/>
    <x v="2"/>
    <x v="2"/>
    <d v="2014-05-10T00:00:00"/>
    <s v="Shipping Company C"/>
    <s v="Elizabeth Andersen"/>
    <s v="123 8th Street"/>
    <x v="2"/>
    <s v="OR"/>
    <n v="99999"/>
    <x v="0"/>
    <s v="Credit Card"/>
    <x v="15"/>
    <x v="10"/>
    <n v="34.799999999999997"/>
    <n v="22"/>
    <x v="112"/>
    <n v="75.02879999999999"/>
  </r>
  <r>
    <n v="1134"/>
    <x v="48"/>
    <n v="3"/>
    <x v="5"/>
    <s v="123 3rd Street"/>
    <x v="4"/>
    <x v="4"/>
    <n v="99999"/>
    <s v="USA"/>
    <x v="0"/>
    <x v="0"/>
    <d v="2014-05-05T00:00:00"/>
    <s v="Shipping Company B"/>
    <s v="Thomas Axerr"/>
    <s v="123 3rd Street"/>
    <x v="4"/>
    <s v="CA"/>
    <n v="99999"/>
    <x v="0"/>
    <s v="Cash"/>
    <x v="16"/>
    <x v="7"/>
    <n v="10"/>
    <n v="82"/>
    <x v="113"/>
    <n v="85.28"/>
  </r>
  <r>
    <n v="1135"/>
    <x v="48"/>
    <n v="3"/>
    <x v="5"/>
    <s v="123 3rd Street"/>
    <x v="4"/>
    <x v="4"/>
    <n v="99999"/>
    <s v="USA"/>
    <x v="0"/>
    <x v="0"/>
    <d v="2014-05-05T00:00:00"/>
    <s v="Shipping Company B"/>
    <s v="Thomas Axerr"/>
    <s v="123 3rd Street"/>
    <x v="4"/>
    <s v="CA"/>
    <n v="99999"/>
    <x v="0"/>
    <s v="Cash"/>
    <x v="9"/>
    <x v="5"/>
    <n v="40"/>
    <n v="98"/>
    <x v="114"/>
    <n v="411.6"/>
  </r>
  <r>
    <n v="1138"/>
    <x v="60"/>
    <n v="7"/>
    <x v="9"/>
    <s v="123 7th Street"/>
    <x v="8"/>
    <x v="8"/>
    <n v="99999"/>
    <s v="USA"/>
    <x v="2"/>
    <x v="2"/>
    <m/>
    <m/>
    <s v="Ming-Yang Xie"/>
    <s v="123 7th Street"/>
    <x v="8"/>
    <s v="ID"/>
    <n v="99999"/>
    <x v="0"/>
    <m/>
    <x v="5"/>
    <x v="0"/>
    <n v="46"/>
    <n v="71"/>
    <x v="115"/>
    <n v="310.27"/>
  </r>
  <r>
    <n v="1139"/>
    <x v="61"/>
    <n v="10"/>
    <x v="8"/>
    <s v="123 10th Street"/>
    <x v="7"/>
    <x v="7"/>
    <n v="99999"/>
    <s v="USA"/>
    <x v="6"/>
    <x v="1"/>
    <d v="2014-06-12T00:00:00"/>
    <s v="Shipping Company A"/>
    <s v="Roland Wacker"/>
    <s v="123 10th Street"/>
    <x v="7"/>
    <s v="IL"/>
    <n v="99999"/>
    <x v="0"/>
    <m/>
    <x v="11"/>
    <x v="6"/>
    <n v="25"/>
    <n v="40"/>
    <x v="116"/>
    <n v="105"/>
  </r>
  <r>
    <n v="1140"/>
    <x v="61"/>
    <n v="10"/>
    <x v="8"/>
    <s v="123 10th Street"/>
    <x v="7"/>
    <x v="7"/>
    <n v="99999"/>
    <s v="USA"/>
    <x v="6"/>
    <x v="1"/>
    <d v="2014-06-12T00:00:00"/>
    <s v="Shipping Company A"/>
    <s v="Roland Wacker"/>
    <s v="123 10th Street"/>
    <x v="7"/>
    <s v="IL"/>
    <n v="99999"/>
    <x v="0"/>
    <m/>
    <x v="12"/>
    <x v="7"/>
    <n v="22"/>
    <n v="80"/>
    <x v="117"/>
    <n v="172.48"/>
  </r>
  <r>
    <n v="1141"/>
    <x v="61"/>
    <n v="10"/>
    <x v="8"/>
    <s v="123 10th Street"/>
    <x v="7"/>
    <x v="7"/>
    <n v="99999"/>
    <s v="USA"/>
    <x v="6"/>
    <x v="1"/>
    <d v="2014-06-12T00:00:00"/>
    <s v="Shipping Company A"/>
    <s v="Roland Wacker"/>
    <s v="123 10th Street"/>
    <x v="7"/>
    <s v="IL"/>
    <n v="99999"/>
    <x v="0"/>
    <m/>
    <x v="6"/>
    <x v="2"/>
    <n v="9.1999999999999993"/>
    <n v="38"/>
    <x v="7"/>
    <n v="33.211999999999996"/>
  </r>
  <r>
    <n v="1142"/>
    <x v="62"/>
    <n v="11"/>
    <x v="10"/>
    <s v="123 11th Street"/>
    <x v="9"/>
    <x v="9"/>
    <n v="99999"/>
    <s v="USA"/>
    <x v="5"/>
    <x v="3"/>
    <m/>
    <s v="Shipping Company C"/>
    <s v="Peter Krschne"/>
    <s v="123 11th Street"/>
    <x v="9"/>
    <s v="FL"/>
    <n v="99999"/>
    <x v="0"/>
    <m/>
    <x v="1"/>
    <x v="1"/>
    <n v="3.5"/>
    <n v="28"/>
    <x v="118"/>
    <n v="10.290000000000001"/>
  </r>
  <r>
    <n v="1143"/>
    <x v="62"/>
    <n v="11"/>
    <x v="10"/>
    <s v="123 11th Street"/>
    <x v="9"/>
    <x v="9"/>
    <n v="99999"/>
    <s v="USA"/>
    <x v="5"/>
    <x v="3"/>
    <m/>
    <s v="Shipping Company C"/>
    <s v="Peter Krschne"/>
    <s v="123 11th Street"/>
    <x v="9"/>
    <s v="FL"/>
    <n v="99999"/>
    <x v="0"/>
    <m/>
    <x v="10"/>
    <x v="0"/>
    <n v="2.99"/>
    <n v="60"/>
    <x v="119"/>
    <n v="17.581200000000003"/>
  </r>
  <r>
    <n v="1144"/>
    <x v="63"/>
    <n v="1"/>
    <x v="11"/>
    <s v="123 1st Street"/>
    <x v="10"/>
    <x v="10"/>
    <n v="99999"/>
    <s v="USA"/>
    <x v="2"/>
    <x v="2"/>
    <m/>
    <m/>
    <s v="Anna Bedecs"/>
    <s v="123 1st Street"/>
    <x v="10"/>
    <s v="WA"/>
    <n v="99999"/>
    <x v="0"/>
    <m/>
    <x v="4"/>
    <x v="0"/>
    <n v="18"/>
    <n v="33"/>
    <x v="120"/>
    <n v="58.212000000000003"/>
  </r>
  <r>
    <n v="1145"/>
    <x v="63"/>
    <n v="1"/>
    <x v="11"/>
    <s v="123 1st Street"/>
    <x v="10"/>
    <x v="10"/>
    <n v="99999"/>
    <s v="USA"/>
    <x v="2"/>
    <x v="2"/>
    <m/>
    <m/>
    <s v="Anna Bedecs"/>
    <s v="123 1st Street"/>
    <x v="10"/>
    <s v="WA"/>
    <n v="99999"/>
    <x v="0"/>
    <m/>
    <x v="5"/>
    <x v="0"/>
    <n v="46"/>
    <n v="22"/>
    <x v="121"/>
    <n v="101.2"/>
  </r>
  <r>
    <n v="1146"/>
    <x v="63"/>
    <n v="1"/>
    <x v="11"/>
    <s v="123 1st Street"/>
    <x v="10"/>
    <x v="10"/>
    <n v="99999"/>
    <s v="USA"/>
    <x v="2"/>
    <x v="2"/>
    <m/>
    <m/>
    <s v="Anna Bedecs"/>
    <s v="123 1st Street"/>
    <x v="10"/>
    <s v="WA"/>
    <n v="99999"/>
    <x v="0"/>
    <m/>
    <x v="10"/>
    <x v="0"/>
    <n v="2.99"/>
    <n v="51"/>
    <x v="122"/>
    <n v="14.944020000000002"/>
  </r>
  <r>
    <n v="1147"/>
    <x v="64"/>
    <n v="28"/>
    <x v="7"/>
    <s v="789 28th Street"/>
    <x v="6"/>
    <x v="6"/>
    <n v="99999"/>
    <s v="USA"/>
    <x v="5"/>
    <x v="3"/>
    <d v="2014-06-30T00:00:00"/>
    <s v="Shipping Company C"/>
    <s v="Amritansh Raghav"/>
    <s v="789 28th Street"/>
    <x v="6"/>
    <s v="TN"/>
    <n v="99999"/>
    <x v="0"/>
    <s v="Credit Card"/>
    <x v="8"/>
    <x v="4"/>
    <n v="9.65"/>
    <n v="60"/>
    <x v="123"/>
    <n v="57.321000000000005"/>
  </r>
  <r>
    <n v="1148"/>
    <x v="64"/>
    <n v="28"/>
    <x v="7"/>
    <s v="789 28th Street"/>
    <x v="6"/>
    <x v="6"/>
    <n v="99999"/>
    <s v="USA"/>
    <x v="5"/>
    <x v="3"/>
    <d v="2014-06-30T00:00:00"/>
    <s v="Shipping Company C"/>
    <s v="Amritansh Raghav"/>
    <s v="789 28th Street"/>
    <x v="6"/>
    <s v="TN"/>
    <n v="99999"/>
    <x v="0"/>
    <s v="Credit Card"/>
    <x v="13"/>
    <x v="8"/>
    <n v="18.399999999999999"/>
    <n v="98"/>
    <x v="124"/>
    <n v="183.9264"/>
  </r>
  <r>
    <n v="1149"/>
    <x v="65"/>
    <n v="9"/>
    <x v="12"/>
    <s v="123 9th Street"/>
    <x v="11"/>
    <x v="11"/>
    <n v="99999"/>
    <s v="USA"/>
    <x v="7"/>
    <x v="0"/>
    <d v="2014-06-11T00:00:00"/>
    <s v="Shipping Company A"/>
    <s v="Sven Mortensen"/>
    <s v="123 9th Street"/>
    <x v="11"/>
    <s v="UT"/>
    <n v="99999"/>
    <x v="0"/>
    <s v="Check"/>
    <x v="14"/>
    <x v="9"/>
    <n v="19.5"/>
    <n v="27"/>
    <x v="125"/>
    <n v="51.070500000000003"/>
  </r>
  <r>
    <n v="1150"/>
    <x v="65"/>
    <n v="9"/>
    <x v="12"/>
    <s v="123 9th Street"/>
    <x v="11"/>
    <x v="11"/>
    <n v="99999"/>
    <s v="USA"/>
    <x v="7"/>
    <x v="0"/>
    <d v="2014-06-11T00:00:00"/>
    <s v="Shipping Company A"/>
    <s v="Sven Mortensen"/>
    <s v="123 9th Street"/>
    <x v="11"/>
    <s v="UT"/>
    <n v="99999"/>
    <x v="0"/>
    <s v="Check"/>
    <x v="15"/>
    <x v="10"/>
    <n v="34.799999999999997"/>
    <n v="88"/>
    <x v="126"/>
    <n v="303.17759999999993"/>
  </r>
  <r>
    <n v="1151"/>
    <x v="66"/>
    <n v="6"/>
    <x v="6"/>
    <s v="123 6th Street"/>
    <x v="5"/>
    <x v="5"/>
    <n v="99999"/>
    <s v="USA"/>
    <x v="4"/>
    <x v="2"/>
    <d v="2014-06-08T00:00:00"/>
    <s v="Shipping Company B"/>
    <s v="Francisco Pérez-Olaeta"/>
    <s v="123 6th Street"/>
    <x v="5"/>
    <s v="WI"/>
    <n v="99999"/>
    <x v="0"/>
    <s v="Credit Card"/>
    <x v="0"/>
    <x v="0"/>
    <n v="14"/>
    <n v="65"/>
    <x v="127"/>
    <n v="95.55"/>
  </r>
  <r>
    <n v="1152"/>
    <x v="67"/>
    <n v="8"/>
    <x v="3"/>
    <s v="123 8th Street"/>
    <x v="2"/>
    <x v="2"/>
    <n v="99999"/>
    <s v="USA"/>
    <x v="2"/>
    <x v="2"/>
    <d v="2014-06-10T00:00:00"/>
    <s v="Shipping Company B"/>
    <s v="Elizabeth Andersen"/>
    <s v="123 8th Street"/>
    <x v="2"/>
    <s v="OR"/>
    <n v="99999"/>
    <x v="0"/>
    <s v="Check"/>
    <x v="9"/>
    <x v="5"/>
    <n v="40"/>
    <n v="38"/>
    <x v="128"/>
    <n v="148.96"/>
  </r>
  <r>
    <n v="1153"/>
    <x v="67"/>
    <n v="8"/>
    <x v="3"/>
    <s v="123 8th Street"/>
    <x v="2"/>
    <x v="2"/>
    <n v="99999"/>
    <s v="USA"/>
    <x v="2"/>
    <x v="2"/>
    <n v="41800"/>
    <s v="Shipping Company B"/>
    <s v="Elizabeth Andersen"/>
    <s v="123 8th Street"/>
    <x v="2"/>
    <s v="OR"/>
    <n v="99999"/>
    <x v="0"/>
    <s v="Check"/>
    <x v="6"/>
    <x v="2"/>
    <n v="9.1999999999999993"/>
    <n v="80"/>
    <x v="129"/>
    <n v="70.656000000000006"/>
  </r>
  <r>
    <n v="1154"/>
    <x v="68"/>
    <n v="25"/>
    <x v="13"/>
    <s v="789 25th Street"/>
    <x v="7"/>
    <x v="7"/>
    <n v="99999"/>
    <s v="USA"/>
    <x v="6"/>
    <x v="1"/>
    <d v="2014-06-27T00:00:00"/>
    <s v="Shipping Company A"/>
    <s v="John Rodman"/>
    <s v="789 25th Street"/>
    <x v="7"/>
    <s v="IL"/>
    <n v="99999"/>
    <x v="0"/>
    <s v="Cash"/>
    <x v="21"/>
    <x v="2"/>
    <n v="10"/>
    <n v="49"/>
    <x v="130"/>
    <n v="47.04"/>
  </r>
  <r>
    <n v="1155"/>
    <x v="69"/>
    <n v="26"/>
    <x v="14"/>
    <s v="789 26th Street"/>
    <x v="9"/>
    <x v="9"/>
    <n v="99999"/>
    <s v="USA"/>
    <x v="5"/>
    <x v="3"/>
    <d v="2014-06-28T00:00:00"/>
    <s v="Shipping Company C"/>
    <s v="Run Liu"/>
    <s v="789 26th Street"/>
    <x v="9"/>
    <s v="FL"/>
    <n v="99999"/>
    <x v="0"/>
    <s v="Credit Card"/>
    <x v="22"/>
    <x v="13"/>
    <n v="21.35"/>
    <n v="90"/>
    <x v="131"/>
    <n v="186.38550000000004"/>
  </r>
  <r>
    <n v="1156"/>
    <x v="69"/>
    <n v="26"/>
    <x v="14"/>
    <s v="789 26th Street"/>
    <x v="9"/>
    <x v="9"/>
    <n v="99999"/>
    <s v="USA"/>
    <x v="5"/>
    <x v="3"/>
    <d v="2014-06-28T00:00:00"/>
    <s v="Shipping Company C"/>
    <s v="Run Liu"/>
    <s v="789 26th Street"/>
    <x v="9"/>
    <s v="FL"/>
    <n v="99999"/>
    <x v="0"/>
    <s v="Credit Card"/>
    <x v="8"/>
    <x v="4"/>
    <n v="9.65"/>
    <n v="60"/>
    <x v="123"/>
    <n v="59.637000000000008"/>
  </r>
  <r>
    <n v="1157"/>
    <x v="69"/>
    <n v="26"/>
    <x v="14"/>
    <s v="789 26th Street"/>
    <x v="9"/>
    <x v="9"/>
    <n v="99999"/>
    <s v="USA"/>
    <x v="5"/>
    <x v="3"/>
    <n v="41818"/>
    <s v="Shipping Company C"/>
    <s v="Run Liu"/>
    <s v="789 26th Street"/>
    <x v="9"/>
    <s v="FL"/>
    <n v="99999"/>
    <x v="0"/>
    <s v="Credit Card"/>
    <x v="13"/>
    <x v="8"/>
    <n v="18.399999999999999"/>
    <n v="39"/>
    <x v="132"/>
    <n v="71.759999999999991"/>
  </r>
  <r>
    <n v="1158"/>
    <x v="70"/>
    <n v="29"/>
    <x v="4"/>
    <s v="789 29th Street"/>
    <x v="3"/>
    <x v="3"/>
    <n v="99999"/>
    <s v="USA"/>
    <x v="3"/>
    <x v="0"/>
    <n v="41821"/>
    <s v="Shipping Company B"/>
    <s v="Soo Jung Lee"/>
    <s v="789 29th Street"/>
    <x v="3"/>
    <s v="CO"/>
    <n v="99999"/>
    <x v="0"/>
    <s v="Check"/>
    <x v="0"/>
    <x v="0"/>
    <n v="14"/>
    <n v="79"/>
    <x v="133"/>
    <n v="113.91800000000001"/>
  </r>
  <r>
    <n v="1159"/>
    <x v="66"/>
    <n v="6"/>
    <x v="6"/>
    <s v="123 6th Street"/>
    <x v="5"/>
    <x v="5"/>
    <n v="99999"/>
    <s v="USA"/>
    <x v="4"/>
    <x v="2"/>
    <n v="41798"/>
    <s v="Shipping Company C"/>
    <s v="Francisco Pérez-Olaeta"/>
    <s v="123 6th Street"/>
    <x v="5"/>
    <s v="WI"/>
    <n v="99999"/>
    <x v="0"/>
    <s v="Check"/>
    <x v="7"/>
    <x v="3"/>
    <n v="12.75"/>
    <n v="44"/>
    <x v="134"/>
    <n v="57.222000000000001"/>
  </r>
  <r>
    <n v="1161"/>
    <x v="71"/>
    <n v="4"/>
    <x v="1"/>
    <s v="123 4th Street"/>
    <x v="1"/>
    <x v="1"/>
    <n v="99999"/>
    <s v="USA"/>
    <x v="1"/>
    <x v="1"/>
    <n v="41796"/>
    <s v="Shipping Company A"/>
    <s v="Christina Lee"/>
    <s v="123 4th Street"/>
    <x v="1"/>
    <s v="NY"/>
    <n v="99999"/>
    <x v="0"/>
    <s v="Credit Card"/>
    <x v="23"/>
    <x v="6"/>
    <n v="81"/>
    <n v="98"/>
    <x v="135"/>
    <n v="769.98599999999999"/>
  </r>
  <r>
    <n v="1162"/>
    <x v="71"/>
    <n v="4"/>
    <x v="1"/>
    <s v="123 4th Street"/>
    <x v="1"/>
    <x v="1"/>
    <n v="99999"/>
    <s v="USA"/>
    <x v="1"/>
    <x v="1"/>
    <n v="41796"/>
    <s v="Shipping Company A"/>
    <s v="Christina Lee"/>
    <s v="123 4th Street"/>
    <x v="1"/>
    <s v="NY"/>
    <n v="99999"/>
    <x v="0"/>
    <s v="Credit Card"/>
    <x v="24"/>
    <x v="14"/>
    <n v="7"/>
    <n v="61"/>
    <x v="136"/>
    <n v="42.273000000000003"/>
  </r>
  <r>
    <n v="1164"/>
    <x v="67"/>
    <n v="8"/>
    <x v="3"/>
    <s v="123 8th Street"/>
    <x v="2"/>
    <x v="2"/>
    <n v="99999"/>
    <s v="USA"/>
    <x v="2"/>
    <x v="2"/>
    <d v="2014-06-10T00:00:00"/>
    <s v="Shipping Company C"/>
    <s v="Elizabeth Andersen"/>
    <s v="123 8th Street"/>
    <x v="2"/>
    <s v="OR"/>
    <n v="99999"/>
    <x v="0"/>
    <s v="Credit Card"/>
    <x v="15"/>
    <x v="10"/>
    <n v="34.799999999999997"/>
    <n v="30"/>
    <x v="137"/>
    <n v="109.62"/>
  </r>
  <r>
    <n v="1167"/>
    <x v="72"/>
    <n v="3"/>
    <x v="5"/>
    <s v="123 3rd Street"/>
    <x v="4"/>
    <x v="4"/>
    <n v="99999"/>
    <s v="USA"/>
    <x v="0"/>
    <x v="0"/>
    <d v="2014-06-05T00:00:00"/>
    <s v="Shipping Company B"/>
    <s v="Thomas Axerr"/>
    <s v="123 3rd Street"/>
    <x v="4"/>
    <s v="CA"/>
    <n v="99999"/>
    <x v="0"/>
    <s v="Cash"/>
    <x v="16"/>
    <x v="7"/>
    <n v="10"/>
    <n v="24"/>
    <x v="138"/>
    <n v="25.200000000000003"/>
  </r>
  <r>
    <n v="1168"/>
    <x v="72"/>
    <n v="3"/>
    <x v="5"/>
    <s v="123 3rd Street"/>
    <x v="4"/>
    <x v="4"/>
    <n v="99999"/>
    <s v="USA"/>
    <x v="0"/>
    <x v="0"/>
    <d v="2014-06-05T00:00:00"/>
    <s v="Shipping Company B"/>
    <s v="Thomas Axerr"/>
    <s v="123 3rd Street"/>
    <x v="4"/>
    <s v="CA"/>
    <n v="99999"/>
    <x v="0"/>
    <s v="Cash"/>
    <x v="9"/>
    <x v="5"/>
    <n v="40"/>
    <n v="28"/>
    <x v="139"/>
    <n v="109.75999999999999"/>
  </r>
  <r>
    <n v="1172"/>
    <x v="61"/>
    <n v="10"/>
    <x v="8"/>
    <s v="123 10th Street"/>
    <x v="7"/>
    <x v="7"/>
    <n v="99999"/>
    <s v="USA"/>
    <x v="6"/>
    <x v="1"/>
    <d v="2014-06-12T00:00:00"/>
    <s v="Shipping Company B"/>
    <s v="Roland Wacker"/>
    <s v="123 10th Street"/>
    <x v="7"/>
    <s v="IL"/>
    <n v="99999"/>
    <x v="0"/>
    <s v="Credit Card"/>
    <x v="18"/>
    <x v="1"/>
    <n v="10"/>
    <n v="74"/>
    <x v="140"/>
    <n v="71.78"/>
  </r>
  <r>
    <n v="1174"/>
    <x v="61"/>
    <n v="10"/>
    <x v="8"/>
    <s v="123 10th Street"/>
    <x v="7"/>
    <x v="7"/>
    <n v="99999"/>
    <s v="USA"/>
    <x v="6"/>
    <x v="1"/>
    <m/>
    <s v="Shipping Company A"/>
    <s v="Roland Wacker"/>
    <s v="123 10th Street"/>
    <x v="7"/>
    <s v="IL"/>
    <n v="99999"/>
    <x v="0"/>
    <m/>
    <x v="1"/>
    <x v="1"/>
    <n v="3.5"/>
    <n v="90"/>
    <x v="141"/>
    <n v="30.24"/>
  </r>
  <r>
    <n v="1175"/>
    <x v="62"/>
    <n v="11"/>
    <x v="10"/>
    <s v="123 11th Street"/>
    <x v="9"/>
    <x v="9"/>
    <n v="99999"/>
    <s v="USA"/>
    <x v="5"/>
    <x v="3"/>
    <m/>
    <s v="Shipping Company C"/>
    <s v="Peter Krschne"/>
    <s v="123 11th Street"/>
    <x v="9"/>
    <s v="FL"/>
    <n v="99999"/>
    <x v="0"/>
    <m/>
    <x v="9"/>
    <x v="5"/>
    <n v="40"/>
    <n v="27"/>
    <x v="142"/>
    <n v="111.24000000000001"/>
  </r>
  <r>
    <n v="1176"/>
    <x v="63"/>
    <n v="1"/>
    <x v="11"/>
    <s v="123 1st Street"/>
    <x v="10"/>
    <x v="10"/>
    <n v="99999"/>
    <s v="USA"/>
    <x v="2"/>
    <x v="2"/>
    <m/>
    <s v="Shipping Company C"/>
    <s v="Anna Bedecs"/>
    <s v="123 1st Street"/>
    <x v="10"/>
    <s v="WA"/>
    <n v="99999"/>
    <x v="0"/>
    <m/>
    <x v="13"/>
    <x v="8"/>
    <n v="18.399999999999999"/>
    <n v="71"/>
    <x v="143"/>
    <n v="137.172"/>
  </r>
  <r>
    <n v="1177"/>
    <x v="64"/>
    <n v="28"/>
    <x v="7"/>
    <s v="789 28th Street"/>
    <x v="6"/>
    <x v="6"/>
    <n v="99999"/>
    <s v="USA"/>
    <x v="5"/>
    <x v="3"/>
    <d v="2014-06-30T00:00:00"/>
    <s v="Shipping Company C"/>
    <s v="Amritansh Raghav"/>
    <s v="789 28th Street"/>
    <x v="6"/>
    <s v="TN"/>
    <n v="99999"/>
    <x v="0"/>
    <s v="Credit Card"/>
    <x v="5"/>
    <x v="0"/>
    <n v="46"/>
    <n v="74"/>
    <x v="144"/>
    <n v="340.40000000000003"/>
  </r>
  <r>
    <n v="1178"/>
    <x v="65"/>
    <n v="9"/>
    <x v="12"/>
    <s v="123 9th Street"/>
    <x v="11"/>
    <x v="11"/>
    <n v="99999"/>
    <s v="USA"/>
    <x v="7"/>
    <x v="0"/>
    <d v="2014-06-11T00:00:00"/>
    <s v="Shipping Company A"/>
    <s v="Sven Mortensen"/>
    <s v="123 9th Street"/>
    <x v="11"/>
    <s v="UT"/>
    <n v="99999"/>
    <x v="0"/>
    <s v="Check"/>
    <x v="8"/>
    <x v="4"/>
    <n v="9.65"/>
    <n v="76"/>
    <x v="145"/>
    <n v="72.6066"/>
  </r>
  <r>
    <n v="1179"/>
    <x v="66"/>
    <n v="6"/>
    <x v="6"/>
    <s v="123 6th Street"/>
    <x v="5"/>
    <x v="5"/>
    <n v="99999"/>
    <s v="USA"/>
    <x v="4"/>
    <x v="2"/>
    <d v="2014-06-08T00:00:00"/>
    <s v="Shipping Company B"/>
    <s v="Francisco Pérez-Olaeta"/>
    <s v="123 6th Street"/>
    <x v="5"/>
    <s v="WI"/>
    <n v="99999"/>
    <x v="0"/>
    <s v="Credit Card"/>
    <x v="7"/>
    <x v="3"/>
    <n v="12.75"/>
    <n v="96"/>
    <x v="146"/>
    <n v="123.62400000000001"/>
  </r>
  <r>
    <n v="1180"/>
    <x v="67"/>
    <n v="8"/>
    <x v="3"/>
    <s v="123 8th Street"/>
    <x v="2"/>
    <x v="2"/>
    <n v="99999"/>
    <s v="USA"/>
    <x v="2"/>
    <x v="2"/>
    <d v="2014-06-10T00:00:00"/>
    <s v="Shipping Company B"/>
    <s v="Elizabeth Andersen"/>
    <s v="123 8th Street"/>
    <x v="2"/>
    <s v="OR"/>
    <n v="99999"/>
    <x v="0"/>
    <s v="Check"/>
    <x v="7"/>
    <x v="3"/>
    <n v="12.75"/>
    <n v="92"/>
    <x v="147"/>
    <n v="116.12700000000001"/>
  </r>
  <r>
    <n v="1181"/>
    <x v="68"/>
    <n v="25"/>
    <x v="13"/>
    <s v="789 25th Street"/>
    <x v="7"/>
    <x v="7"/>
    <n v="99999"/>
    <s v="USA"/>
    <x v="6"/>
    <x v="1"/>
    <d v="2014-06-27T00:00:00"/>
    <s v="Shipping Company A"/>
    <s v="John Rodman"/>
    <s v="789 25th Street"/>
    <x v="7"/>
    <s v="IL"/>
    <n v="99999"/>
    <x v="0"/>
    <s v="Cash"/>
    <x v="12"/>
    <x v="7"/>
    <n v="22"/>
    <n v="93"/>
    <x v="148"/>
    <n v="200.50800000000001"/>
  </r>
  <r>
    <n v="1182"/>
    <x v="69"/>
    <n v="26"/>
    <x v="14"/>
    <s v="789 26th Street"/>
    <x v="9"/>
    <x v="9"/>
    <n v="99999"/>
    <s v="USA"/>
    <x v="5"/>
    <x v="3"/>
    <d v="2014-06-28T00:00:00"/>
    <s v="Shipping Company C"/>
    <s v="Run Liu"/>
    <s v="789 26th Street"/>
    <x v="9"/>
    <s v="FL"/>
    <n v="99999"/>
    <x v="0"/>
    <s v="Credit Card"/>
    <x v="11"/>
    <x v="6"/>
    <n v="25"/>
    <n v="18"/>
    <x v="149"/>
    <n v="42.75"/>
  </r>
  <r>
    <n v="1183"/>
    <x v="70"/>
    <n v="29"/>
    <x v="4"/>
    <s v="789 29th Street"/>
    <x v="3"/>
    <x v="3"/>
    <n v="99999"/>
    <s v="USA"/>
    <x v="3"/>
    <x v="0"/>
    <d v="2014-07-01T00:00:00"/>
    <s v="Shipping Company B"/>
    <s v="Soo Jung Lee"/>
    <s v="789 29th Street"/>
    <x v="3"/>
    <s v="CO"/>
    <n v="99999"/>
    <x v="0"/>
    <s v="Check"/>
    <x v="19"/>
    <x v="12"/>
    <n v="39"/>
    <n v="98"/>
    <x v="150"/>
    <n v="397.48800000000006"/>
  </r>
  <r>
    <n v="1184"/>
    <x v="66"/>
    <n v="6"/>
    <x v="6"/>
    <s v="123 6th Street"/>
    <x v="5"/>
    <x v="5"/>
    <n v="99999"/>
    <s v="USA"/>
    <x v="4"/>
    <x v="2"/>
    <d v="2014-06-08T00:00:00"/>
    <s v="Shipping Company C"/>
    <s v="Francisco Pérez-Olaeta"/>
    <s v="123 6th Street"/>
    <x v="5"/>
    <s v="WI"/>
    <n v="99999"/>
    <x v="0"/>
    <s v="Check"/>
    <x v="2"/>
    <x v="1"/>
    <n v="30"/>
    <n v="46"/>
    <x v="65"/>
    <n v="135.24"/>
  </r>
  <r>
    <n v="1185"/>
    <x v="66"/>
    <n v="6"/>
    <x v="6"/>
    <s v="123 6th Street"/>
    <x v="5"/>
    <x v="5"/>
    <n v="99999"/>
    <s v="USA"/>
    <x v="4"/>
    <x v="2"/>
    <d v="2014-06-08T00:00:00"/>
    <s v="Shipping Company C"/>
    <s v="Francisco Pérez-Olaeta"/>
    <s v="123 6th Street"/>
    <x v="5"/>
    <s v="WI"/>
    <n v="99999"/>
    <x v="0"/>
    <s v="Check"/>
    <x v="3"/>
    <x v="1"/>
    <n v="53"/>
    <n v="14"/>
    <x v="48"/>
    <n v="74.2"/>
  </r>
  <r>
    <n v="1186"/>
    <x v="71"/>
    <n v="4"/>
    <x v="1"/>
    <s v="123 4th Street"/>
    <x v="1"/>
    <x v="1"/>
    <n v="99999"/>
    <s v="USA"/>
    <x v="1"/>
    <x v="1"/>
    <m/>
    <m/>
    <s v="Christina Lee"/>
    <s v="123 4th Street"/>
    <x v="1"/>
    <s v="NY"/>
    <n v="99999"/>
    <x v="0"/>
    <m/>
    <x v="20"/>
    <x v="9"/>
    <n v="38"/>
    <n v="85"/>
    <x v="151"/>
    <n v="319.77"/>
  </r>
  <r>
    <n v="1187"/>
    <x v="72"/>
    <n v="3"/>
    <x v="5"/>
    <s v="123 3rd Street"/>
    <x v="4"/>
    <x v="4"/>
    <n v="99999"/>
    <s v="USA"/>
    <x v="0"/>
    <x v="0"/>
    <m/>
    <m/>
    <s v="Thomas Axerr"/>
    <s v="123 3rd Street"/>
    <x v="4"/>
    <s v="CA"/>
    <n v="99999"/>
    <x v="0"/>
    <m/>
    <x v="10"/>
    <x v="0"/>
    <n v="2.99"/>
    <n v="88"/>
    <x v="76"/>
    <n v="25.522639999999999"/>
  </r>
  <r>
    <n v="1188"/>
    <x v="73"/>
    <n v="1"/>
    <x v="11"/>
    <s v="123 1st Street"/>
    <x v="10"/>
    <x v="10"/>
    <n v="99999"/>
    <s v="USA"/>
    <x v="2"/>
    <x v="2"/>
    <m/>
    <m/>
    <s v="Anna Bedecs"/>
    <s v="123 1st Street"/>
    <x v="10"/>
    <s v="WA"/>
    <n v="99999"/>
    <x v="0"/>
    <m/>
    <x v="10"/>
    <x v="0"/>
    <n v="2.99"/>
    <n v="81"/>
    <x v="152"/>
    <n v="23.976810000000004"/>
  </r>
  <r>
    <n v="1189"/>
    <x v="74"/>
    <n v="28"/>
    <x v="7"/>
    <s v="789 28th Street"/>
    <x v="6"/>
    <x v="6"/>
    <n v="99999"/>
    <s v="USA"/>
    <x v="5"/>
    <x v="3"/>
    <d v="2014-07-30T00:00:00"/>
    <s v="Shipping Company C"/>
    <s v="Amritansh Raghav"/>
    <s v="789 28th Street"/>
    <x v="6"/>
    <s v="TN"/>
    <n v="99999"/>
    <x v="0"/>
    <s v="Credit Card"/>
    <x v="8"/>
    <x v="4"/>
    <n v="9.65"/>
    <n v="33"/>
    <x v="153"/>
    <n v="30.252749999999999"/>
  </r>
  <r>
    <n v="1190"/>
    <x v="74"/>
    <n v="28"/>
    <x v="7"/>
    <s v="789 28th Street"/>
    <x v="6"/>
    <x v="6"/>
    <n v="99999"/>
    <s v="USA"/>
    <x v="5"/>
    <x v="3"/>
    <d v="2014-07-30T00:00:00"/>
    <s v="Shipping Company C"/>
    <s v="Amritansh Raghav"/>
    <s v="789 28th Street"/>
    <x v="6"/>
    <s v="TN"/>
    <n v="99999"/>
    <x v="0"/>
    <s v="Credit Card"/>
    <x v="13"/>
    <x v="8"/>
    <n v="18.399999999999999"/>
    <n v="47"/>
    <x v="154"/>
    <n v="90.804000000000002"/>
  </r>
  <r>
    <n v="1191"/>
    <x v="75"/>
    <n v="9"/>
    <x v="12"/>
    <s v="123 9th Street"/>
    <x v="11"/>
    <x v="11"/>
    <n v="99999"/>
    <s v="USA"/>
    <x v="7"/>
    <x v="0"/>
    <d v="2014-07-11T00:00:00"/>
    <s v="Shipping Company A"/>
    <s v="Sven Mortensen"/>
    <s v="123 9th Street"/>
    <x v="11"/>
    <s v="UT"/>
    <n v="99999"/>
    <x v="0"/>
    <s v="Check"/>
    <x v="14"/>
    <x v="9"/>
    <n v="19.5"/>
    <n v="61"/>
    <x v="155"/>
    <n v="123.70800000000001"/>
  </r>
  <r>
    <n v="1192"/>
    <x v="75"/>
    <n v="9"/>
    <x v="12"/>
    <s v="123 9th Street"/>
    <x v="11"/>
    <x v="11"/>
    <n v="99999"/>
    <s v="USA"/>
    <x v="7"/>
    <x v="0"/>
    <d v="2014-07-11T00:00:00"/>
    <s v="Shipping Company A"/>
    <s v="Sven Mortensen"/>
    <s v="123 9th Street"/>
    <x v="11"/>
    <s v="UT"/>
    <n v="99999"/>
    <x v="0"/>
    <s v="Check"/>
    <x v="15"/>
    <x v="10"/>
    <n v="34.799999999999997"/>
    <n v="27"/>
    <x v="156"/>
    <n v="95.839199999999991"/>
  </r>
  <r>
    <n v="1193"/>
    <x v="76"/>
    <n v="6"/>
    <x v="6"/>
    <s v="123 6th Street"/>
    <x v="5"/>
    <x v="5"/>
    <n v="99999"/>
    <s v="USA"/>
    <x v="4"/>
    <x v="2"/>
    <d v="2014-07-08T00:00:00"/>
    <s v="Shipping Company B"/>
    <s v="Francisco Pérez-Olaeta"/>
    <s v="123 6th Street"/>
    <x v="5"/>
    <s v="WI"/>
    <n v="99999"/>
    <x v="0"/>
    <s v="Credit Card"/>
    <x v="0"/>
    <x v="0"/>
    <n v="14"/>
    <n v="84"/>
    <x v="102"/>
    <n v="118.77600000000001"/>
  </r>
  <r>
    <n v="1194"/>
    <x v="77"/>
    <n v="8"/>
    <x v="3"/>
    <s v="123 8th Street"/>
    <x v="2"/>
    <x v="2"/>
    <n v="99999"/>
    <s v="USA"/>
    <x v="2"/>
    <x v="2"/>
    <d v="2014-07-10T00:00:00"/>
    <s v="Shipping Company B"/>
    <s v="Elizabeth Andersen"/>
    <s v="123 8th Street"/>
    <x v="2"/>
    <s v="OR"/>
    <n v="99999"/>
    <x v="0"/>
    <s v="Check"/>
    <x v="9"/>
    <x v="5"/>
    <n v="40"/>
    <n v="91"/>
    <x v="157"/>
    <n v="360.36"/>
  </r>
  <r>
    <n v="1195"/>
    <x v="77"/>
    <n v="8"/>
    <x v="3"/>
    <s v="123 8th Street"/>
    <x v="2"/>
    <x v="2"/>
    <n v="99999"/>
    <s v="USA"/>
    <x v="2"/>
    <x v="2"/>
    <d v="2014-07-10T00:00:00"/>
    <s v="Shipping Company B"/>
    <s v="Elizabeth Andersen"/>
    <s v="123 8th Street"/>
    <x v="2"/>
    <s v="OR"/>
    <n v="99999"/>
    <x v="0"/>
    <s v="Check"/>
    <x v="6"/>
    <x v="2"/>
    <n v="9.1999999999999993"/>
    <n v="36"/>
    <x v="158"/>
    <n v="34.444800000000001"/>
  </r>
  <r>
    <n v="1196"/>
    <x v="78"/>
    <n v="25"/>
    <x v="13"/>
    <s v="789 25th Street"/>
    <x v="7"/>
    <x v="7"/>
    <n v="99999"/>
    <s v="USA"/>
    <x v="6"/>
    <x v="1"/>
    <n v="41847"/>
    <s v="Shipping Company A"/>
    <s v="John Rodman"/>
    <s v="789 25th Street"/>
    <x v="7"/>
    <s v="IL"/>
    <n v="99999"/>
    <x v="0"/>
    <s v="Cash"/>
    <x v="21"/>
    <x v="2"/>
    <n v="10"/>
    <n v="34"/>
    <x v="159"/>
    <n v="34.340000000000003"/>
  </r>
  <r>
    <n v="1197"/>
    <x v="79"/>
    <n v="26"/>
    <x v="14"/>
    <s v="789 26th Street"/>
    <x v="9"/>
    <x v="9"/>
    <n v="99999"/>
    <s v="USA"/>
    <x v="5"/>
    <x v="3"/>
    <n v="41848"/>
    <s v="Shipping Company C"/>
    <s v="Run Liu"/>
    <s v="789 26th Street"/>
    <x v="9"/>
    <s v="FL"/>
    <n v="99999"/>
    <x v="0"/>
    <s v="Credit Card"/>
    <x v="22"/>
    <x v="13"/>
    <n v="21.35"/>
    <n v="81"/>
    <x v="160"/>
    <n v="178.12305000000003"/>
  </r>
  <r>
    <n v="1198"/>
    <x v="79"/>
    <n v="26"/>
    <x v="14"/>
    <s v="789 26th Street"/>
    <x v="9"/>
    <x v="9"/>
    <n v="99999"/>
    <s v="USA"/>
    <x v="5"/>
    <x v="3"/>
    <n v="41848"/>
    <s v="Shipping Company C"/>
    <s v="Run Liu"/>
    <s v="789 26th Street"/>
    <x v="9"/>
    <s v="FL"/>
    <n v="99999"/>
    <x v="0"/>
    <s v="Credit Card"/>
    <x v="8"/>
    <x v="4"/>
    <n v="9.65"/>
    <n v="25"/>
    <x v="161"/>
    <n v="23.401250000000001"/>
  </r>
  <r>
    <n v="1199"/>
    <x v="79"/>
    <n v="26"/>
    <x v="14"/>
    <s v="789 26th Street"/>
    <x v="9"/>
    <x v="9"/>
    <n v="99999"/>
    <s v="USA"/>
    <x v="5"/>
    <x v="3"/>
    <n v="41848"/>
    <s v="Shipping Company C"/>
    <s v="Run Liu"/>
    <s v="789 26th Street"/>
    <x v="9"/>
    <s v="FL"/>
    <n v="99999"/>
    <x v="0"/>
    <s v="Credit Card"/>
    <x v="13"/>
    <x v="8"/>
    <n v="18.399999999999999"/>
    <n v="12"/>
    <x v="162"/>
    <n v="22.08"/>
  </r>
  <r>
    <n v="1200"/>
    <x v="80"/>
    <n v="29"/>
    <x v="4"/>
    <s v="789 29th Street"/>
    <x v="3"/>
    <x v="3"/>
    <n v="99999"/>
    <s v="USA"/>
    <x v="3"/>
    <x v="0"/>
    <d v="2014-07-31T00:00:00"/>
    <s v="Shipping Company B"/>
    <s v="Soo Jung Lee"/>
    <s v="789 29th Street"/>
    <x v="3"/>
    <s v="CO"/>
    <n v="99999"/>
    <x v="0"/>
    <s v="Check"/>
    <x v="0"/>
    <x v="0"/>
    <n v="14"/>
    <n v="23"/>
    <x v="163"/>
    <n v="30.912000000000003"/>
  </r>
  <r>
    <n v="1201"/>
    <x v="76"/>
    <n v="6"/>
    <x v="6"/>
    <s v="123 6th Street"/>
    <x v="5"/>
    <x v="5"/>
    <n v="99999"/>
    <s v="USA"/>
    <x v="4"/>
    <x v="2"/>
    <d v="2014-07-08T00:00:00"/>
    <s v="Shipping Company C"/>
    <s v="Francisco Pérez-Olaeta"/>
    <s v="123 6th Street"/>
    <x v="5"/>
    <s v="WI"/>
    <n v="99999"/>
    <x v="0"/>
    <s v="Check"/>
    <x v="7"/>
    <x v="3"/>
    <n v="12.75"/>
    <n v="76"/>
    <x v="164"/>
    <n v="97.869"/>
  </r>
  <r>
    <n v="1203"/>
    <x v="81"/>
    <n v="4"/>
    <x v="1"/>
    <s v="123 4th Street"/>
    <x v="1"/>
    <x v="1"/>
    <n v="99999"/>
    <s v="USA"/>
    <x v="1"/>
    <x v="1"/>
    <d v="2014-07-06T00:00:00"/>
    <s v="Shipping Company A"/>
    <s v="Christina Lee"/>
    <s v="123 4th Street"/>
    <x v="1"/>
    <s v="NY"/>
    <n v="99999"/>
    <x v="0"/>
    <s v="Credit Card"/>
    <x v="23"/>
    <x v="6"/>
    <n v="81"/>
    <n v="55"/>
    <x v="165"/>
    <n v="445.5"/>
  </r>
  <r>
    <n v="1204"/>
    <x v="81"/>
    <n v="4"/>
    <x v="1"/>
    <s v="123 4th Street"/>
    <x v="1"/>
    <x v="1"/>
    <n v="99999"/>
    <s v="USA"/>
    <x v="1"/>
    <x v="1"/>
    <d v="2014-07-06T00:00:00"/>
    <s v="Shipping Company A"/>
    <s v="Christina Lee"/>
    <s v="123 4th Street"/>
    <x v="1"/>
    <s v="NY"/>
    <n v="99999"/>
    <x v="0"/>
    <s v="Credit Card"/>
    <x v="24"/>
    <x v="14"/>
    <n v="7"/>
    <n v="19"/>
    <x v="166"/>
    <n v="12.901"/>
  </r>
  <r>
    <n v="1206"/>
    <x v="77"/>
    <n v="8"/>
    <x v="3"/>
    <s v="123 8th Street"/>
    <x v="2"/>
    <x v="2"/>
    <n v="99999"/>
    <s v="USA"/>
    <x v="2"/>
    <x v="2"/>
    <d v="2014-07-10T00:00:00"/>
    <s v="Shipping Company C"/>
    <s v="Elizabeth Andersen"/>
    <s v="123 8th Street"/>
    <x v="2"/>
    <s v="OR"/>
    <n v="99999"/>
    <x v="0"/>
    <s v="Credit Card"/>
    <x v="15"/>
    <x v="10"/>
    <n v="34.799999999999997"/>
    <n v="27"/>
    <x v="156"/>
    <n v="89.261999999999986"/>
  </r>
  <r>
    <n v="1209"/>
    <x v="82"/>
    <n v="3"/>
    <x v="5"/>
    <s v="123 3rd Street"/>
    <x v="4"/>
    <x v="4"/>
    <n v="99999"/>
    <s v="USA"/>
    <x v="0"/>
    <x v="0"/>
    <d v="2014-07-05T00:00:00"/>
    <s v="Shipping Company B"/>
    <s v="Thomas Axerr"/>
    <s v="123 3rd Street"/>
    <x v="4"/>
    <s v="CA"/>
    <n v="99999"/>
    <x v="0"/>
    <s v="Cash"/>
    <x v="16"/>
    <x v="7"/>
    <n v="10"/>
    <n v="99"/>
    <x v="82"/>
    <n v="95.039999999999992"/>
  </r>
  <r>
    <n v="1210"/>
    <x v="82"/>
    <n v="3"/>
    <x v="5"/>
    <s v="123 3rd Street"/>
    <x v="4"/>
    <x v="4"/>
    <n v="99999"/>
    <s v="USA"/>
    <x v="0"/>
    <x v="0"/>
    <d v="2014-07-05T00:00:00"/>
    <s v="Shipping Company B"/>
    <s v="Thomas Axerr"/>
    <s v="123 3rd Street"/>
    <x v="4"/>
    <s v="CA"/>
    <n v="99999"/>
    <x v="0"/>
    <s v="Cash"/>
    <x v="9"/>
    <x v="5"/>
    <n v="40"/>
    <n v="10"/>
    <x v="167"/>
    <n v="40"/>
  </r>
  <r>
    <n v="1214"/>
    <x v="83"/>
    <n v="10"/>
    <x v="8"/>
    <s v="123 10th Street"/>
    <x v="7"/>
    <x v="7"/>
    <n v="99999"/>
    <s v="USA"/>
    <x v="6"/>
    <x v="1"/>
    <d v="2014-07-12T00:00:00"/>
    <s v="Shipping Company B"/>
    <s v="Roland Wacker"/>
    <s v="123 10th Street"/>
    <x v="7"/>
    <s v="IL"/>
    <n v="99999"/>
    <x v="0"/>
    <s v="Credit Card"/>
    <x v="18"/>
    <x v="1"/>
    <n v="10"/>
    <n v="80"/>
    <x v="168"/>
    <n v="77.599999999999994"/>
  </r>
  <r>
    <n v="1216"/>
    <x v="83"/>
    <n v="10"/>
    <x v="8"/>
    <s v="123 10th Street"/>
    <x v="7"/>
    <x v="7"/>
    <n v="99999"/>
    <s v="USA"/>
    <x v="6"/>
    <x v="1"/>
    <m/>
    <s v="Shipping Company A"/>
    <s v="Roland Wacker"/>
    <s v="123 10th Street"/>
    <x v="7"/>
    <s v="IL"/>
    <n v="99999"/>
    <x v="0"/>
    <m/>
    <x v="1"/>
    <x v="1"/>
    <n v="3.5"/>
    <n v="27"/>
    <x v="169"/>
    <n v="9.072000000000001"/>
  </r>
  <r>
    <n v="1217"/>
    <x v="84"/>
    <n v="11"/>
    <x v="10"/>
    <s v="123 11th Street"/>
    <x v="9"/>
    <x v="9"/>
    <n v="99999"/>
    <s v="USA"/>
    <x v="5"/>
    <x v="3"/>
    <m/>
    <s v="Shipping Company C"/>
    <s v="Peter Krschne"/>
    <s v="123 11th Street"/>
    <x v="9"/>
    <s v="FL"/>
    <n v="99999"/>
    <x v="0"/>
    <m/>
    <x v="9"/>
    <x v="5"/>
    <n v="40"/>
    <n v="97"/>
    <x v="170"/>
    <n v="380.24"/>
  </r>
  <r>
    <n v="1218"/>
    <x v="73"/>
    <n v="1"/>
    <x v="11"/>
    <s v="123 1st Street"/>
    <x v="10"/>
    <x v="10"/>
    <n v="99999"/>
    <s v="USA"/>
    <x v="2"/>
    <x v="2"/>
    <m/>
    <s v="Shipping Company C"/>
    <s v="Anna Bedecs"/>
    <s v="123 1st Street"/>
    <x v="10"/>
    <s v="WA"/>
    <n v="99999"/>
    <x v="0"/>
    <m/>
    <x v="13"/>
    <x v="8"/>
    <n v="18.399999999999999"/>
    <n v="42"/>
    <x v="171"/>
    <n v="80.371200000000002"/>
  </r>
  <r>
    <n v="1219"/>
    <x v="74"/>
    <n v="28"/>
    <x v="7"/>
    <s v="789 28th Street"/>
    <x v="6"/>
    <x v="6"/>
    <n v="99999"/>
    <s v="USA"/>
    <x v="5"/>
    <x v="3"/>
    <n v="41850"/>
    <s v="Shipping Company C"/>
    <s v="Amritansh Raghav"/>
    <s v="789 28th Street"/>
    <x v="6"/>
    <s v="TN"/>
    <n v="99999"/>
    <x v="0"/>
    <s v="Credit Card"/>
    <x v="5"/>
    <x v="0"/>
    <n v="46"/>
    <n v="24"/>
    <x v="15"/>
    <n v="105.98399999999999"/>
  </r>
  <r>
    <n v="1220"/>
    <x v="75"/>
    <n v="9"/>
    <x v="12"/>
    <s v="123 9th Street"/>
    <x v="11"/>
    <x v="11"/>
    <n v="99999"/>
    <s v="USA"/>
    <x v="7"/>
    <x v="0"/>
    <d v="2014-07-11T00:00:00"/>
    <s v="Shipping Company A"/>
    <s v="Sven Mortensen"/>
    <s v="123 9th Street"/>
    <x v="11"/>
    <s v="UT"/>
    <n v="99999"/>
    <x v="0"/>
    <s v="Check"/>
    <x v="8"/>
    <x v="4"/>
    <n v="9.65"/>
    <n v="90"/>
    <x v="172"/>
    <n v="83.376000000000005"/>
  </r>
  <r>
    <n v="1221"/>
    <x v="76"/>
    <n v="6"/>
    <x v="6"/>
    <s v="123 6th Street"/>
    <x v="5"/>
    <x v="5"/>
    <n v="99999"/>
    <s v="USA"/>
    <x v="4"/>
    <x v="2"/>
    <d v="2014-07-08T00:00:00"/>
    <s v="Shipping Company B"/>
    <s v="Francisco Pérez-Olaeta"/>
    <s v="123 6th Street"/>
    <x v="5"/>
    <s v="WI"/>
    <n v="99999"/>
    <x v="0"/>
    <s v="Credit Card"/>
    <x v="7"/>
    <x v="3"/>
    <n v="12.75"/>
    <n v="28"/>
    <x v="173"/>
    <n v="35.700000000000003"/>
  </r>
  <r>
    <n v="1222"/>
    <x v="85"/>
    <n v="28"/>
    <x v="7"/>
    <s v="789 28th Street"/>
    <x v="6"/>
    <x v="6"/>
    <n v="99999"/>
    <s v="USA"/>
    <x v="5"/>
    <x v="3"/>
    <d v="2014-08-30T00:00:00"/>
    <s v="Shipping Company C"/>
    <s v="Amritansh Raghav"/>
    <s v="789 28th Street"/>
    <x v="6"/>
    <s v="TN"/>
    <n v="99999"/>
    <x v="0"/>
    <s v="Check"/>
    <x v="5"/>
    <x v="0"/>
    <n v="46"/>
    <n v="28"/>
    <x v="174"/>
    <n v="133.95200000000003"/>
  </r>
  <r>
    <n v="1223"/>
    <x v="86"/>
    <n v="8"/>
    <x v="3"/>
    <s v="123 8th Street"/>
    <x v="2"/>
    <x v="2"/>
    <n v="99999"/>
    <s v="USA"/>
    <x v="2"/>
    <x v="2"/>
    <d v="2014-08-10T00:00:00"/>
    <s v="Shipping Company C"/>
    <s v="Elizabeth Andersen"/>
    <s v="123 8th Street"/>
    <x v="2"/>
    <s v="OR"/>
    <n v="99999"/>
    <x v="0"/>
    <s v="Check"/>
    <x v="7"/>
    <x v="3"/>
    <n v="12.75"/>
    <n v="57"/>
    <x v="175"/>
    <n v="69.768000000000001"/>
  </r>
  <r>
    <n v="1224"/>
    <x v="87"/>
    <n v="10"/>
    <x v="8"/>
    <s v="123 10th Street"/>
    <x v="7"/>
    <x v="7"/>
    <n v="99999"/>
    <s v="USA"/>
    <x v="6"/>
    <x v="1"/>
    <d v="2014-08-12T00:00:00"/>
    <s v="Shipping Company B"/>
    <s v="Roland Wacker"/>
    <s v="123 10th Street"/>
    <x v="7"/>
    <s v="IL"/>
    <n v="99999"/>
    <x v="0"/>
    <s v="Credit Card"/>
    <x v="10"/>
    <x v="0"/>
    <n v="2.99"/>
    <n v="23"/>
    <x v="176"/>
    <n v="6.6706900000000013"/>
  </r>
  <r>
    <n v="1225"/>
    <x v="88"/>
    <n v="7"/>
    <x v="9"/>
    <s v="123 7th Street"/>
    <x v="8"/>
    <x v="8"/>
    <n v="99999"/>
    <s v="USA"/>
    <x v="2"/>
    <x v="2"/>
    <m/>
    <m/>
    <s v="Ming-Yang Xie"/>
    <s v="123 7th Street"/>
    <x v="8"/>
    <s v="ID"/>
    <n v="99999"/>
    <x v="0"/>
    <m/>
    <x v="5"/>
    <x v="0"/>
    <n v="46"/>
    <n v="86"/>
    <x v="177"/>
    <n v="399.55600000000004"/>
  </r>
  <r>
    <n v="1226"/>
    <x v="87"/>
    <n v="10"/>
    <x v="8"/>
    <s v="123 10th Street"/>
    <x v="7"/>
    <x v="7"/>
    <n v="99999"/>
    <s v="USA"/>
    <x v="6"/>
    <x v="1"/>
    <d v="2014-08-12T00:00:00"/>
    <s v="Shipping Company A"/>
    <s v="Roland Wacker"/>
    <s v="123 10th Street"/>
    <x v="7"/>
    <s v="IL"/>
    <n v="99999"/>
    <x v="0"/>
    <m/>
    <x v="11"/>
    <x v="6"/>
    <n v="25"/>
    <n v="47"/>
    <x v="178"/>
    <n v="116.325"/>
  </r>
  <r>
    <n v="1227"/>
    <x v="87"/>
    <n v="10"/>
    <x v="8"/>
    <s v="123 10th Street"/>
    <x v="7"/>
    <x v="7"/>
    <n v="99999"/>
    <s v="USA"/>
    <x v="6"/>
    <x v="1"/>
    <d v="2014-08-12T00:00:00"/>
    <s v="Shipping Company A"/>
    <s v="Roland Wacker"/>
    <s v="123 10th Street"/>
    <x v="7"/>
    <s v="IL"/>
    <n v="99999"/>
    <x v="0"/>
    <m/>
    <x v="12"/>
    <x v="7"/>
    <n v="22"/>
    <n v="97"/>
    <x v="179"/>
    <n v="221.93600000000001"/>
  </r>
  <r>
    <n v="1228"/>
    <x v="87"/>
    <n v="10"/>
    <x v="8"/>
    <s v="123 10th Street"/>
    <x v="7"/>
    <x v="7"/>
    <n v="99999"/>
    <s v="USA"/>
    <x v="6"/>
    <x v="1"/>
    <d v="2014-08-12T00:00:00"/>
    <s v="Shipping Company A"/>
    <s v="Roland Wacker"/>
    <s v="123 10th Street"/>
    <x v="7"/>
    <s v="IL"/>
    <n v="99999"/>
    <x v="0"/>
    <m/>
    <x v="6"/>
    <x v="2"/>
    <n v="9.1999999999999993"/>
    <n v="96"/>
    <x v="180"/>
    <n v="86.553599999999989"/>
  </r>
  <r>
    <n v="1229"/>
    <x v="89"/>
    <n v="11"/>
    <x v="10"/>
    <s v="123 11th Street"/>
    <x v="9"/>
    <x v="9"/>
    <n v="99999"/>
    <s v="USA"/>
    <x v="5"/>
    <x v="3"/>
    <m/>
    <s v="Shipping Company C"/>
    <s v="Peter Krschne"/>
    <s v="123 11th Street"/>
    <x v="9"/>
    <s v="FL"/>
    <n v="99999"/>
    <x v="0"/>
    <m/>
    <x v="1"/>
    <x v="1"/>
    <n v="3.5"/>
    <n v="31"/>
    <x v="181"/>
    <n v="10.850000000000001"/>
  </r>
  <r>
    <n v="1230"/>
    <x v="89"/>
    <n v="11"/>
    <x v="10"/>
    <s v="123 11th Street"/>
    <x v="9"/>
    <x v="9"/>
    <n v="99999"/>
    <s v="USA"/>
    <x v="5"/>
    <x v="3"/>
    <m/>
    <s v="Shipping Company C"/>
    <s v="Peter Krschne"/>
    <s v="123 11th Street"/>
    <x v="9"/>
    <s v="FL"/>
    <n v="99999"/>
    <x v="0"/>
    <m/>
    <x v="10"/>
    <x v="0"/>
    <n v="2.99"/>
    <n v="52"/>
    <x v="182"/>
    <n v="16.014440000000004"/>
  </r>
  <r>
    <n v="1231"/>
    <x v="90"/>
    <n v="1"/>
    <x v="11"/>
    <s v="123 1st Street"/>
    <x v="10"/>
    <x v="10"/>
    <n v="99999"/>
    <s v="USA"/>
    <x v="2"/>
    <x v="2"/>
    <m/>
    <m/>
    <s v="Anna Bedecs"/>
    <s v="123 1st Street"/>
    <x v="10"/>
    <s v="WA"/>
    <n v="99999"/>
    <x v="0"/>
    <m/>
    <x v="4"/>
    <x v="0"/>
    <n v="18"/>
    <n v="91"/>
    <x v="183"/>
    <n v="158.886"/>
  </r>
  <r>
    <n v="1232"/>
    <x v="90"/>
    <n v="1"/>
    <x v="11"/>
    <s v="123 1st Street"/>
    <x v="10"/>
    <x v="10"/>
    <n v="99999"/>
    <s v="USA"/>
    <x v="2"/>
    <x v="2"/>
    <m/>
    <m/>
    <s v="Anna Bedecs"/>
    <s v="123 1st Street"/>
    <x v="10"/>
    <s v="WA"/>
    <n v="99999"/>
    <x v="0"/>
    <m/>
    <x v="5"/>
    <x v="0"/>
    <n v="46"/>
    <n v="14"/>
    <x v="184"/>
    <n v="63.756000000000007"/>
  </r>
  <r>
    <n v="1233"/>
    <x v="90"/>
    <n v="1"/>
    <x v="11"/>
    <s v="123 1st Street"/>
    <x v="10"/>
    <x v="10"/>
    <n v="99999"/>
    <s v="USA"/>
    <x v="2"/>
    <x v="2"/>
    <m/>
    <m/>
    <s v="Anna Bedecs"/>
    <s v="123 1st Street"/>
    <x v="10"/>
    <s v="WA"/>
    <n v="99999"/>
    <x v="0"/>
    <m/>
    <x v="10"/>
    <x v="0"/>
    <n v="2.99"/>
    <n v="44"/>
    <x v="185"/>
    <n v="13.287560000000001"/>
  </r>
  <r>
    <n v="1234"/>
    <x v="85"/>
    <n v="28"/>
    <x v="7"/>
    <s v="789 28th Street"/>
    <x v="6"/>
    <x v="6"/>
    <n v="99999"/>
    <s v="USA"/>
    <x v="5"/>
    <x v="3"/>
    <d v="2014-08-30T00:00:00"/>
    <s v="Shipping Company C"/>
    <s v="Amritansh Raghav"/>
    <s v="789 28th Street"/>
    <x v="6"/>
    <s v="TN"/>
    <n v="99999"/>
    <x v="0"/>
    <s v="Credit Card"/>
    <x v="8"/>
    <x v="4"/>
    <n v="9.65"/>
    <n v="97"/>
    <x v="53"/>
    <n v="95.477100000000021"/>
  </r>
  <r>
    <n v="1235"/>
    <x v="85"/>
    <n v="28"/>
    <x v="7"/>
    <s v="789 28th Street"/>
    <x v="6"/>
    <x v="6"/>
    <n v="99999"/>
    <s v="USA"/>
    <x v="5"/>
    <x v="3"/>
    <d v="2014-08-30T00:00:00"/>
    <s v="Shipping Company C"/>
    <s v="Amritansh Raghav"/>
    <s v="789 28th Street"/>
    <x v="6"/>
    <s v="TN"/>
    <n v="99999"/>
    <x v="0"/>
    <s v="Credit Card"/>
    <x v="13"/>
    <x v="8"/>
    <n v="18.399999999999999"/>
    <n v="80"/>
    <x v="36"/>
    <n v="150.14400000000003"/>
  </r>
  <r>
    <n v="1236"/>
    <x v="91"/>
    <n v="9"/>
    <x v="12"/>
    <s v="123 9th Street"/>
    <x v="11"/>
    <x v="11"/>
    <n v="99999"/>
    <s v="USA"/>
    <x v="7"/>
    <x v="0"/>
    <d v="2014-08-11T00:00:00"/>
    <s v="Shipping Company A"/>
    <s v="Sven Mortensen"/>
    <s v="123 9th Street"/>
    <x v="11"/>
    <s v="UT"/>
    <n v="99999"/>
    <x v="0"/>
    <s v="Check"/>
    <x v="14"/>
    <x v="9"/>
    <n v="19.5"/>
    <n v="66"/>
    <x v="186"/>
    <n v="132.56100000000001"/>
  </r>
  <r>
    <n v="1237"/>
    <x v="91"/>
    <n v="9"/>
    <x v="12"/>
    <s v="123 9th Street"/>
    <x v="11"/>
    <x v="11"/>
    <n v="99999"/>
    <s v="USA"/>
    <x v="7"/>
    <x v="0"/>
    <d v="2014-08-11T00:00:00"/>
    <s v="Shipping Company A"/>
    <s v="Sven Mortensen"/>
    <s v="123 9th Street"/>
    <x v="11"/>
    <s v="UT"/>
    <n v="99999"/>
    <x v="0"/>
    <s v="Check"/>
    <x v="15"/>
    <x v="10"/>
    <n v="34.799999999999997"/>
    <n v="32"/>
    <x v="187"/>
    <n v="111.36"/>
  </r>
  <r>
    <n v="1238"/>
    <x v="92"/>
    <n v="6"/>
    <x v="6"/>
    <s v="123 6th Street"/>
    <x v="5"/>
    <x v="5"/>
    <n v="99999"/>
    <s v="USA"/>
    <x v="4"/>
    <x v="2"/>
    <d v="2014-08-08T00:00:00"/>
    <s v="Shipping Company B"/>
    <s v="Francisco Pérez-Olaeta"/>
    <s v="123 6th Street"/>
    <x v="5"/>
    <s v="WI"/>
    <n v="99999"/>
    <x v="0"/>
    <s v="Credit Card"/>
    <x v="0"/>
    <x v="0"/>
    <n v="14"/>
    <n v="52"/>
    <x v="188"/>
    <n v="72.8"/>
  </r>
  <r>
    <n v="1239"/>
    <x v="86"/>
    <n v="8"/>
    <x v="3"/>
    <s v="123 8th Street"/>
    <x v="2"/>
    <x v="2"/>
    <n v="99999"/>
    <s v="USA"/>
    <x v="2"/>
    <x v="2"/>
    <d v="2014-08-10T00:00:00"/>
    <s v="Shipping Company B"/>
    <s v="Elizabeth Andersen"/>
    <s v="123 8th Street"/>
    <x v="2"/>
    <s v="OR"/>
    <n v="99999"/>
    <x v="0"/>
    <s v="Check"/>
    <x v="9"/>
    <x v="5"/>
    <n v="40"/>
    <n v="78"/>
    <x v="189"/>
    <n v="318.24"/>
  </r>
  <r>
    <n v="1240"/>
    <x v="86"/>
    <n v="8"/>
    <x v="3"/>
    <s v="123 8th Street"/>
    <x v="2"/>
    <x v="2"/>
    <n v="99999"/>
    <s v="USA"/>
    <x v="2"/>
    <x v="2"/>
    <d v="2014-08-10T00:00:00"/>
    <s v="Shipping Company B"/>
    <s v="Elizabeth Andersen"/>
    <s v="123 8th Street"/>
    <x v="2"/>
    <s v="OR"/>
    <n v="99999"/>
    <x v="0"/>
    <s v="Check"/>
    <x v="6"/>
    <x v="2"/>
    <n v="9.1999999999999993"/>
    <n v="54"/>
    <x v="190"/>
    <n v="49.183199999999999"/>
  </r>
  <r>
    <n v="1241"/>
    <x v="93"/>
    <n v="25"/>
    <x v="13"/>
    <s v="789 25th Street"/>
    <x v="7"/>
    <x v="7"/>
    <n v="99999"/>
    <s v="USA"/>
    <x v="6"/>
    <x v="1"/>
    <d v="2014-08-27T00:00:00"/>
    <s v="Shipping Company A"/>
    <s v="John Rodman"/>
    <s v="789 25th Street"/>
    <x v="7"/>
    <s v="IL"/>
    <n v="99999"/>
    <x v="0"/>
    <s v="Cash"/>
    <x v="21"/>
    <x v="2"/>
    <n v="10"/>
    <n v="55"/>
    <x v="62"/>
    <n v="52.25"/>
  </r>
  <r>
    <n v="1242"/>
    <x v="94"/>
    <n v="26"/>
    <x v="14"/>
    <s v="789 26th Street"/>
    <x v="9"/>
    <x v="9"/>
    <n v="99999"/>
    <s v="USA"/>
    <x v="5"/>
    <x v="3"/>
    <d v="2014-08-28T00:00:00"/>
    <s v="Shipping Company C"/>
    <s v="Run Liu"/>
    <s v="789 26th Street"/>
    <x v="9"/>
    <s v="FL"/>
    <n v="99999"/>
    <x v="0"/>
    <s v="Credit Card"/>
    <x v="22"/>
    <x v="13"/>
    <n v="21.35"/>
    <n v="60"/>
    <x v="191"/>
    <n v="129.381"/>
  </r>
  <r>
    <n v="1243"/>
    <x v="94"/>
    <n v="26"/>
    <x v="14"/>
    <s v="789 26th Street"/>
    <x v="9"/>
    <x v="9"/>
    <n v="99999"/>
    <s v="USA"/>
    <x v="5"/>
    <x v="3"/>
    <d v="2014-08-28T00:00:00"/>
    <s v="Shipping Company C"/>
    <s v="Run Liu"/>
    <s v="789 26th Street"/>
    <x v="9"/>
    <s v="FL"/>
    <n v="99999"/>
    <x v="0"/>
    <s v="Credit Card"/>
    <x v="8"/>
    <x v="4"/>
    <n v="9.65"/>
    <n v="19"/>
    <x v="192"/>
    <n v="17.41825"/>
  </r>
  <r>
    <n v="1244"/>
    <x v="94"/>
    <n v="26"/>
    <x v="14"/>
    <s v="789 26th Street"/>
    <x v="9"/>
    <x v="9"/>
    <n v="99999"/>
    <s v="USA"/>
    <x v="5"/>
    <x v="3"/>
    <d v="2014-08-28T00:00:00"/>
    <s v="Shipping Company C"/>
    <s v="Run Liu"/>
    <s v="789 26th Street"/>
    <x v="9"/>
    <s v="FL"/>
    <n v="99999"/>
    <x v="0"/>
    <s v="Credit Card"/>
    <x v="13"/>
    <x v="8"/>
    <n v="18.399999999999999"/>
    <n v="66"/>
    <x v="193"/>
    <n v="125.08320000000001"/>
  </r>
  <r>
    <n v="1245"/>
    <x v="95"/>
    <n v="29"/>
    <x v="4"/>
    <s v="789 29th Street"/>
    <x v="3"/>
    <x v="3"/>
    <n v="99999"/>
    <s v="USA"/>
    <x v="3"/>
    <x v="0"/>
    <d v="2014-08-31T00:00:00"/>
    <s v="Shipping Company B"/>
    <s v="Soo Jung Lee"/>
    <s v="789 29th Street"/>
    <x v="3"/>
    <s v="CO"/>
    <n v="99999"/>
    <x v="0"/>
    <s v="Check"/>
    <x v="0"/>
    <x v="0"/>
    <n v="14"/>
    <n v="42"/>
    <x v="194"/>
    <n v="59.388000000000005"/>
  </r>
  <r>
    <n v="1246"/>
    <x v="92"/>
    <n v="6"/>
    <x v="6"/>
    <s v="123 6th Street"/>
    <x v="5"/>
    <x v="5"/>
    <n v="99999"/>
    <s v="USA"/>
    <x v="4"/>
    <x v="2"/>
    <n v="41859"/>
    <s v="Shipping Company C"/>
    <s v="Francisco Pérez-Olaeta"/>
    <s v="123 6th Street"/>
    <x v="5"/>
    <s v="WI"/>
    <n v="99999"/>
    <x v="0"/>
    <s v="Check"/>
    <x v="7"/>
    <x v="3"/>
    <n v="12.75"/>
    <n v="72"/>
    <x v="195"/>
    <n v="89.046000000000006"/>
  </r>
  <r>
    <n v="1248"/>
    <x v="96"/>
    <n v="4"/>
    <x v="1"/>
    <s v="123 4th Street"/>
    <x v="1"/>
    <x v="1"/>
    <n v="99999"/>
    <s v="USA"/>
    <x v="1"/>
    <x v="1"/>
    <n v="41857"/>
    <s v="Shipping Company A"/>
    <s v="Christina Lee"/>
    <s v="123 4th Street"/>
    <x v="1"/>
    <s v="NY"/>
    <n v="99999"/>
    <x v="0"/>
    <s v="Credit Card"/>
    <x v="23"/>
    <x v="6"/>
    <n v="81"/>
    <n v="32"/>
    <x v="196"/>
    <n v="251.42399999999998"/>
  </r>
  <r>
    <n v="1249"/>
    <x v="96"/>
    <n v="4"/>
    <x v="1"/>
    <s v="123 4th Street"/>
    <x v="1"/>
    <x v="1"/>
    <n v="99999"/>
    <s v="USA"/>
    <x v="1"/>
    <x v="1"/>
    <n v="41857"/>
    <s v="Shipping Company A"/>
    <s v="Christina Lee"/>
    <s v="123 4th Street"/>
    <x v="1"/>
    <s v="NY"/>
    <n v="99999"/>
    <x v="0"/>
    <s v="Credit Card"/>
    <x v="24"/>
    <x v="14"/>
    <n v="7"/>
    <n v="76"/>
    <x v="197"/>
    <n v="53.732000000000006"/>
  </r>
  <r>
    <n v="1250"/>
    <x v="97"/>
    <n v="10"/>
    <x v="8"/>
    <s v="123 10th Street"/>
    <x v="7"/>
    <x v="7"/>
    <n v="99999"/>
    <s v="USA"/>
    <x v="6"/>
    <x v="1"/>
    <n v="41894"/>
    <s v="Shipping Company A"/>
    <s v="Roland Wacker"/>
    <s v="123 10th Street"/>
    <x v="7"/>
    <s v="IL"/>
    <n v="99999"/>
    <x v="0"/>
    <m/>
    <x v="6"/>
    <x v="2"/>
    <n v="9.1999999999999993"/>
    <n v="83"/>
    <x v="198"/>
    <n v="74.832799999999992"/>
  </r>
  <r>
    <n v="1251"/>
    <x v="98"/>
    <n v="11"/>
    <x v="10"/>
    <s v="123 11th Street"/>
    <x v="9"/>
    <x v="9"/>
    <n v="99999"/>
    <s v="USA"/>
    <x v="5"/>
    <x v="3"/>
    <m/>
    <s v="Shipping Company C"/>
    <s v="Peter Krschne"/>
    <s v="123 11th Street"/>
    <x v="9"/>
    <s v="FL"/>
    <n v="99999"/>
    <x v="0"/>
    <m/>
    <x v="1"/>
    <x v="1"/>
    <n v="3.5"/>
    <n v="91"/>
    <x v="199"/>
    <n v="31.213000000000001"/>
  </r>
  <r>
    <n v="1252"/>
    <x v="98"/>
    <n v="11"/>
    <x v="10"/>
    <s v="123 11th Street"/>
    <x v="9"/>
    <x v="9"/>
    <n v="99999"/>
    <s v="USA"/>
    <x v="5"/>
    <x v="3"/>
    <m/>
    <s v="Shipping Company C"/>
    <s v="Peter Krschne"/>
    <s v="123 11th Street"/>
    <x v="9"/>
    <s v="FL"/>
    <n v="99999"/>
    <x v="0"/>
    <m/>
    <x v="10"/>
    <x v="0"/>
    <n v="2.99"/>
    <n v="64"/>
    <x v="200"/>
    <n v="19.518720000000002"/>
  </r>
  <r>
    <n v="1253"/>
    <x v="99"/>
    <n v="1"/>
    <x v="11"/>
    <s v="123 1st Street"/>
    <x v="10"/>
    <x v="10"/>
    <n v="99999"/>
    <s v="USA"/>
    <x v="2"/>
    <x v="2"/>
    <m/>
    <m/>
    <s v="Anna Bedecs"/>
    <s v="123 1st Street"/>
    <x v="10"/>
    <s v="WA"/>
    <n v="99999"/>
    <x v="0"/>
    <m/>
    <x v="4"/>
    <x v="0"/>
    <n v="18"/>
    <n v="58"/>
    <x v="137"/>
    <n v="103.35600000000001"/>
  </r>
  <r>
    <n v="1254"/>
    <x v="99"/>
    <n v="1"/>
    <x v="11"/>
    <s v="123 1st Street"/>
    <x v="10"/>
    <x v="10"/>
    <n v="99999"/>
    <s v="USA"/>
    <x v="2"/>
    <x v="2"/>
    <m/>
    <m/>
    <s v="Anna Bedecs"/>
    <s v="123 1st Street"/>
    <x v="10"/>
    <s v="WA"/>
    <n v="99999"/>
    <x v="0"/>
    <m/>
    <x v="5"/>
    <x v="0"/>
    <n v="46"/>
    <n v="97"/>
    <x v="201"/>
    <n v="464.04800000000006"/>
  </r>
  <r>
    <n v="1255"/>
    <x v="99"/>
    <n v="1"/>
    <x v="11"/>
    <s v="123 1st Street"/>
    <x v="10"/>
    <x v="10"/>
    <n v="99999"/>
    <s v="USA"/>
    <x v="2"/>
    <x v="2"/>
    <m/>
    <m/>
    <s v="Anna Bedecs"/>
    <s v="123 1st Street"/>
    <x v="10"/>
    <s v="WA"/>
    <n v="99999"/>
    <x v="0"/>
    <m/>
    <x v="10"/>
    <x v="0"/>
    <n v="2.99"/>
    <n v="14"/>
    <x v="202"/>
    <n v="4.35344"/>
  </r>
  <r>
    <n v="1256"/>
    <x v="100"/>
    <n v="28"/>
    <x v="7"/>
    <s v="789 28th Street"/>
    <x v="6"/>
    <x v="6"/>
    <n v="99999"/>
    <s v="USA"/>
    <x v="5"/>
    <x v="3"/>
    <d v="2014-09-30T00:00:00"/>
    <s v="Shipping Company C"/>
    <s v="Amritansh Raghav"/>
    <s v="789 28th Street"/>
    <x v="6"/>
    <s v="TN"/>
    <n v="99999"/>
    <x v="0"/>
    <s v="Credit Card"/>
    <x v="8"/>
    <x v="4"/>
    <n v="9.65"/>
    <n v="68"/>
    <x v="203"/>
    <n v="64.307600000000008"/>
  </r>
  <r>
    <n v="1257"/>
    <x v="100"/>
    <n v="28"/>
    <x v="7"/>
    <s v="789 28th Street"/>
    <x v="6"/>
    <x v="6"/>
    <n v="99999"/>
    <s v="USA"/>
    <x v="5"/>
    <x v="3"/>
    <n v="41912"/>
    <s v="Shipping Company C"/>
    <s v="Amritansh Raghav"/>
    <s v="789 28th Street"/>
    <x v="6"/>
    <s v="TN"/>
    <n v="99999"/>
    <x v="0"/>
    <s v="Credit Card"/>
    <x v="13"/>
    <x v="8"/>
    <n v="18.399999999999999"/>
    <n v="32"/>
    <x v="204"/>
    <n v="58.879999999999995"/>
  </r>
  <r>
    <n v="1258"/>
    <x v="101"/>
    <n v="9"/>
    <x v="12"/>
    <s v="123 9th Street"/>
    <x v="11"/>
    <x v="11"/>
    <n v="99999"/>
    <s v="USA"/>
    <x v="7"/>
    <x v="0"/>
    <d v="2014-09-11T00:00:00"/>
    <s v="Shipping Company A"/>
    <s v="Sven Mortensen"/>
    <s v="123 9th Street"/>
    <x v="11"/>
    <s v="UT"/>
    <n v="99999"/>
    <x v="0"/>
    <s v="Check"/>
    <x v="14"/>
    <x v="9"/>
    <n v="19.5"/>
    <n v="48"/>
    <x v="205"/>
    <n v="94.536000000000016"/>
  </r>
  <r>
    <n v="1259"/>
    <x v="101"/>
    <n v="9"/>
    <x v="12"/>
    <s v="123 9th Street"/>
    <x v="11"/>
    <x v="11"/>
    <n v="99999"/>
    <s v="USA"/>
    <x v="7"/>
    <x v="0"/>
    <d v="2014-09-11T00:00:00"/>
    <s v="Shipping Company A"/>
    <s v="Sven Mortensen"/>
    <s v="123 9th Street"/>
    <x v="11"/>
    <s v="UT"/>
    <n v="99999"/>
    <x v="0"/>
    <s v="Check"/>
    <x v="15"/>
    <x v="10"/>
    <n v="34.799999999999997"/>
    <n v="57"/>
    <x v="206"/>
    <n v="194.39280000000002"/>
  </r>
  <r>
    <n v="1260"/>
    <x v="102"/>
    <n v="6"/>
    <x v="6"/>
    <s v="123 6th Street"/>
    <x v="5"/>
    <x v="5"/>
    <n v="99999"/>
    <s v="USA"/>
    <x v="4"/>
    <x v="2"/>
    <d v="2014-09-08T00:00:00"/>
    <s v="Shipping Company B"/>
    <s v="Francisco Pérez-Olaeta"/>
    <s v="123 6th Street"/>
    <x v="5"/>
    <s v="WI"/>
    <n v="99999"/>
    <x v="0"/>
    <s v="Credit Card"/>
    <x v="0"/>
    <x v="0"/>
    <n v="14"/>
    <n v="67"/>
    <x v="207"/>
    <n v="98.490000000000009"/>
  </r>
  <r>
    <n v="1261"/>
    <x v="103"/>
    <n v="8"/>
    <x v="3"/>
    <s v="123 8th Street"/>
    <x v="2"/>
    <x v="2"/>
    <n v="99999"/>
    <s v="USA"/>
    <x v="2"/>
    <x v="2"/>
    <n v="41892"/>
    <s v="Shipping Company B"/>
    <s v="Elizabeth Andersen"/>
    <s v="123 8th Street"/>
    <x v="2"/>
    <s v="OR"/>
    <n v="99999"/>
    <x v="0"/>
    <s v="Check"/>
    <x v="9"/>
    <x v="5"/>
    <n v="40"/>
    <n v="48"/>
    <x v="208"/>
    <n v="188.16"/>
  </r>
  <r>
    <n v="1262"/>
    <x v="103"/>
    <n v="8"/>
    <x v="3"/>
    <s v="123 8th Street"/>
    <x v="2"/>
    <x v="2"/>
    <n v="99999"/>
    <s v="USA"/>
    <x v="2"/>
    <x v="2"/>
    <n v="41892"/>
    <s v="Shipping Company B"/>
    <s v="Elizabeth Andersen"/>
    <s v="123 8th Street"/>
    <x v="2"/>
    <s v="OR"/>
    <n v="99999"/>
    <x v="0"/>
    <s v="Check"/>
    <x v="6"/>
    <x v="2"/>
    <n v="9.1999999999999993"/>
    <n v="77"/>
    <x v="209"/>
    <n v="72.256799999999998"/>
  </r>
  <r>
    <n v="1263"/>
    <x v="104"/>
    <n v="25"/>
    <x v="13"/>
    <s v="789 25th Street"/>
    <x v="7"/>
    <x v="7"/>
    <n v="99999"/>
    <s v="USA"/>
    <x v="6"/>
    <x v="1"/>
    <n v="41909"/>
    <s v="Shipping Company A"/>
    <s v="John Rodman"/>
    <s v="789 25th Street"/>
    <x v="7"/>
    <s v="IL"/>
    <n v="99999"/>
    <x v="0"/>
    <s v="Cash"/>
    <x v="21"/>
    <x v="2"/>
    <n v="10"/>
    <n v="94"/>
    <x v="210"/>
    <n v="97.76"/>
  </r>
  <r>
    <n v="1264"/>
    <x v="105"/>
    <n v="26"/>
    <x v="14"/>
    <s v="789 26th Street"/>
    <x v="9"/>
    <x v="9"/>
    <n v="99999"/>
    <s v="USA"/>
    <x v="5"/>
    <x v="3"/>
    <n v="41910"/>
    <s v="Shipping Company C"/>
    <s v="Run Liu"/>
    <s v="789 26th Street"/>
    <x v="9"/>
    <s v="FL"/>
    <n v="99999"/>
    <x v="0"/>
    <s v="Credit Card"/>
    <x v="22"/>
    <x v="13"/>
    <n v="21.35"/>
    <n v="54"/>
    <x v="211"/>
    <n v="121.05450000000003"/>
  </r>
  <r>
    <n v="1265"/>
    <x v="105"/>
    <n v="26"/>
    <x v="14"/>
    <s v="789 26th Street"/>
    <x v="9"/>
    <x v="9"/>
    <n v="99999"/>
    <s v="USA"/>
    <x v="5"/>
    <x v="3"/>
    <n v="41910"/>
    <s v="Shipping Company C"/>
    <s v="Run Liu"/>
    <s v="789 26th Street"/>
    <x v="9"/>
    <s v="FL"/>
    <n v="99999"/>
    <x v="0"/>
    <s v="Credit Card"/>
    <x v="8"/>
    <x v="4"/>
    <n v="9.65"/>
    <n v="43"/>
    <x v="84"/>
    <n v="40.250150000000005"/>
  </r>
  <r>
    <n v="1266"/>
    <x v="105"/>
    <n v="26"/>
    <x v="14"/>
    <s v="789 26th Street"/>
    <x v="9"/>
    <x v="9"/>
    <n v="99999"/>
    <s v="USA"/>
    <x v="5"/>
    <x v="3"/>
    <d v="2014-09-28T00:00:00"/>
    <s v="Shipping Company C"/>
    <s v="Run Liu"/>
    <s v="789 26th Street"/>
    <x v="9"/>
    <s v="FL"/>
    <n v="99999"/>
    <x v="0"/>
    <s v="Credit Card"/>
    <x v="13"/>
    <x v="8"/>
    <n v="18.399999999999999"/>
    <n v="71"/>
    <x v="143"/>
    <n v="134.55919999999998"/>
  </r>
  <r>
    <n v="1267"/>
    <x v="106"/>
    <n v="29"/>
    <x v="4"/>
    <s v="789 29th Street"/>
    <x v="3"/>
    <x v="3"/>
    <n v="99999"/>
    <s v="USA"/>
    <x v="3"/>
    <x v="0"/>
    <d v="2014-10-01T00:00:00"/>
    <s v="Shipping Company B"/>
    <s v="Soo Jung Lee"/>
    <s v="789 29th Street"/>
    <x v="3"/>
    <s v="CO"/>
    <n v="99999"/>
    <x v="0"/>
    <s v="Check"/>
    <x v="0"/>
    <x v="0"/>
    <n v="14"/>
    <n v="50"/>
    <x v="212"/>
    <n v="67.2"/>
  </r>
  <r>
    <n v="1268"/>
    <x v="102"/>
    <n v="6"/>
    <x v="6"/>
    <s v="123 6th Street"/>
    <x v="5"/>
    <x v="5"/>
    <n v="99999"/>
    <s v="USA"/>
    <x v="4"/>
    <x v="2"/>
    <d v="2014-09-08T00:00:00"/>
    <s v="Shipping Company C"/>
    <s v="Francisco Pérez-Olaeta"/>
    <s v="123 6th Street"/>
    <x v="5"/>
    <s v="WI"/>
    <n v="99999"/>
    <x v="0"/>
    <s v="Check"/>
    <x v="7"/>
    <x v="3"/>
    <n v="12.75"/>
    <n v="96"/>
    <x v="146"/>
    <n v="119.952"/>
  </r>
  <r>
    <n v="1270"/>
    <x v="107"/>
    <n v="4"/>
    <x v="1"/>
    <s v="123 4th Street"/>
    <x v="1"/>
    <x v="1"/>
    <n v="99999"/>
    <s v="USA"/>
    <x v="1"/>
    <x v="1"/>
    <d v="2014-09-06T00:00:00"/>
    <s v="Shipping Company A"/>
    <s v="Christina Lee"/>
    <s v="123 4th Street"/>
    <x v="1"/>
    <s v="NY"/>
    <n v="99999"/>
    <x v="0"/>
    <s v="Credit Card"/>
    <x v="23"/>
    <x v="6"/>
    <n v="81"/>
    <n v="54"/>
    <x v="213"/>
    <n v="437.40000000000003"/>
  </r>
  <r>
    <n v="1271"/>
    <x v="107"/>
    <n v="4"/>
    <x v="1"/>
    <s v="123 4th Street"/>
    <x v="1"/>
    <x v="1"/>
    <n v="99999"/>
    <s v="USA"/>
    <x v="1"/>
    <x v="1"/>
    <d v="2014-09-06T00:00:00"/>
    <s v="Shipping Company A"/>
    <s v="Christina Lee"/>
    <s v="123 4th Street"/>
    <x v="1"/>
    <s v="NY"/>
    <n v="99999"/>
    <x v="0"/>
    <s v="Credit Card"/>
    <x v="24"/>
    <x v="14"/>
    <n v="7"/>
    <n v="39"/>
    <x v="214"/>
    <n v="27.3"/>
  </r>
  <r>
    <n v="1273"/>
    <x v="103"/>
    <n v="8"/>
    <x v="3"/>
    <s v="123 8th Street"/>
    <x v="2"/>
    <x v="2"/>
    <n v="99999"/>
    <s v="USA"/>
    <x v="2"/>
    <x v="2"/>
    <d v="2014-09-10T00:00:00"/>
    <s v="Shipping Company C"/>
    <s v="Elizabeth Andersen"/>
    <s v="123 8th Street"/>
    <x v="2"/>
    <s v="OR"/>
    <n v="99999"/>
    <x v="0"/>
    <s v="Credit Card"/>
    <x v="15"/>
    <x v="10"/>
    <n v="34.799999999999997"/>
    <n v="63"/>
    <x v="59"/>
    <n v="230.202"/>
  </r>
  <r>
    <n v="1276"/>
    <x v="108"/>
    <n v="3"/>
    <x v="5"/>
    <s v="123 3rd Street"/>
    <x v="4"/>
    <x v="4"/>
    <n v="99999"/>
    <s v="USA"/>
    <x v="0"/>
    <x v="0"/>
    <d v="2014-09-05T00:00:00"/>
    <s v="Shipping Company B"/>
    <s v="Thomas Axerr"/>
    <s v="123 3rd Street"/>
    <x v="4"/>
    <s v="CA"/>
    <n v="99999"/>
    <x v="0"/>
    <s v="Cash"/>
    <x v="16"/>
    <x v="7"/>
    <n v="10"/>
    <n v="71"/>
    <x v="215"/>
    <n v="73.13"/>
  </r>
  <r>
    <n v="1277"/>
    <x v="108"/>
    <n v="3"/>
    <x v="5"/>
    <s v="123 3rd Street"/>
    <x v="4"/>
    <x v="4"/>
    <n v="99999"/>
    <s v="USA"/>
    <x v="0"/>
    <x v="0"/>
    <d v="2014-09-05T00:00:00"/>
    <s v="Shipping Company B"/>
    <s v="Thomas Axerr"/>
    <s v="123 3rd Street"/>
    <x v="4"/>
    <s v="CA"/>
    <n v="99999"/>
    <x v="0"/>
    <s v="Cash"/>
    <x v="9"/>
    <x v="5"/>
    <n v="40"/>
    <n v="88"/>
    <x v="216"/>
    <n v="366.08000000000004"/>
  </r>
  <r>
    <n v="1281"/>
    <x v="97"/>
    <n v="10"/>
    <x v="8"/>
    <s v="123 10th Street"/>
    <x v="7"/>
    <x v="7"/>
    <n v="99999"/>
    <s v="USA"/>
    <x v="6"/>
    <x v="1"/>
    <d v="2014-09-12T00:00:00"/>
    <s v="Shipping Company B"/>
    <s v="Roland Wacker"/>
    <s v="123 10th Street"/>
    <x v="7"/>
    <s v="IL"/>
    <n v="99999"/>
    <x v="0"/>
    <s v="Credit Card"/>
    <x v="18"/>
    <x v="1"/>
    <n v="10"/>
    <n v="59"/>
    <x v="217"/>
    <n v="59.59"/>
  </r>
  <r>
    <n v="1282"/>
    <x v="109"/>
    <n v="6"/>
    <x v="6"/>
    <s v="123 6th Street"/>
    <x v="5"/>
    <x v="5"/>
    <n v="99999"/>
    <s v="USA"/>
    <x v="4"/>
    <x v="2"/>
    <d v="2014-10-08T00:00:00"/>
    <s v="Shipping Company B"/>
    <s v="Francisco Pérez-Olaeta"/>
    <s v="123 6th Street"/>
    <x v="5"/>
    <s v="WI"/>
    <n v="99999"/>
    <x v="0"/>
    <s v="Credit Card"/>
    <x v="9"/>
    <x v="5"/>
    <n v="40"/>
    <n v="94"/>
    <x v="218"/>
    <n v="376"/>
  </r>
  <r>
    <n v="1283"/>
    <x v="110"/>
    <n v="28"/>
    <x v="7"/>
    <s v="789 28th Street"/>
    <x v="6"/>
    <x v="6"/>
    <n v="99999"/>
    <s v="USA"/>
    <x v="5"/>
    <x v="3"/>
    <d v="2014-10-30T00:00:00"/>
    <s v="Shipping Company C"/>
    <s v="Amritansh Raghav"/>
    <s v="789 28th Street"/>
    <x v="6"/>
    <s v="TN"/>
    <n v="99999"/>
    <x v="0"/>
    <s v="Check"/>
    <x v="5"/>
    <x v="0"/>
    <n v="46"/>
    <n v="86"/>
    <x v="177"/>
    <n v="379.77600000000001"/>
  </r>
  <r>
    <n v="1284"/>
    <x v="111"/>
    <n v="8"/>
    <x v="3"/>
    <s v="123 8th Street"/>
    <x v="2"/>
    <x v="2"/>
    <n v="99999"/>
    <s v="USA"/>
    <x v="2"/>
    <x v="2"/>
    <d v="2014-10-10T00:00:00"/>
    <s v="Shipping Company C"/>
    <s v="Elizabeth Andersen"/>
    <s v="123 8th Street"/>
    <x v="2"/>
    <s v="OR"/>
    <n v="99999"/>
    <x v="0"/>
    <s v="Check"/>
    <x v="7"/>
    <x v="3"/>
    <n v="12.75"/>
    <n v="61"/>
    <x v="219"/>
    <n v="78.552750000000003"/>
  </r>
  <r>
    <n v="1285"/>
    <x v="112"/>
    <n v="10"/>
    <x v="8"/>
    <s v="123 10th Street"/>
    <x v="7"/>
    <x v="7"/>
    <n v="99999"/>
    <s v="USA"/>
    <x v="6"/>
    <x v="1"/>
    <d v="2014-10-12T00:00:00"/>
    <s v="Shipping Company B"/>
    <s v="Roland Wacker"/>
    <s v="123 10th Street"/>
    <x v="7"/>
    <s v="IL"/>
    <n v="99999"/>
    <x v="0"/>
    <s v="Credit Card"/>
    <x v="10"/>
    <x v="0"/>
    <n v="2.99"/>
    <n v="32"/>
    <x v="220"/>
    <n v="9.7593600000000009"/>
  </r>
  <r>
    <n v="1286"/>
    <x v="113"/>
    <n v="7"/>
    <x v="9"/>
    <s v="123 7th Street"/>
    <x v="8"/>
    <x v="8"/>
    <n v="99999"/>
    <s v="USA"/>
    <x v="2"/>
    <x v="2"/>
    <m/>
    <m/>
    <s v="Ming-Yang Xie"/>
    <s v="123 7th Street"/>
    <x v="8"/>
    <s v="ID"/>
    <n v="99999"/>
    <x v="0"/>
    <m/>
    <x v="5"/>
    <x v="0"/>
    <n v="46"/>
    <n v="62"/>
    <x v="221"/>
    <n v="290.904"/>
  </r>
  <r>
    <n v="1287"/>
    <x v="112"/>
    <n v="10"/>
    <x v="8"/>
    <s v="123 10th Street"/>
    <x v="7"/>
    <x v="7"/>
    <n v="99999"/>
    <s v="USA"/>
    <x v="6"/>
    <x v="1"/>
    <d v="2014-10-12T00:00:00"/>
    <s v="Shipping Company A"/>
    <s v="Roland Wacker"/>
    <s v="123 10th Street"/>
    <x v="7"/>
    <s v="IL"/>
    <n v="99999"/>
    <x v="0"/>
    <m/>
    <x v="11"/>
    <x v="6"/>
    <n v="25"/>
    <n v="60"/>
    <x v="222"/>
    <n v="154.5"/>
  </r>
  <r>
    <n v="1288"/>
    <x v="112"/>
    <n v="10"/>
    <x v="8"/>
    <s v="123 10th Street"/>
    <x v="7"/>
    <x v="7"/>
    <n v="99999"/>
    <s v="USA"/>
    <x v="6"/>
    <x v="1"/>
    <d v="2014-10-12T00:00:00"/>
    <s v="Shipping Company A"/>
    <s v="Roland Wacker"/>
    <s v="123 10th Street"/>
    <x v="7"/>
    <s v="IL"/>
    <n v="99999"/>
    <x v="0"/>
    <m/>
    <x v="12"/>
    <x v="7"/>
    <n v="22"/>
    <n v="51"/>
    <x v="223"/>
    <n v="109.956"/>
  </r>
  <r>
    <n v="1289"/>
    <x v="112"/>
    <n v="10"/>
    <x v="8"/>
    <s v="123 10th Street"/>
    <x v="7"/>
    <x v="7"/>
    <n v="99999"/>
    <s v="USA"/>
    <x v="6"/>
    <x v="1"/>
    <d v="2014-10-12T00:00:00"/>
    <s v="Shipping Company A"/>
    <s v="Roland Wacker"/>
    <s v="123 10th Street"/>
    <x v="7"/>
    <s v="IL"/>
    <n v="99999"/>
    <x v="0"/>
    <m/>
    <x v="6"/>
    <x v="2"/>
    <n v="9.1999999999999993"/>
    <n v="49"/>
    <x v="224"/>
    <n v="44.629199999999997"/>
  </r>
  <r>
    <n v="1290"/>
    <x v="114"/>
    <n v="11"/>
    <x v="10"/>
    <s v="123 11th Street"/>
    <x v="9"/>
    <x v="9"/>
    <n v="99999"/>
    <s v="USA"/>
    <x v="5"/>
    <x v="3"/>
    <m/>
    <s v="Shipping Company C"/>
    <s v="Peter Krschne"/>
    <s v="123 11th Street"/>
    <x v="9"/>
    <s v="FL"/>
    <n v="99999"/>
    <x v="0"/>
    <m/>
    <x v="1"/>
    <x v="1"/>
    <n v="3.5"/>
    <n v="20"/>
    <x v="225"/>
    <n v="6.93"/>
  </r>
  <r>
    <n v="1291"/>
    <x v="114"/>
    <n v="11"/>
    <x v="10"/>
    <s v="123 11th Street"/>
    <x v="9"/>
    <x v="9"/>
    <n v="99999"/>
    <s v="USA"/>
    <x v="5"/>
    <x v="3"/>
    <m/>
    <s v="Shipping Company C"/>
    <s v="Peter Krschne"/>
    <s v="123 11th Street"/>
    <x v="9"/>
    <s v="FL"/>
    <n v="99999"/>
    <x v="0"/>
    <m/>
    <x v="10"/>
    <x v="0"/>
    <n v="2.99"/>
    <n v="49"/>
    <x v="20"/>
    <n v="14.651000000000003"/>
  </r>
  <r>
    <n v="1292"/>
    <x v="115"/>
    <n v="1"/>
    <x v="11"/>
    <s v="123 1st Street"/>
    <x v="10"/>
    <x v="10"/>
    <n v="99999"/>
    <s v="USA"/>
    <x v="2"/>
    <x v="2"/>
    <m/>
    <m/>
    <s v="Anna Bedecs"/>
    <s v="123 1st Street"/>
    <x v="10"/>
    <s v="WA"/>
    <n v="99999"/>
    <x v="0"/>
    <m/>
    <x v="4"/>
    <x v="0"/>
    <n v="18"/>
    <n v="22"/>
    <x v="226"/>
    <n v="38.015999999999998"/>
  </r>
  <r>
    <n v="1293"/>
    <x v="115"/>
    <n v="1"/>
    <x v="11"/>
    <s v="123 1st Street"/>
    <x v="10"/>
    <x v="10"/>
    <n v="99999"/>
    <s v="USA"/>
    <x v="2"/>
    <x v="2"/>
    <m/>
    <m/>
    <s v="Anna Bedecs"/>
    <s v="123 1st Street"/>
    <x v="10"/>
    <s v="WA"/>
    <n v="99999"/>
    <x v="0"/>
    <m/>
    <x v="5"/>
    <x v="0"/>
    <n v="46"/>
    <n v="73"/>
    <x v="227"/>
    <n v="339.15800000000002"/>
  </r>
  <r>
    <n v="1294"/>
    <x v="115"/>
    <n v="1"/>
    <x v="11"/>
    <s v="123 1st Street"/>
    <x v="10"/>
    <x v="10"/>
    <n v="99999"/>
    <s v="USA"/>
    <x v="2"/>
    <x v="2"/>
    <m/>
    <m/>
    <s v="Anna Bedecs"/>
    <s v="123 1st Street"/>
    <x v="10"/>
    <s v="WA"/>
    <n v="99999"/>
    <x v="0"/>
    <m/>
    <x v="10"/>
    <x v="0"/>
    <n v="2.99"/>
    <n v="85"/>
    <x v="228"/>
    <n v="24.652550000000002"/>
  </r>
  <r>
    <n v="1295"/>
    <x v="110"/>
    <n v="28"/>
    <x v="7"/>
    <s v="789 28th Street"/>
    <x v="6"/>
    <x v="6"/>
    <n v="99999"/>
    <s v="USA"/>
    <x v="5"/>
    <x v="3"/>
    <d v="2014-10-30T00:00:00"/>
    <s v="Shipping Company C"/>
    <s v="Amritansh Raghav"/>
    <s v="789 28th Street"/>
    <x v="6"/>
    <s v="TN"/>
    <n v="99999"/>
    <x v="0"/>
    <s v="Credit Card"/>
    <x v="8"/>
    <x v="4"/>
    <n v="9.65"/>
    <n v="44"/>
    <x v="229"/>
    <n v="44.158400000000007"/>
  </r>
  <r>
    <n v="1296"/>
    <x v="110"/>
    <n v="28"/>
    <x v="7"/>
    <s v="789 28th Street"/>
    <x v="6"/>
    <x v="6"/>
    <n v="99999"/>
    <s v="USA"/>
    <x v="5"/>
    <x v="3"/>
    <d v="2014-10-30T00:00:00"/>
    <s v="Shipping Company C"/>
    <s v="Amritansh Raghav"/>
    <s v="789 28th Street"/>
    <x v="6"/>
    <s v="TN"/>
    <n v="99999"/>
    <x v="0"/>
    <s v="Credit Card"/>
    <x v="13"/>
    <x v="8"/>
    <n v="18.399999999999999"/>
    <n v="24"/>
    <x v="230"/>
    <n v="42.835199999999993"/>
  </r>
  <r>
    <n v="1297"/>
    <x v="116"/>
    <n v="9"/>
    <x v="12"/>
    <s v="123 9th Street"/>
    <x v="11"/>
    <x v="11"/>
    <n v="99999"/>
    <s v="USA"/>
    <x v="7"/>
    <x v="0"/>
    <d v="2014-10-11T00:00:00"/>
    <s v="Shipping Company A"/>
    <s v="Sven Mortensen"/>
    <s v="123 9th Street"/>
    <x v="11"/>
    <s v="UT"/>
    <n v="99999"/>
    <x v="0"/>
    <s v="Check"/>
    <x v="14"/>
    <x v="9"/>
    <n v="19.5"/>
    <n v="64"/>
    <x v="231"/>
    <n v="119.80800000000001"/>
  </r>
  <r>
    <n v="1298"/>
    <x v="116"/>
    <n v="9"/>
    <x v="12"/>
    <s v="123 9th Street"/>
    <x v="11"/>
    <x v="11"/>
    <n v="99999"/>
    <s v="USA"/>
    <x v="7"/>
    <x v="0"/>
    <d v="2014-10-11T00:00:00"/>
    <s v="Shipping Company A"/>
    <s v="Sven Mortensen"/>
    <s v="123 9th Street"/>
    <x v="11"/>
    <s v="UT"/>
    <n v="99999"/>
    <x v="0"/>
    <s v="Check"/>
    <x v="15"/>
    <x v="10"/>
    <n v="34.799999999999997"/>
    <n v="70"/>
    <x v="232"/>
    <n v="246.03600000000003"/>
  </r>
  <r>
    <n v="1299"/>
    <x v="109"/>
    <n v="6"/>
    <x v="6"/>
    <s v="123 6th Street"/>
    <x v="5"/>
    <x v="5"/>
    <n v="99999"/>
    <s v="USA"/>
    <x v="4"/>
    <x v="2"/>
    <d v="2014-10-08T00:00:00"/>
    <s v="Shipping Company B"/>
    <s v="Francisco Pérez-Olaeta"/>
    <s v="123 6th Street"/>
    <x v="5"/>
    <s v="WI"/>
    <n v="99999"/>
    <x v="0"/>
    <s v="Credit Card"/>
    <x v="0"/>
    <x v="0"/>
    <n v="14"/>
    <n v="98"/>
    <x v="233"/>
    <n v="138.57200000000003"/>
  </r>
  <r>
    <n v="1300"/>
    <x v="111"/>
    <n v="8"/>
    <x v="3"/>
    <s v="123 8th Street"/>
    <x v="2"/>
    <x v="2"/>
    <n v="99999"/>
    <s v="USA"/>
    <x v="2"/>
    <x v="2"/>
    <d v="2014-10-10T00:00:00"/>
    <s v="Shipping Company B"/>
    <s v="Elizabeth Andersen"/>
    <s v="123 8th Street"/>
    <x v="2"/>
    <s v="OR"/>
    <n v="99999"/>
    <x v="0"/>
    <s v="Check"/>
    <x v="9"/>
    <x v="5"/>
    <n v="40"/>
    <n v="48"/>
    <x v="208"/>
    <n v="188.16"/>
  </r>
  <r>
    <n v="1301"/>
    <x v="111"/>
    <n v="8"/>
    <x v="3"/>
    <s v="123 8th Street"/>
    <x v="2"/>
    <x v="2"/>
    <n v="99999"/>
    <s v="USA"/>
    <x v="2"/>
    <x v="2"/>
    <d v="2014-10-10T00:00:00"/>
    <s v="Shipping Company B"/>
    <s v="Elizabeth Andersen"/>
    <s v="123 8th Street"/>
    <x v="2"/>
    <s v="OR"/>
    <n v="99999"/>
    <x v="0"/>
    <s v="Check"/>
    <x v="6"/>
    <x v="2"/>
    <n v="9.1999999999999993"/>
    <n v="100"/>
    <x v="234"/>
    <n v="91.08"/>
  </r>
  <r>
    <n v="1302"/>
    <x v="117"/>
    <n v="25"/>
    <x v="13"/>
    <s v="789 25th Street"/>
    <x v="7"/>
    <x v="7"/>
    <n v="99999"/>
    <s v="USA"/>
    <x v="6"/>
    <x v="1"/>
    <d v="2014-10-27T00:00:00"/>
    <s v="Shipping Company A"/>
    <s v="John Rodman"/>
    <s v="789 25th Street"/>
    <x v="7"/>
    <s v="IL"/>
    <n v="99999"/>
    <x v="0"/>
    <s v="Cash"/>
    <x v="21"/>
    <x v="2"/>
    <n v="10"/>
    <n v="90"/>
    <x v="235"/>
    <n v="87.3"/>
  </r>
  <r>
    <n v="1303"/>
    <x v="118"/>
    <n v="26"/>
    <x v="14"/>
    <s v="789 26th Street"/>
    <x v="9"/>
    <x v="9"/>
    <n v="99999"/>
    <s v="USA"/>
    <x v="5"/>
    <x v="3"/>
    <d v="2014-10-28T00:00:00"/>
    <s v="Shipping Company C"/>
    <s v="Run Liu"/>
    <s v="789 26th Street"/>
    <x v="9"/>
    <s v="FL"/>
    <n v="99999"/>
    <x v="0"/>
    <s v="Credit Card"/>
    <x v="22"/>
    <x v="13"/>
    <n v="21.35"/>
    <n v="49"/>
    <x v="236"/>
    <n v="102.5227"/>
  </r>
  <r>
    <n v="1304"/>
    <x v="118"/>
    <n v="26"/>
    <x v="14"/>
    <s v="789 26th Street"/>
    <x v="9"/>
    <x v="9"/>
    <n v="99999"/>
    <s v="USA"/>
    <x v="5"/>
    <x v="3"/>
    <d v="2014-10-28T00:00:00"/>
    <s v="Shipping Company C"/>
    <s v="Run Liu"/>
    <s v="789 26th Street"/>
    <x v="9"/>
    <s v="FL"/>
    <n v="99999"/>
    <x v="0"/>
    <s v="Credit Card"/>
    <x v="8"/>
    <x v="4"/>
    <n v="9.65"/>
    <n v="71"/>
    <x v="237"/>
    <n v="65.7744"/>
  </r>
  <r>
    <n v="1305"/>
    <x v="118"/>
    <n v="26"/>
    <x v="14"/>
    <s v="789 26th Street"/>
    <x v="9"/>
    <x v="9"/>
    <n v="99999"/>
    <s v="USA"/>
    <x v="5"/>
    <x v="3"/>
    <d v="2014-10-28T00:00:00"/>
    <s v="Shipping Company C"/>
    <s v="Run Liu"/>
    <s v="789 26th Street"/>
    <x v="9"/>
    <s v="FL"/>
    <n v="99999"/>
    <x v="0"/>
    <s v="Credit Card"/>
    <x v="13"/>
    <x v="8"/>
    <n v="18.399999999999999"/>
    <n v="10"/>
    <x v="238"/>
    <n v="19.136000000000003"/>
  </r>
  <r>
    <n v="1306"/>
    <x v="119"/>
    <n v="29"/>
    <x v="4"/>
    <s v="789 29th Street"/>
    <x v="3"/>
    <x v="3"/>
    <n v="99999"/>
    <s v="USA"/>
    <x v="3"/>
    <x v="0"/>
    <d v="2014-10-31T00:00:00"/>
    <s v="Shipping Company B"/>
    <s v="Soo Jung Lee"/>
    <s v="789 29th Street"/>
    <x v="3"/>
    <s v="CO"/>
    <n v="99999"/>
    <x v="0"/>
    <s v="Check"/>
    <x v="0"/>
    <x v="0"/>
    <n v="14"/>
    <n v="78"/>
    <x v="239"/>
    <n v="112.476"/>
  </r>
  <r>
    <n v="1307"/>
    <x v="109"/>
    <n v="6"/>
    <x v="6"/>
    <s v="123 6th Street"/>
    <x v="5"/>
    <x v="5"/>
    <n v="99999"/>
    <s v="USA"/>
    <x v="4"/>
    <x v="2"/>
    <d v="2014-10-08T00:00:00"/>
    <s v="Shipping Company C"/>
    <s v="Francisco Pérez-Olaeta"/>
    <s v="123 6th Street"/>
    <x v="5"/>
    <s v="WI"/>
    <n v="99999"/>
    <x v="0"/>
    <s v="Check"/>
    <x v="7"/>
    <x v="3"/>
    <n v="12.75"/>
    <n v="44"/>
    <x v="134"/>
    <n v="53.856000000000002"/>
  </r>
  <r>
    <n v="1309"/>
    <x v="120"/>
    <n v="4"/>
    <x v="1"/>
    <s v="123 4th Street"/>
    <x v="1"/>
    <x v="1"/>
    <n v="99999"/>
    <s v="USA"/>
    <x v="1"/>
    <x v="1"/>
    <d v="2014-10-06T00:00:00"/>
    <s v="Shipping Company A"/>
    <s v="Christina Lee"/>
    <s v="123 4th Street"/>
    <x v="1"/>
    <s v="NY"/>
    <n v="99999"/>
    <x v="0"/>
    <s v="Credit Card"/>
    <x v="23"/>
    <x v="6"/>
    <n v="81"/>
    <n v="82"/>
    <x v="240"/>
    <n v="697.41000000000008"/>
  </r>
  <r>
    <n v="1310"/>
    <x v="120"/>
    <n v="4"/>
    <x v="1"/>
    <s v="123 4th Street"/>
    <x v="1"/>
    <x v="1"/>
    <n v="99999"/>
    <s v="USA"/>
    <x v="1"/>
    <x v="1"/>
    <d v="2014-10-06T00:00:00"/>
    <s v="Shipping Company A"/>
    <s v="Christina Lee"/>
    <s v="123 4th Street"/>
    <x v="1"/>
    <s v="NY"/>
    <n v="99999"/>
    <x v="0"/>
    <s v="Credit Card"/>
    <x v="24"/>
    <x v="14"/>
    <n v="7"/>
    <n v="29"/>
    <x v="241"/>
    <n v="20.3"/>
  </r>
  <r>
    <n v="1312"/>
    <x v="111"/>
    <n v="8"/>
    <x v="3"/>
    <s v="123 8th Street"/>
    <x v="2"/>
    <x v="2"/>
    <n v="99999"/>
    <s v="USA"/>
    <x v="2"/>
    <x v="2"/>
    <d v="2014-10-10T00:00:00"/>
    <s v="Shipping Company C"/>
    <s v="Elizabeth Andersen"/>
    <s v="123 8th Street"/>
    <x v="2"/>
    <s v="OR"/>
    <n v="99999"/>
    <x v="0"/>
    <s v="Credit Card"/>
    <x v="15"/>
    <x v="10"/>
    <n v="34.799999999999997"/>
    <n v="93"/>
    <x v="242"/>
    <n v="313.93079999999998"/>
  </r>
  <r>
    <n v="1315"/>
    <x v="121"/>
    <n v="3"/>
    <x v="5"/>
    <s v="123 3rd Street"/>
    <x v="4"/>
    <x v="4"/>
    <n v="99999"/>
    <s v="USA"/>
    <x v="0"/>
    <x v="0"/>
    <d v="2014-10-05T00:00:00"/>
    <s v="Shipping Company B"/>
    <s v="Thomas Axerr"/>
    <s v="123 3rd Street"/>
    <x v="4"/>
    <s v="CA"/>
    <n v="99999"/>
    <x v="0"/>
    <s v="Cash"/>
    <x v="16"/>
    <x v="7"/>
    <n v="10"/>
    <n v="11"/>
    <x v="243"/>
    <n v="11.440000000000001"/>
  </r>
  <r>
    <n v="1316"/>
    <x v="121"/>
    <n v="3"/>
    <x v="5"/>
    <s v="123 3rd Street"/>
    <x v="4"/>
    <x v="4"/>
    <n v="99999"/>
    <s v="USA"/>
    <x v="0"/>
    <x v="0"/>
    <d v="2014-10-05T00:00:00"/>
    <s v="Shipping Company B"/>
    <s v="Thomas Axerr"/>
    <s v="123 3rd Street"/>
    <x v="4"/>
    <s v="CA"/>
    <n v="99999"/>
    <x v="0"/>
    <s v="Cash"/>
    <x v="9"/>
    <x v="5"/>
    <n v="40"/>
    <n v="91"/>
    <x v="157"/>
    <n v="364"/>
  </r>
  <r>
    <n v="1320"/>
    <x v="112"/>
    <n v="10"/>
    <x v="8"/>
    <s v="123 10th Street"/>
    <x v="7"/>
    <x v="7"/>
    <n v="99999"/>
    <s v="USA"/>
    <x v="6"/>
    <x v="1"/>
    <d v="2014-10-12T00:00:00"/>
    <s v="Shipping Company B"/>
    <s v="Roland Wacker"/>
    <s v="123 10th Street"/>
    <x v="7"/>
    <s v="IL"/>
    <n v="99999"/>
    <x v="0"/>
    <s v="Credit Card"/>
    <x v="18"/>
    <x v="1"/>
    <n v="10"/>
    <n v="12"/>
    <x v="244"/>
    <n v="12.36"/>
  </r>
  <r>
    <n v="1322"/>
    <x v="112"/>
    <n v="10"/>
    <x v="8"/>
    <s v="123 10th Street"/>
    <x v="7"/>
    <x v="7"/>
    <n v="99999"/>
    <s v="USA"/>
    <x v="6"/>
    <x v="1"/>
    <m/>
    <s v="Shipping Company A"/>
    <s v="Roland Wacker"/>
    <s v="123 10th Street"/>
    <x v="7"/>
    <s v="IL"/>
    <n v="99999"/>
    <x v="0"/>
    <m/>
    <x v="1"/>
    <x v="1"/>
    <n v="3.5"/>
    <n v="78"/>
    <x v="214"/>
    <n v="27.3"/>
  </r>
  <r>
    <n v="1323"/>
    <x v="114"/>
    <n v="11"/>
    <x v="10"/>
    <s v="123 11th Street"/>
    <x v="9"/>
    <x v="9"/>
    <n v="99999"/>
    <s v="USA"/>
    <x v="5"/>
    <x v="3"/>
    <m/>
    <s v="Shipping Company C"/>
    <s v="Peter Krschne"/>
    <s v="123 11th Street"/>
    <x v="9"/>
    <s v="FL"/>
    <n v="99999"/>
    <x v="0"/>
    <m/>
    <x v="9"/>
    <x v="5"/>
    <n v="40"/>
    <n v="60"/>
    <x v="245"/>
    <n v="228"/>
  </r>
  <r>
    <n v="1324"/>
    <x v="115"/>
    <n v="1"/>
    <x v="11"/>
    <s v="123 1st Street"/>
    <x v="10"/>
    <x v="10"/>
    <n v="99999"/>
    <s v="USA"/>
    <x v="2"/>
    <x v="2"/>
    <m/>
    <s v="Shipping Company C"/>
    <s v="Anna Bedecs"/>
    <s v="123 1st Street"/>
    <x v="10"/>
    <s v="WA"/>
    <n v="99999"/>
    <x v="0"/>
    <m/>
    <x v="13"/>
    <x v="8"/>
    <n v="18.399999999999999"/>
    <n v="23"/>
    <x v="246"/>
    <n v="43.589600000000004"/>
  </r>
  <r>
    <n v="1325"/>
    <x v="110"/>
    <n v="28"/>
    <x v="7"/>
    <s v="789 28th Street"/>
    <x v="6"/>
    <x v="6"/>
    <n v="99999"/>
    <s v="USA"/>
    <x v="5"/>
    <x v="3"/>
    <d v="2014-10-30T00:00:00"/>
    <s v="Shipping Company C"/>
    <s v="Amritansh Raghav"/>
    <s v="789 28th Street"/>
    <x v="6"/>
    <s v="TN"/>
    <n v="99999"/>
    <x v="0"/>
    <s v="Credit Card"/>
    <x v="5"/>
    <x v="0"/>
    <n v="46"/>
    <n v="34"/>
    <x v="247"/>
    <n v="157.964"/>
  </r>
  <r>
    <n v="1326"/>
    <x v="116"/>
    <n v="9"/>
    <x v="12"/>
    <s v="123 9th Street"/>
    <x v="11"/>
    <x v="11"/>
    <n v="99999"/>
    <s v="USA"/>
    <x v="7"/>
    <x v="0"/>
    <d v="2014-10-11T00:00:00"/>
    <s v="Shipping Company A"/>
    <s v="Sven Mortensen"/>
    <s v="123 9th Street"/>
    <x v="11"/>
    <s v="UT"/>
    <n v="99999"/>
    <x v="0"/>
    <s v="Check"/>
    <x v="8"/>
    <x v="4"/>
    <n v="9.65"/>
    <n v="89"/>
    <x v="248"/>
    <n v="86.743850000000009"/>
  </r>
  <r>
    <n v="1327"/>
    <x v="109"/>
    <n v="6"/>
    <x v="6"/>
    <s v="123 6th Street"/>
    <x v="5"/>
    <x v="5"/>
    <n v="99999"/>
    <s v="USA"/>
    <x v="4"/>
    <x v="2"/>
    <d v="2014-10-08T00:00:00"/>
    <s v="Shipping Company B"/>
    <s v="Francisco Pérez-Olaeta"/>
    <s v="123 6th Street"/>
    <x v="5"/>
    <s v="WI"/>
    <n v="99999"/>
    <x v="0"/>
    <s v="Credit Card"/>
    <x v="7"/>
    <x v="3"/>
    <n v="12.75"/>
    <n v="82"/>
    <x v="249"/>
    <n v="103.50450000000001"/>
  </r>
  <r>
    <n v="1328"/>
    <x v="111"/>
    <n v="8"/>
    <x v="3"/>
    <s v="123 8th Street"/>
    <x v="2"/>
    <x v="2"/>
    <n v="99999"/>
    <s v="USA"/>
    <x v="2"/>
    <x v="2"/>
    <d v="2014-10-10T00:00:00"/>
    <s v="Shipping Company B"/>
    <s v="Elizabeth Andersen"/>
    <s v="123 8th Street"/>
    <x v="2"/>
    <s v="OR"/>
    <n v="99999"/>
    <x v="0"/>
    <s v="Check"/>
    <x v="7"/>
    <x v="3"/>
    <n v="12.75"/>
    <n v="43"/>
    <x v="250"/>
    <n v="52.631999999999998"/>
  </r>
  <r>
    <n v="1329"/>
    <x v="122"/>
    <n v="10"/>
    <x v="8"/>
    <s v="123 10th Street"/>
    <x v="7"/>
    <x v="7"/>
    <n v="99999"/>
    <s v="USA"/>
    <x v="6"/>
    <x v="1"/>
    <d v="2014-11-12T00:00:00"/>
    <s v="Shipping Company A"/>
    <s v="Roland Wacker"/>
    <s v="123 10th Street"/>
    <x v="7"/>
    <s v="IL"/>
    <n v="99999"/>
    <x v="0"/>
    <m/>
    <x v="12"/>
    <x v="7"/>
    <n v="22"/>
    <n v="96"/>
    <x v="251"/>
    <n v="221.76000000000002"/>
  </r>
  <r>
    <n v="1330"/>
    <x v="122"/>
    <n v="10"/>
    <x v="8"/>
    <s v="123 10th Street"/>
    <x v="7"/>
    <x v="7"/>
    <n v="99999"/>
    <s v="USA"/>
    <x v="6"/>
    <x v="1"/>
    <d v="2014-11-12T00:00:00"/>
    <s v="Shipping Company A"/>
    <s v="Roland Wacker"/>
    <s v="123 10th Street"/>
    <x v="7"/>
    <s v="IL"/>
    <n v="99999"/>
    <x v="0"/>
    <m/>
    <x v="6"/>
    <x v="2"/>
    <n v="9.1999999999999993"/>
    <n v="34"/>
    <x v="252"/>
    <n v="31.279999999999998"/>
  </r>
  <r>
    <n v="1331"/>
    <x v="123"/>
    <n v="11"/>
    <x v="10"/>
    <s v="123 11th Street"/>
    <x v="9"/>
    <x v="9"/>
    <n v="99999"/>
    <s v="USA"/>
    <x v="5"/>
    <x v="3"/>
    <m/>
    <s v="Shipping Company C"/>
    <s v="Peter Krschne"/>
    <s v="123 11th Street"/>
    <x v="9"/>
    <s v="FL"/>
    <n v="99999"/>
    <x v="0"/>
    <m/>
    <x v="1"/>
    <x v="1"/>
    <n v="3.5"/>
    <n v="42"/>
    <x v="253"/>
    <n v="15.141000000000002"/>
  </r>
  <r>
    <n v="1332"/>
    <x v="123"/>
    <n v="11"/>
    <x v="10"/>
    <s v="123 11th Street"/>
    <x v="9"/>
    <x v="9"/>
    <n v="99999"/>
    <s v="USA"/>
    <x v="5"/>
    <x v="3"/>
    <m/>
    <s v="Shipping Company C"/>
    <s v="Peter Krschne"/>
    <s v="123 11th Street"/>
    <x v="9"/>
    <s v="FL"/>
    <n v="99999"/>
    <x v="0"/>
    <m/>
    <x v="10"/>
    <x v="0"/>
    <n v="2.99"/>
    <n v="100"/>
    <x v="254"/>
    <n v="30.498000000000001"/>
  </r>
  <r>
    <n v="1333"/>
    <x v="124"/>
    <n v="1"/>
    <x v="11"/>
    <s v="123 1st Street"/>
    <x v="10"/>
    <x v="10"/>
    <n v="99999"/>
    <s v="USA"/>
    <x v="2"/>
    <x v="2"/>
    <m/>
    <m/>
    <s v="Anna Bedecs"/>
    <s v="123 1st Street"/>
    <x v="10"/>
    <s v="WA"/>
    <n v="99999"/>
    <x v="0"/>
    <m/>
    <x v="4"/>
    <x v="0"/>
    <n v="18"/>
    <n v="42"/>
    <x v="21"/>
    <n v="76.356000000000009"/>
  </r>
  <r>
    <n v="1334"/>
    <x v="124"/>
    <n v="1"/>
    <x v="11"/>
    <s v="123 1st Street"/>
    <x v="10"/>
    <x v="10"/>
    <n v="99999"/>
    <s v="USA"/>
    <x v="2"/>
    <x v="2"/>
    <m/>
    <m/>
    <s v="Anna Bedecs"/>
    <s v="123 1st Street"/>
    <x v="10"/>
    <s v="WA"/>
    <n v="99999"/>
    <x v="0"/>
    <m/>
    <x v="5"/>
    <x v="0"/>
    <n v="46"/>
    <n v="16"/>
    <x v="129"/>
    <n v="70.656000000000006"/>
  </r>
  <r>
    <n v="1335"/>
    <x v="124"/>
    <n v="1"/>
    <x v="11"/>
    <s v="123 1st Street"/>
    <x v="10"/>
    <x v="10"/>
    <n v="99999"/>
    <s v="USA"/>
    <x v="2"/>
    <x v="2"/>
    <m/>
    <m/>
    <s v="Anna Bedecs"/>
    <s v="123 1st Street"/>
    <x v="10"/>
    <s v="WA"/>
    <n v="99999"/>
    <x v="0"/>
    <m/>
    <x v="10"/>
    <x v="0"/>
    <n v="2.99"/>
    <n v="22"/>
    <x v="255"/>
    <n v="6.3806599999999998"/>
  </r>
  <r>
    <n v="1336"/>
    <x v="125"/>
    <n v="28"/>
    <x v="7"/>
    <s v="789 28th Street"/>
    <x v="6"/>
    <x v="6"/>
    <n v="99999"/>
    <s v="USA"/>
    <x v="5"/>
    <x v="3"/>
    <d v="2014-11-30T00:00:00"/>
    <s v="Shipping Company C"/>
    <s v="Amritansh Raghav"/>
    <s v="789 28th Street"/>
    <x v="6"/>
    <s v="TN"/>
    <n v="99999"/>
    <x v="0"/>
    <s v="Credit Card"/>
    <x v="8"/>
    <x v="4"/>
    <n v="9.65"/>
    <n v="46"/>
    <x v="256"/>
    <n v="45.721700000000006"/>
  </r>
  <r>
    <n v="1337"/>
    <x v="125"/>
    <n v="28"/>
    <x v="7"/>
    <s v="789 28th Street"/>
    <x v="6"/>
    <x v="6"/>
    <n v="99999"/>
    <s v="USA"/>
    <x v="5"/>
    <x v="3"/>
    <n v="41973"/>
    <s v="Shipping Company C"/>
    <s v="Amritansh Raghav"/>
    <s v="789 28th Street"/>
    <x v="6"/>
    <s v="TN"/>
    <n v="99999"/>
    <x v="0"/>
    <s v="Credit Card"/>
    <x v="13"/>
    <x v="8"/>
    <n v="18.399999999999999"/>
    <n v="100"/>
    <x v="257"/>
    <n v="184"/>
  </r>
  <r>
    <n v="1338"/>
    <x v="126"/>
    <n v="9"/>
    <x v="12"/>
    <s v="123 9th Street"/>
    <x v="11"/>
    <x v="11"/>
    <n v="99999"/>
    <s v="USA"/>
    <x v="7"/>
    <x v="0"/>
    <n v="41954"/>
    <s v="Shipping Company A"/>
    <s v="Sven Mortensen"/>
    <s v="123 9th Street"/>
    <x v="11"/>
    <s v="UT"/>
    <n v="99999"/>
    <x v="0"/>
    <s v="Check"/>
    <x v="14"/>
    <x v="9"/>
    <n v="19.5"/>
    <n v="87"/>
    <x v="258"/>
    <n v="174.73950000000002"/>
  </r>
  <r>
    <n v="1339"/>
    <x v="126"/>
    <n v="9"/>
    <x v="12"/>
    <s v="123 9th Street"/>
    <x v="11"/>
    <x v="11"/>
    <n v="99999"/>
    <s v="USA"/>
    <x v="7"/>
    <x v="0"/>
    <n v="41954"/>
    <s v="Shipping Company A"/>
    <s v="Sven Mortensen"/>
    <s v="123 9th Street"/>
    <x v="11"/>
    <s v="UT"/>
    <n v="99999"/>
    <x v="0"/>
    <s v="Check"/>
    <x v="15"/>
    <x v="10"/>
    <n v="34.799999999999997"/>
    <n v="58"/>
    <x v="259"/>
    <n v="205.8768"/>
  </r>
  <r>
    <n v="1340"/>
    <x v="127"/>
    <n v="6"/>
    <x v="6"/>
    <s v="123 6th Street"/>
    <x v="5"/>
    <x v="5"/>
    <n v="99999"/>
    <s v="USA"/>
    <x v="4"/>
    <x v="2"/>
    <n v="41951"/>
    <s v="Shipping Company B"/>
    <s v="Francisco Pérez-Olaeta"/>
    <s v="123 6th Street"/>
    <x v="5"/>
    <s v="WI"/>
    <n v="99999"/>
    <x v="0"/>
    <s v="Credit Card"/>
    <x v="0"/>
    <x v="0"/>
    <n v="14"/>
    <n v="85"/>
    <x v="260"/>
    <n v="120.19"/>
  </r>
  <r>
    <n v="1341"/>
    <x v="128"/>
    <n v="8"/>
    <x v="3"/>
    <s v="123 8th Street"/>
    <x v="2"/>
    <x v="2"/>
    <n v="99999"/>
    <s v="USA"/>
    <x v="2"/>
    <x v="2"/>
    <n v="41953"/>
    <s v="Shipping Company B"/>
    <s v="Elizabeth Andersen"/>
    <s v="123 8th Street"/>
    <x v="2"/>
    <s v="OR"/>
    <n v="99999"/>
    <x v="0"/>
    <s v="Check"/>
    <x v="9"/>
    <x v="5"/>
    <n v="40"/>
    <n v="28"/>
    <x v="139"/>
    <n v="110.88"/>
  </r>
  <r>
    <n v="1342"/>
    <x v="128"/>
    <n v="8"/>
    <x v="3"/>
    <s v="123 8th Street"/>
    <x v="2"/>
    <x v="2"/>
    <n v="99999"/>
    <s v="USA"/>
    <x v="2"/>
    <x v="2"/>
    <d v="2014-11-10T00:00:00"/>
    <s v="Shipping Company B"/>
    <s v="Elizabeth Andersen"/>
    <s v="123 8th Street"/>
    <x v="2"/>
    <s v="OR"/>
    <n v="99999"/>
    <x v="0"/>
    <s v="Check"/>
    <x v="6"/>
    <x v="2"/>
    <n v="9.1999999999999993"/>
    <n v="19"/>
    <x v="261"/>
    <n v="17.130400000000002"/>
  </r>
  <r>
    <n v="1343"/>
    <x v="129"/>
    <n v="25"/>
    <x v="13"/>
    <s v="789 25th Street"/>
    <x v="7"/>
    <x v="7"/>
    <n v="99999"/>
    <s v="USA"/>
    <x v="6"/>
    <x v="1"/>
    <d v="2014-11-27T00:00:00"/>
    <s v="Shipping Company A"/>
    <s v="John Rodman"/>
    <s v="789 25th Street"/>
    <x v="7"/>
    <s v="IL"/>
    <n v="99999"/>
    <x v="0"/>
    <s v="Cash"/>
    <x v="21"/>
    <x v="2"/>
    <n v="10"/>
    <n v="99"/>
    <x v="82"/>
    <n v="102.96000000000001"/>
  </r>
  <r>
    <n v="1344"/>
    <x v="130"/>
    <n v="26"/>
    <x v="14"/>
    <s v="789 26th Street"/>
    <x v="9"/>
    <x v="9"/>
    <n v="99999"/>
    <s v="USA"/>
    <x v="5"/>
    <x v="3"/>
    <d v="2014-11-28T00:00:00"/>
    <s v="Shipping Company C"/>
    <s v="Run Liu"/>
    <s v="789 26th Street"/>
    <x v="9"/>
    <s v="FL"/>
    <n v="99999"/>
    <x v="0"/>
    <s v="Credit Card"/>
    <x v="22"/>
    <x v="13"/>
    <n v="21.35"/>
    <n v="69"/>
    <x v="262"/>
    <n v="153.20760000000004"/>
  </r>
  <r>
    <n v="1345"/>
    <x v="130"/>
    <n v="26"/>
    <x v="14"/>
    <s v="789 26th Street"/>
    <x v="9"/>
    <x v="9"/>
    <n v="99999"/>
    <s v="USA"/>
    <x v="5"/>
    <x v="3"/>
    <d v="2014-11-28T00:00:00"/>
    <s v="Shipping Company C"/>
    <s v="Run Liu"/>
    <s v="789 26th Street"/>
    <x v="9"/>
    <s v="FL"/>
    <n v="99999"/>
    <x v="0"/>
    <s v="Credit Card"/>
    <x v="8"/>
    <x v="4"/>
    <n v="9.65"/>
    <n v="37"/>
    <x v="263"/>
    <n v="33.919750000000001"/>
  </r>
  <r>
    <n v="1346"/>
    <x v="130"/>
    <n v="26"/>
    <x v="14"/>
    <s v="789 26th Street"/>
    <x v="9"/>
    <x v="9"/>
    <n v="99999"/>
    <s v="USA"/>
    <x v="5"/>
    <x v="3"/>
    <d v="2014-11-28T00:00:00"/>
    <s v="Shipping Company C"/>
    <s v="Run Liu"/>
    <s v="789 26th Street"/>
    <x v="9"/>
    <s v="FL"/>
    <n v="99999"/>
    <x v="0"/>
    <s v="Credit Card"/>
    <x v="13"/>
    <x v="8"/>
    <n v="18.399999999999999"/>
    <n v="64"/>
    <x v="107"/>
    <n v="118.93759999999999"/>
  </r>
  <r>
    <n v="1347"/>
    <x v="131"/>
    <n v="29"/>
    <x v="4"/>
    <s v="789 29th Street"/>
    <x v="3"/>
    <x v="3"/>
    <n v="99999"/>
    <s v="USA"/>
    <x v="3"/>
    <x v="0"/>
    <d v="2014-12-01T00:00:00"/>
    <s v="Shipping Company B"/>
    <s v="Soo Jung Lee"/>
    <s v="789 29th Street"/>
    <x v="3"/>
    <s v="CO"/>
    <n v="99999"/>
    <x v="0"/>
    <s v="Check"/>
    <x v="0"/>
    <x v="0"/>
    <n v="14"/>
    <n v="38"/>
    <x v="197"/>
    <n v="55.328000000000003"/>
  </r>
  <r>
    <n v="1348"/>
    <x v="127"/>
    <n v="6"/>
    <x v="6"/>
    <s v="123 6th Street"/>
    <x v="5"/>
    <x v="5"/>
    <n v="99999"/>
    <s v="USA"/>
    <x v="4"/>
    <x v="2"/>
    <d v="2014-11-08T00:00:00"/>
    <s v="Shipping Company C"/>
    <s v="Francisco Pérez-Olaeta"/>
    <s v="123 6th Street"/>
    <x v="5"/>
    <s v="WI"/>
    <n v="99999"/>
    <x v="0"/>
    <s v="Check"/>
    <x v="7"/>
    <x v="3"/>
    <n v="12.75"/>
    <n v="15"/>
    <x v="264"/>
    <n v="18.55125"/>
  </r>
  <r>
    <n v="1350"/>
    <x v="132"/>
    <n v="4"/>
    <x v="1"/>
    <s v="123 4th Street"/>
    <x v="1"/>
    <x v="1"/>
    <n v="99999"/>
    <s v="USA"/>
    <x v="1"/>
    <x v="1"/>
    <d v="2014-11-06T00:00:00"/>
    <s v="Shipping Company A"/>
    <s v="Christina Lee"/>
    <s v="123 4th Street"/>
    <x v="1"/>
    <s v="NY"/>
    <n v="99999"/>
    <x v="0"/>
    <s v="Credit Card"/>
    <x v="23"/>
    <x v="6"/>
    <n v="81"/>
    <n v="52"/>
    <x v="265"/>
    <n v="412.77600000000001"/>
  </r>
  <r>
    <n v="1351"/>
    <x v="132"/>
    <n v="4"/>
    <x v="1"/>
    <s v="123 4th Street"/>
    <x v="1"/>
    <x v="1"/>
    <n v="99999"/>
    <s v="USA"/>
    <x v="1"/>
    <x v="1"/>
    <d v="2014-11-06T00:00:00"/>
    <s v="Shipping Company A"/>
    <s v="Christina Lee"/>
    <s v="123 4th Street"/>
    <x v="1"/>
    <s v="NY"/>
    <n v="99999"/>
    <x v="0"/>
    <s v="Credit Card"/>
    <x v="24"/>
    <x v="14"/>
    <n v="7"/>
    <n v="37"/>
    <x v="58"/>
    <n v="25.382000000000001"/>
  </r>
  <r>
    <n v="1353"/>
    <x v="128"/>
    <n v="8"/>
    <x v="3"/>
    <s v="123 8th Street"/>
    <x v="2"/>
    <x v="2"/>
    <n v="99999"/>
    <s v="USA"/>
    <x v="2"/>
    <x v="2"/>
    <d v="2014-11-10T00:00:00"/>
    <s v="Shipping Company C"/>
    <s v="Elizabeth Andersen"/>
    <s v="123 8th Street"/>
    <x v="2"/>
    <s v="OR"/>
    <n v="99999"/>
    <x v="0"/>
    <s v="Credit Card"/>
    <x v="15"/>
    <x v="10"/>
    <n v="34.799999999999997"/>
    <n v="24"/>
    <x v="266"/>
    <n v="80.179199999999994"/>
  </r>
  <r>
    <n v="1356"/>
    <x v="133"/>
    <n v="3"/>
    <x v="5"/>
    <s v="123 3rd Street"/>
    <x v="4"/>
    <x v="4"/>
    <n v="99999"/>
    <s v="USA"/>
    <x v="0"/>
    <x v="0"/>
    <d v="2014-11-05T00:00:00"/>
    <s v="Shipping Company B"/>
    <s v="Thomas Axerr"/>
    <s v="123 3rd Street"/>
    <x v="4"/>
    <s v="CA"/>
    <n v="99999"/>
    <x v="0"/>
    <s v="Cash"/>
    <x v="16"/>
    <x v="7"/>
    <n v="10"/>
    <n v="36"/>
    <x v="267"/>
    <n v="37.08"/>
  </r>
  <r>
    <n v="1357"/>
    <x v="133"/>
    <n v="3"/>
    <x v="5"/>
    <s v="123 3rd Street"/>
    <x v="4"/>
    <x v="4"/>
    <n v="99999"/>
    <s v="USA"/>
    <x v="0"/>
    <x v="0"/>
    <d v="2014-11-05T00:00:00"/>
    <s v="Shipping Company B"/>
    <s v="Thomas Axerr"/>
    <s v="123 3rd Street"/>
    <x v="4"/>
    <s v="CA"/>
    <n v="99999"/>
    <x v="0"/>
    <s v="Cash"/>
    <x v="9"/>
    <x v="5"/>
    <n v="40"/>
    <n v="24"/>
    <x v="268"/>
    <n v="96"/>
  </r>
  <r>
    <n v="1361"/>
    <x v="122"/>
    <n v="10"/>
    <x v="8"/>
    <s v="123 10th Street"/>
    <x v="7"/>
    <x v="7"/>
    <n v="99999"/>
    <s v="USA"/>
    <x v="6"/>
    <x v="1"/>
    <d v="2014-11-12T00:00:00"/>
    <s v="Shipping Company B"/>
    <s v="Roland Wacker"/>
    <s v="123 10th Street"/>
    <x v="7"/>
    <s v="IL"/>
    <n v="99999"/>
    <x v="0"/>
    <s v="Credit Card"/>
    <x v="18"/>
    <x v="1"/>
    <n v="10"/>
    <n v="20"/>
    <x v="269"/>
    <n v="20"/>
  </r>
  <r>
    <n v="1363"/>
    <x v="122"/>
    <n v="10"/>
    <x v="8"/>
    <s v="123 10th Street"/>
    <x v="7"/>
    <x v="7"/>
    <n v="99999"/>
    <s v="USA"/>
    <x v="6"/>
    <x v="1"/>
    <m/>
    <s v="Shipping Company A"/>
    <s v="Roland Wacker"/>
    <s v="123 10th Street"/>
    <x v="7"/>
    <s v="IL"/>
    <n v="99999"/>
    <x v="0"/>
    <m/>
    <x v="1"/>
    <x v="1"/>
    <n v="3.5"/>
    <n v="11"/>
    <x v="4"/>
    <n v="3.7345000000000002"/>
  </r>
  <r>
    <n v="1364"/>
    <x v="123"/>
    <n v="11"/>
    <x v="10"/>
    <s v="123 11th Street"/>
    <x v="9"/>
    <x v="9"/>
    <n v="99999"/>
    <s v="USA"/>
    <x v="5"/>
    <x v="3"/>
    <m/>
    <s v="Shipping Company C"/>
    <s v="Peter Krschne"/>
    <s v="123 11th Street"/>
    <x v="9"/>
    <s v="FL"/>
    <n v="99999"/>
    <x v="0"/>
    <m/>
    <x v="9"/>
    <x v="5"/>
    <n v="40"/>
    <n v="78"/>
    <x v="189"/>
    <n v="299.52"/>
  </r>
  <r>
    <n v="1365"/>
    <x v="124"/>
    <n v="1"/>
    <x v="11"/>
    <s v="123 1st Street"/>
    <x v="10"/>
    <x v="10"/>
    <n v="99999"/>
    <s v="USA"/>
    <x v="2"/>
    <x v="2"/>
    <m/>
    <s v="Shipping Company C"/>
    <s v="Anna Bedecs"/>
    <s v="123 1st Street"/>
    <x v="10"/>
    <s v="WA"/>
    <n v="99999"/>
    <x v="0"/>
    <m/>
    <x v="13"/>
    <x v="8"/>
    <n v="18.399999999999999"/>
    <n v="76"/>
    <x v="270"/>
    <n v="144.0352"/>
  </r>
  <r>
    <n v="1366"/>
    <x v="125"/>
    <n v="28"/>
    <x v="7"/>
    <s v="789 28th Street"/>
    <x v="6"/>
    <x v="6"/>
    <n v="99999"/>
    <s v="USA"/>
    <x v="5"/>
    <x v="3"/>
    <d v="2014-11-30T00:00:00"/>
    <s v="Shipping Company C"/>
    <s v="Amritansh Raghav"/>
    <s v="789 28th Street"/>
    <x v="6"/>
    <s v="TN"/>
    <n v="99999"/>
    <x v="0"/>
    <s v="Credit Card"/>
    <x v="5"/>
    <x v="0"/>
    <n v="46"/>
    <n v="57"/>
    <x v="271"/>
    <n v="272.68799999999999"/>
  </r>
  <r>
    <n v="1367"/>
    <x v="126"/>
    <n v="9"/>
    <x v="12"/>
    <s v="123 9th Street"/>
    <x v="11"/>
    <x v="11"/>
    <n v="99999"/>
    <s v="USA"/>
    <x v="7"/>
    <x v="0"/>
    <d v="2014-11-11T00:00:00"/>
    <s v="Shipping Company A"/>
    <s v="Sven Mortensen"/>
    <s v="123 9th Street"/>
    <x v="11"/>
    <s v="UT"/>
    <n v="99999"/>
    <x v="0"/>
    <s v="Check"/>
    <x v="8"/>
    <x v="4"/>
    <n v="9.65"/>
    <n v="14"/>
    <x v="272"/>
    <n v="12.9696"/>
  </r>
  <r>
    <n v="1368"/>
    <x v="134"/>
    <n v="27"/>
    <x v="0"/>
    <s v="789 27th Street"/>
    <x v="0"/>
    <x v="0"/>
    <n v="99999"/>
    <s v="USA"/>
    <x v="0"/>
    <x v="0"/>
    <d v="2014-12-29T00:00:00"/>
    <s v="Shipping Company B"/>
    <s v="Karen Toh"/>
    <s v="789 27th Street"/>
    <x v="0"/>
    <s v="NV"/>
    <n v="99999"/>
    <x v="0"/>
    <s v="Check"/>
    <x v="0"/>
    <x v="0"/>
    <n v="14"/>
    <n v="14"/>
    <x v="273"/>
    <n v="19.796000000000003"/>
  </r>
  <r>
    <n v="1369"/>
    <x v="134"/>
    <n v="27"/>
    <x v="0"/>
    <s v="789 27th Street"/>
    <x v="0"/>
    <x v="0"/>
    <n v="99999"/>
    <s v="USA"/>
    <x v="0"/>
    <x v="0"/>
    <d v="2014-12-29T00:00:00"/>
    <s v="Shipping Company B"/>
    <s v="Karen Toh"/>
    <s v="789 27th Street"/>
    <x v="0"/>
    <s v="NV"/>
    <n v="99999"/>
    <x v="0"/>
    <s v="Check"/>
    <x v="1"/>
    <x v="1"/>
    <n v="3.5"/>
    <n v="70"/>
    <x v="274"/>
    <n v="25.234999999999999"/>
  </r>
  <r>
    <n v="1370"/>
    <x v="135"/>
    <n v="4"/>
    <x v="1"/>
    <s v="123 4th Street"/>
    <x v="1"/>
    <x v="1"/>
    <n v="99999"/>
    <s v="USA"/>
    <x v="1"/>
    <x v="1"/>
    <d v="2014-12-06T00:00:00"/>
    <s v="Shipping Company A"/>
    <s v="Christina Lee"/>
    <s v="123 4th Street"/>
    <x v="1"/>
    <s v="NY"/>
    <n v="99999"/>
    <x v="0"/>
    <s v="Credit Card"/>
    <x v="2"/>
    <x v="1"/>
    <n v="30"/>
    <n v="100"/>
    <x v="275"/>
    <n v="291"/>
  </r>
  <r>
    <n v="1371"/>
    <x v="135"/>
    <n v="4"/>
    <x v="1"/>
    <s v="123 4th Street"/>
    <x v="1"/>
    <x v="1"/>
    <n v="99999"/>
    <s v="USA"/>
    <x v="1"/>
    <x v="1"/>
    <d v="2014-12-06T00:00:00"/>
    <s v="Shipping Company A"/>
    <s v="Christina Lee"/>
    <s v="123 4th Street"/>
    <x v="1"/>
    <s v="NY"/>
    <n v="99999"/>
    <x v="0"/>
    <s v="Credit Card"/>
    <x v="3"/>
    <x v="1"/>
    <n v="53"/>
    <n v="27"/>
    <x v="276"/>
    <n v="143.1"/>
  </r>
  <r>
    <n v="1372"/>
    <x v="135"/>
    <n v="4"/>
    <x v="1"/>
    <s v="123 4th Street"/>
    <x v="1"/>
    <x v="1"/>
    <n v="99999"/>
    <s v="USA"/>
    <x v="1"/>
    <x v="1"/>
    <d v="2014-12-06T00:00:00"/>
    <s v="Shipping Company A"/>
    <s v="Christina Lee"/>
    <s v="123 4th Street"/>
    <x v="1"/>
    <s v="NY"/>
    <n v="99999"/>
    <x v="0"/>
    <s v="Credit Card"/>
    <x v="1"/>
    <x v="1"/>
    <n v="3.5"/>
    <n v="70"/>
    <x v="274"/>
    <n v="24.009999999999998"/>
  </r>
  <r>
    <n v="1373"/>
    <x v="136"/>
    <n v="12"/>
    <x v="2"/>
    <s v="123 12th Street"/>
    <x v="0"/>
    <x v="0"/>
    <n v="99999"/>
    <s v="USA"/>
    <x v="0"/>
    <x v="0"/>
    <d v="2014-12-14T00:00:00"/>
    <s v="Shipping Company B"/>
    <s v="John Edwards"/>
    <s v="123 12th Street"/>
    <x v="0"/>
    <s v="NV"/>
    <n v="99999"/>
    <x v="0"/>
    <s v="Credit Card"/>
    <x v="4"/>
    <x v="0"/>
    <n v="18"/>
    <n v="57"/>
    <x v="277"/>
    <n v="102.60000000000001"/>
  </r>
  <r>
    <n v="1374"/>
    <x v="136"/>
    <n v="12"/>
    <x v="2"/>
    <s v="123 12th Street"/>
    <x v="0"/>
    <x v="0"/>
    <n v="99999"/>
    <s v="USA"/>
    <x v="0"/>
    <x v="0"/>
    <d v="2014-12-14T00:00:00"/>
    <s v="Shipping Company B"/>
    <s v="John Edwards"/>
    <s v="123 12th Street"/>
    <x v="0"/>
    <s v="NV"/>
    <n v="99999"/>
    <x v="0"/>
    <s v="Credit Card"/>
    <x v="5"/>
    <x v="0"/>
    <n v="46"/>
    <n v="83"/>
    <x v="278"/>
    <n v="374.16399999999999"/>
  </r>
  <r>
    <n v="1375"/>
    <x v="137"/>
    <n v="8"/>
    <x v="3"/>
    <s v="123 8th Street"/>
    <x v="2"/>
    <x v="2"/>
    <n v="99999"/>
    <s v="USA"/>
    <x v="2"/>
    <x v="2"/>
    <d v="2014-12-10T00:00:00"/>
    <s v="Shipping Company C"/>
    <s v="Elizabeth Andersen"/>
    <s v="123 8th Street"/>
    <x v="2"/>
    <s v="OR"/>
    <n v="99999"/>
    <x v="0"/>
    <s v="Credit Card"/>
    <x v="6"/>
    <x v="2"/>
    <n v="9.1999999999999993"/>
    <n v="76"/>
    <x v="279"/>
    <n v="67.123199999999997"/>
  </r>
  <r>
    <n v="1376"/>
    <x v="135"/>
    <n v="4"/>
    <x v="1"/>
    <s v="123 4th Street"/>
    <x v="1"/>
    <x v="1"/>
    <n v="99999"/>
    <s v="USA"/>
    <x v="1"/>
    <x v="1"/>
    <n v="41979"/>
    <s v="Shipping Company C"/>
    <s v="Christina Lee"/>
    <s v="123 4th Street"/>
    <x v="1"/>
    <s v="NY"/>
    <n v="99999"/>
    <x v="0"/>
    <s v="Check"/>
    <x v="6"/>
    <x v="2"/>
    <n v="9.1999999999999993"/>
    <n v="80"/>
    <x v="129"/>
    <n v="72.864000000000004"/>
  </r>
  <r>
    <n v="1377"/>
    <x v="138"/>
    <n v="29"/>
    <x v="4"/>
    <s v="789 29th Street"/>
    <x v="3"/>
    <x v="3"/>
    <n v="99999"/>
    <s v="USA"/>
    <x v="3"/>
    <x v="0"/>
    <n v="42004"/>
    <s v="Shipping Company B"/>
    <s v="Soo Jung Lee"/>
    <s v="789 29th Street"/>
    <x v="3"/>
    <s v="CO"/>
    <n v="99999"/>
    <x v="0"/>
    <s v="Check"/>
    <x v="7"/>
    <x v="3"/>
    <n v="12.75"/>
    <n v="47"/>
    <x v="13"/>
    <n v="59.325750000000006"/>
  </r>
  <r>
    <n v="1378"/>
    <x v="139"/>
    <n v="3"/>
    <x v="5"/>
    <s v="123 3rd Street"/>
    <x v="4"/>
    <x v="4"/>
    <n v="99999"/>
    <s v="USA"/>
    <x v="0"/>
    <x v="0"/>
    <n v="41978"/>
    <s v="Shipping Company B"/>
    <s v="Thomas Axerr"/>
    <s v="123 3rd Street"/>
    <x v="4"/>
    <s v="CA"/>
    <n v="99999"/>
    <x v="0"/>
    <s v="Cash"/>
    <x v="8"/>
    <x v="4"/>
    <n v="9.65"/>
    <n v="96"/>
    <x v="280"/>
    <n v="94.492800000000017"/>
  </r>
  <r>
    <n v="1379"/>
    <x v="140"/>
    <n v="6"/>
    <x v="6"/>
    <s v="123 6th Street"/>
    <x v="5"/>
    <x v="5"/>
    <n v="99999"/>
    <s v="USA"/>
    <x v="4"/>
    <x v="2"/>
    <n v="41981"/>
    <s v="Shipping Company B"/>
    <s v="Francisco Pérez-Olaeta"/>
    <s v="123 6th Street"/>
    <x v="5"/>
    <s v="WI"/>
    <n v="99999"/>
    <x v="0"/>
    <s v="Credit Card"/>
    <x v="9"/>
    <x v="5"/>
    <n v="40"/>
    <n v="32"/>
    <x v="11"/>
    <n v="134.4"/>
  </r>
  <r>
    <n v="1380"/>
    <x v="141"/>
    <n v="28"/>
    <x v="7"/>
    <s v="789 28th Street"/>
    <x v="6"/>
    <x v="6"/>
    <n v="99999"/>
    <s v="USA"/>
    <x v="5"/>
    <x v="3"/>
    <d v="2014-12-30T00:00:00"/>
    <s v="Shipping Company C"/>
    <s v="Amritansh Raghav"/>
    <s v="789 28th Street"/>
    <x v="6"/>
    <s v="TN"/>
    <n v="99999"/>
    <x v="0"/>
    <s v="Check"/>
    <x v="5"/>
    <x v="0"/>
    <n v="46"/>
    <n v="16"/>
    <x v="129"/>
    <n v="73.600000000000009"/>
  </r>
  <r>
    <n v="1381"/>
    <x v="137"/>
    <n v="8"/>
    <x v="3"/>
    <s v="123 8th Street"/>
    <x v="2"/>
    <x v="2"/>
    <n v="99999"/>
    <s v="USA"/>
    <x v="2"/>
    <x v="2"/>
    <d v="2014-12-10T00:00:00"/>
    <s v="Shipping Company C"/>
    <s v="Elizabeth Andersen"/>
    <s v="123 8th Street"/>
    <x v="2"/>
    <s v="OR"/>
    <n v="99999"/>
    <x v="0"/>
    <s v="Check"/>
    <x v="7"/>
    <x v="3"/>
    <n v="12.75"/>
    <n v="41"/>
    <x v="87"/>
    <n v="51.229500000000002"/>
  </r>
  <r>
    <n v="1382"/>
    <x v="142"/>
    <n v="10"/>
    <x v="8"/>
    <s v="123 10th Street"/>
    <x v="7"/>
    <x v="7"/>
    <n v="99999"/>
    <s v="USA"/>
    <x v="6"/>
    <x v="1"/>
    <d v="2014-12-12T00:00:00"/>
    <s v="Shipping Company B"/>
    <s v="Roland Wacker"/>
    <s v="123 10th Street"/>
    <x v="7"/>
    <s v="IL"/>
    <n v="99999"/>
    <x v="0"/>
    <s v="Credit Card"/>
    <x v="10"/>
    <x v="0"/>
    <n v="2.99"/>
    <n v="41"/>
    <x v="281"/>
    <n v="12.871950000000002"/>
  </r>
  <r>
    <n v="1383"/>
    <x v="143"/>
    <n v="7"/>
    <x v="9"/>
    <s v="123 7th Street"/>
    <x v="8"/>
    <x v="8"/>
    <n v="99999"/>
    <s v="USA"/>
    <x v="2"/>
    <x v="2"/>
    <m/>
    <m/>
    <s v="Ming-Yang Xie"/>
    <s v="123 7th Street"/>
    <x v="8"/>
    <s v="ID"/>
    <n v="99999"/>
    <x v="0"/>
    <m/>
    <x v="5"/>
    <x v="0"/>
    <n v="46"/>
    <n v="41"/>
    <x v="282"/>
    <n v="194.25800000000004"/>
  </r>
  <r>
    <n v="1384"/>
    <x v="142"/>
    <n v="10"/>
    <x v="8"/>
    <s v="123 10th Street"/>
    <x v="7"/>
    <x v="7"/>
    <n v="99999"/>
    <s v="USA"/>
    <x v="6"/>
    <x v="1"/>
    <d v="2014-12-12T00:00:00"/>
    <s v="Shipping Company A"/>
    <s v="Roland Wacker"/>
    <s v="123 10th Street"/>
    <x v="7"/>
    <s v="IL"/>
    <n v="99999"/>
    <x v="0"/>
    <m/>
    <x v="11"/>
    <x v="6"/>
    <n v="25"/>
    <n v="94"/>
    <x v="283"/>
    <n v="235"/>
  </r>
  <r>
    <n v="1385"/>
    <x v="142"/>
    <n v="10"/>
    <x v="8"/>
    <s v="123 10th Street"/>
    <x v="7"/>
    <x v="7"/>
    <n v="99999"/>
    <s v="USA"/>
    <x v="6"/>
    <x v="1"/>
    <d v="2014-12-12T00:00:00"/>
    <s v="Shipping Company A"/>
    <s v="Roland Wacker"/>
    <s v="123 10th Street"/>
    <x v="7"/>
    <s v="IL"/>
    <n v="99999"/>
    <x v="0"/>
    <m/>
    <x v="12"/>
    <x v="7"/>
    <n v="22"/>
    <n v="20"/>
    <x v="284"/>
    <n v="46.2"/>
  </r>
  <r>
    <n v="1386"/>
    <x v="142"/>
    <n v="10"/>
    <x v="8"/>
    <s v="123 10th Street"/>
    <x v="7"/>
    <x v="7"/>
    <n v="99999"/>
    <s v="USA"/>
    <x v="6"/>
    <x v="1"/>
    <n v="41985"/>
    <s v="Shipping Company A"/>
    <s v="Roland Wacker"/>
    <s v="123 10th Street"/>
    <x v="7"/>
    <s v="IL"/>
    <n v="99999"/>
    <x v="0"/>
    <m/>
    <x v="6"/>
    <x v="2"/>
    <n v="9.1999999999999993"/>
    <n v="13"/>
    <x v="285"/>
    <n v="12.438400000000001"/>
  </r>
  <r>
    <n v="1387"/>
    <x v="144"/>
    <n v="11"/>
    <x v="10"/>
    <s v="123 11th Street"/>
    <x v="9"/>
    <x v="9"/>
    <n v="99999"/>
    <s v="USA"/>
    <x v="5"/>
    <x v="3"/>
    <m/>
    <s v="Shipping Company C"/>
    <s v="Peter Krschne"/>
    <s v="123 11th Street"/>
    <x v="9"/>
    <s v="FL"/>
    <n v="99999"/>
    <x v="0"/>
    <m/>
    <x v="1"/>
    <x v="1"/>
    <n v="3.5"/>
    <n v="74"/>
    <x v="58"/>
    <n v="26.936000000000003"/>
  </r>
  <r>
    <n v="1388"/>
    <x v="144"/>
    <n v="11"/>
    <x v="10"/>
    <s v="123 11th Street"/>
    <x v="9"/>
    <x v="9"/>
    <n v="99999"/>
    <s v="USA"/>
    <x v="5"/>
    <x v="3"/>
    <m/>
    <s v="Shipping Company C"/>
    <s v="Peter Krschne"/>
    <s v="123 11th Street"/>
    <x v="9"/>
    <s v="FL"/>
    <n v="99999"/>
    <x v="0"/>
    <m/>
    <x v="10"/>
    <x v="0"/>
    <n v="2.99"/>
    <n v="53"/>
    <x v="286"/>
    <n v="16.005470000000003"/>
  </r>
  <r>
    <n v="1389"/>
    <x v="145"/>
    <n v="1"/>
    <x v="11"/>
    <s v="123 1st Street"/>
    <x v="10"/>
    <x v="10"/>
    <n v="99999"/>
    <s v="USA"/>
    <x v="2"/>
    <x v="2"/>
    <m/>
    <m/>
    <s v="Anna Bedecs"/>
    <s v="123 1st Street"/>
    <x v="10"/>
    <s v="WA"/>
    <n v="99999"/>
    <x v="0"/>
    <m/>
    <x v="4"/>
    <x v="0"/>
    <n v="18"/>
    <n v="99"/>
    <x v="287"/>
    <n v="174.63600000000002"/>
  </r>
  <r>
    <n v="1390"/>
    <x v="145"/>
    <n v="1"/>
    <x v="11"/>
    <s v="123 1st Street"/>
    <x v="10"/>
    <x v="10"/>
    <n v="99999"/>
    <s v="USA"/>
    <x v="2"/>
    <x v="2"/>
    <m/>
    <m/>
    <s v="Anna Bedecs"/>
    <s v="123 1st Street"/>
    <x v="10"/>
    <s v="WA"/>
    <n v="99999"/>
    <x v="0"/>
    <m/>
    <x v="5"/>
    <x v="0"/>
    <n v="46"/>
    <n v="89"/>
    <x v="288"/>
    <n v="388.93"/>
  </r>
  <r>
    <n v="1391"/>
    <x v="145"/>
    <n v="1"/>
    <x v="11"/>
    <s v="123 1st Street"/>
    <x v="10"/>
    <x v="10"/>
    <n v="99999"/>
    <s v="USA"/>
    <x v="2"/>
    <x v="2"/>
    <m/>
    <m/>
    <s v="Anna Bedecs"/>
    <s v="123 1st Street"/>
    <x v="10"/>
    <s v="WA"/>
    <n v="99999"/>
    <x v="0"/>
    <m/>
    <x v="10"/>
    <x v="0"/>
    <n v="2.99"/>
    <n v="64"/>
    <x v="200"/>
    <n v="19.518720000000002"/>
  </r>
  <r>
    <n v="1392"/>
    <x v="141"/>
    <n v="28"/>
    <x v="7"/>
    <s v="789 28th Street"/>
    <x v="6"/>
    <x v="6"/>
    <n v="99999"/>
    <s v="USA"/>
    <x v="5"/>
    <x v="3"/>
    <d v="2014-12-30T00:00:00"/>
    <s v="Shipping Company C"/>
    <s v="Amritansh Raghav"/>
    <s v="789 28th Street"/>
    <x v="6"/>
    <s v="TN"/>
    <n v="99999"/>
    <x v="0"/>
    <s v="Credit Card"/>
    <x v="8"/>
    <x v="4"/>
    <n v="9.65"/>
    <n v="98"/>
    <x v="289"/>
    <n v="96.461400000000012"/>
  </r>
  <r>
    <n v="1393"/>
    <x v="141"/>
    <n v="28"/>
    <x v="7"/>
    <s v="789 28th Street"/>
    <x v="6"/>
    <x v="6"/>
    <n v="99999"/>
    <s v="USA"/>
    <x v="5"/>
    <x v="3"/>
    <d v="2014-12-30T00:00:00"/>
    <s v="Shipping Company C"/>
    <s v="Amritansh Raghav"/>
    <s v="789 28th Street"/>
    <x v="6"/>
    <s v="TN"/>
    <n v="99999"/>
    <x v="0"/>
    <s v="Credit Card"/>
    <x v="13"/>
    <x v="8"/>
    <n v="18.399999999999999"/>
    <n v="86"/>
    <x v="290"/>
    <n v="155.0752"/>
  </r>
  <r>
    <n v="1394"/>
    <x v="146"/>
    <n v="9"/>
    <x v="12"/>
    <s v="123 9th Street"/>
    <x v="11"/>
    <x v="11"/>
    <n v="99999"/>
    <s v="USA"/>
    <x v="7"/>
    <x v="0"/>
    <d v="2014-12-11T00:00:00"/>
    <s v="Shipping Company A"/>
    <s v="Sven Mortensen"/>
    <s v="123 9th Street"/>
    <x v="11"/>
    <s v="UT"/>
    <n v="99999"/>
    <x v="0"/>
    <s v="Check"/>
    <x v="14"/>
    <x v="9"/>
    <n v="19.5"/>
    <n v="20"/>
    <x v="291"/>
    <n v="40.950000000000003"/>
  </r>
  <r>
    <n v="1395"/>
    <x v="146"/>
    <n v="9"/>
    <x v="12"/>
    <s v="123 9th Street"/>
    <x v="11"/>
    <x v="11"/>
    <n v="99999"/>
    <s v="USA"/>
    <x v="7"/>
    <x v="0"/>
    <d v="2014-12-11T00:00:00"/>
    <s v="Shipping Company A"/>
    <s v="Sven Mortensen"/>
    <s v="123 9th Street"/>
    <x v="11"/>
    <s v="UT"/>
    <n v="99999"/>
    <x v="0"/>
    <s v="Check"/>
    <x v="15"/>
    <x v="10"/>
    <n v="34.799999999999997"/>
    <n v="69"/>
    <x v="292"/>
    <n v="240.12"/>
  </r>
  <r>
    <n v="1396"/>
    <x v="140"/>
    <n v="6"/>
    <x v="6"/>
    <s v="123 6th Street"/>
    <x v="5"/>
    <x v="5"/>
    <n v="99999"/>
    <s v="USA"/>
    <x v="4"/>
    <x v="2"/>
    <d v="2014-12-08T00:00:00"/>
    <s v="Shipping Company B"/>
    <s v="Francisco Pérez-Olaeta"/>
    <s v="123 6th Street"/>
    <x v="5"/>
    <s v="WI"/>
    <n v="99999"/>
    <x v="0"/>
    <s v="Credit Card"/>
    <x v="0"/>
    <x v="0"/>
    <n v="14"/>
    <n v="68"/>
    <x v="293"/>
    <n v="91.391999999999996"/>
  </r>
  <r>
    <n v="1397"/>
    <x v="137"/>
    <n v="8"/>
    <x v="3"/>
    <s v="123 8th Street"/>
    <x v="2"/>
    <x v="2"/>
    <n v="99999"/>
    <s v="USA"/>
    <x v="2"/>
    <x v="2"/>
    <d v="2014-12-10T00:00:00"/>
    <s v="Shipping Company B"/>
    <s v="Elizabeth Andersen"/>
    <s v="123 8th Street"/>
    <x v="2"/>
    <s v="OR"/>
    <n v="99999"/>
    <x v="0"/>
    <s v="Check"/>
    <x v="9"/>
    <x v="5"/>
    <n v="40"/>
    <n v="52"/>
    <x v="294"/>
    <n v="203.84"/>
  </r>
  <r>
    <n v="1398"/>
    <x v="137"/>
    <n v="8"/>
    <x v="3"/>
    <s v="123 8th Street"/>
    <x v="2"/>
    <x v="2"/>
    <n v="99999"/>
    <s v="USA"/>
    <x v="2"/>
    <x v="2"/>
    <d v="2014-12-10T00:00:00"/>
    <s v="Shipping Company B"/>
    <s v="Elizabeth Andersen"/>
    <s v="123 8th Street"/>
    <x v="2"/>
    <s v="OR"/>
    <n v="99999"/>
    <x v="0"/>
    <s v="Check"/>
    <x v="6"/>
    <x v="2"/>
    <n v="9.1999999999999993"/>
    <n v="40"/>
    <x v="295"/>
    <n v="38.640000000000008"/>
  </r>
  <r>
    <n v="1399"/>
    <x v="147"/>
    <n v="25"/>
    <x v="13"/>
    <s v="789 25th Street"/>
    <x v="7"/>
    <x v="7"/>
    <n v="99999"/>
    <s v="USA"/>
    <x v="6"/>
    <x v="1"/>
    <d v="2014-12-27T00:00:00"/>
    <s v="Shipping Company A"/>
    <s v="John Rodman"/>
    <s v="789 25th Street"/>
    <x v="7"/>
    <s v="IL"/>
    <n v="99999"/>
    <x v="0"/>
    <s v="Cash"/>
    <x v="21"/>
    <x v="2"/>
    <n v="10"/>
    <n v="100"/>
    <x v="116"/>
    <n v="98"/>
  </r>
  <r>
    <n v="1400"/>
    <x v="148"/>
    <n v="26"/>
    <x v="14"/>
    <s v="789 26th Street"/>
    <x v="9"/>
    <x v="9"/>
    <n v="99999"/>
    <s v="USA"/>
    <x v="5"/>
    <x v="3"/>
    <d v="2014-12-28T00:00:00"/>
    <s v="Shipping Company C"/>
    <s v="Run Liu"/>
    <s v="789 26th Street"/>
    <x v="9"/>
    <s v="FL"/>
    <n v="99999"/>
    <x v="0"/>
    <s v="Credit Card"/>
    <x v="22"/>
    <x v="13"/>
    <n v="21.35"/>
    <n v="88"/>
    <x v="296"/>
    <n v="184.12240000000003"/>
  </r>
  <r>
    <n v="1401"/>
    <x v="148"/>
    <n v="26"/>
    <x v="14"/>
    <s v="789 26th Street"/>
    <x v="9"/>
    <x v="9"/>
    <n v="99999"/>
    <s v="USA"/>
    <x v="5"/>
    <x v="3"/>
    <d v="2014-12-28T00:00:00"/>
    <s v="Shipping Company C"/>
    <s v="Run Liu"/>
    <s v="789 26th Street"/>
    <x v="9"/>
    <s v="FL"/>
    <n v="99999"/>
    <x v="0"/>
    <s v="Credit Card"/>
    <x v="8"/>
    <x v="4"/>
    <n v="9.65"/>
    <n v="46"/>
    <x v="256"/>
    <n v="42.614400000000003"/>
  </r>
  <r>
    <n v="1402"/>
    <x v="148"/>
    <n v="26"/>
    <x v="14"/>
    <s v="789 26th Street"/>
    <x v="9"/>
    <x v="9"/>
    <n v="99999"/>
    <s v="USA"/>
    <x v="5"/>
    <x v="3"/>
    <d v="2014-12-28T00:00:00"/>
    <s v="Shipping Company C"/>
    <s v="Run Liu"/>
    <s v="789 26th Street"/>
    <x v="9"/>
    <s v="FL"/>
    <n v="99999"/>
    <x v="0"/>
    <s v="Credit Card"/>
    <x v="13"/>
    <x v="8"/>
    <n v="18.399999999999999"/>
    <n v="93"/>
    <x v="297"/>
    <n v="167.69759999999999"/>
  </r>
  <r>
    <n v="1403"/>
    <x v="138"/>
    <n v="29"/>
    <x v="4"/>
    <s v="789 29th Street"/>
    <x v="3"/>
    <x v="3"/>
    <n v="99999"/>
    <s v="USA"/>
    <x v="3"/>
    <x v="0"/>
    <d v="2014-12-31T00:00:00"/>
    <s v="Shipping Company B"/>
    <s v="Soo Jung Lee"/>
    <s v="789 29th Street"/>
    <x v="3"/>
    <s v="CO"/>
    <n v="99999"/>
    <x v="0"/>
    <s v="Check"/>
    <x v="0"/>
    <x v="0"/>
    <n v="14"/>
    <n v="96"/>
    <x v="298"/>
    <n v="141.12"/>
  </r>
  <r>
    <n v="1404"/>
    <x v="140"/>
    <n v="6"/>
    <x v="6"/>
    <s v="123 6th Street"/>
    <x v="5"/>
    <x v="5"/>
    <n v="99999"/>
    <s v="USA"/>
    <x v="4"/>
    <x v="2"/>
    <d v="2014-12-08T00:00:00"/>
    <s v="Shipping Company C"/>
    <s v="Francisco Pérez-Olaeta"/>
    <s v="123 6th Street"/>
    <x v="5"/>
    <s v="WI"/>
    <n v="99999"/>
    <x v="0"/>
    <s v="Check"/>
    <x v="7"/>
    <x v="3"/>
    <n v="12.75"/>
    <n v="12"/>
    <x v="299"/>
    <n v="16.065000000000001"/>
  </r>
  <r>
    <n v="1406"/>
    <x v="135"/>
    <n v="4"/>
    <x v="1"/>
    <s v="123 4th Street"/>
    <x v="1"/>
    <x v="1"/>
    <n v="99999"/>
    <s v="USA"/>
    <x v="1"/>
    <x v="1"/>
    <d v="2014-12-06T00:00:00"/>
    <s v="Shipping Company A"/>
    <s v="Christina Lee"/>
    <s v="123 4th Street"/>
    <x v="1"/>
    <s v="NY"/>
    <n v="99999"/>
    <x v="0"/>
    <s v="Credit Card"/>
    <x v="23"/>
    <x v="6"/>
    <n v="81"/>
    <n v="38"/>
    <x v="300"/>
    <n v="292.41000000000003"/>
  </r>
  <r>
    <n v="1407"/>
    <x v="135"/>
    <n v="4"/>
    <x v="1"/>
    <s v="123 4th Street"/>
    <x v="1"/>
    <x v="1"/>
    <n v="99999"/>
    <s v="USA"/>
    <x v="1"/>
    <x v="1"/>
    <d v="2014-12-06T00:00:00"/>
    <s v="Shipping Company A"/>
    <s v="Christina Lee"/>
    <s v="123 4th Street"/>
    <x v="1"/>
    <s v="NY"/>
    <n v="99999"/>
    <x v="0"/>
    <s v="Credit Card"/>
    <x v="24"/>
    <x v="14"/>
    <n v="7"/>
    <n v="42"/>
    <x v="108"/>
    <n v="29.106000000000002"/>
  </r>
  <r>
    <n v="1409"/>
    <x v="137"/>
    <n v="8"/>
    <x v="3"/>
    <s v="123 8th Street"/>
    <x v="2"/>
    <x v="2"/>
    <n v="99999"/>
    <s v="USA"/>
    <x v="2"/>
    <x v="2"/>
    <d v="2014-12-10T00:00:00"/>
    <s v="Shipping Company C"/>
    <s v="Elizabeth Andersen"/>
    <s v="123 8th Street"/>
    <x v="2"/>
    <s v="OR"/>
    <n v="99999"/>
    <x v="0"/>
    <s v="Credit Card"/>
    <x v="15"/>
    <x v="10"/>
    <n v="34.799999999999997"/>
    <n v="100"/>
    <x v="301"/>
    <n v="344.52"/>
  </r>
  <r>
    <n v="1412"/>
    <x v="139"/>
    <n v="3"/>
    <x v="5"/>
    <s v="123 3rd Street"/>
    <x v="4"/>
    <x v="4"/>
    <n v="99999"/>
    <s v="USA"/>
    <x v="0"/>
    <x v="0"/>
    <d v="2014-12-05T00:00:00"/>
    <s v="Shipping Company B"/>
    <s v="Thomas Axerr"/>
    <s v="123 3rd Street"/>
    <x v="4"/>
    <s v="CA"/>
    <n v="99999"/>
    <x v="0"/>
    <s v="Cash"/>
    <x v="16"/>
    <x v="7"/>
    <n v="10"/>
    <n v="89"/>
    <x v="302"/>
    <n v="87.22"/>
  </r>
  <r>
    <n v="1413"/>
    <x v="139"/>
    <n v="3"/>
    <x v="5"/>
    <s v="123 3rd Street"/>
    <x v="4"/>
    <x v="4"/>
    <n v="99999"/>
    <s v="USA"/>
    <x v="0"/>
    <x v="0"/>
    <d v="2014-12-05T00:00:00"/>
    <s v="Shipping Company B"/>
    <s v="Thomas Axerr"/>
    <s v="123 3rd Street"/>
    <x v="4"/>
    <s v="CA"/>
    <n v="99999"/>
    <x v="0"/>
    <s v="Cash"/>
    <x v="9"/>
    <x v="5"/>
    <n v="40"/>
    <n v="12"/>
    <x v="60"/>
    <n v="46.56"/>
  </r>
  <r>
    <n v="1417"/>
    <x v="142"/>
    <n v="10"/>
    <x v="8"/>
    <s v="123 10th Street"/>
    <x v="7"/>
    <x v="7"/>
    <n v="99999"/>
    <s v="USA"/>
    <x v="6"/>
    <x v="1"/>
    <d v="2014-12-12T00:00:00"/>
    <s v="Shipping Company B"/>
    <s v="Roland Wacker"/>
    <s v="123 10th Street"/>
    <x v="7"/>
    <s v="IL"/>
    <n v="99999"/>
    <x v="0"/>
    <s v="Credit Card"/>
    <x v="18"/>
    <x v="1"/>
    <n v="10"/>
    <n v="97"/>
    <x v="303"/>
    <n v="100.88000000000001"/>
  </r>
  <r>
    <n v="1419"/>
    <x v="142"/>
    <n v="10"/>
    <x v="8"/>
    <s v="123 10th Street"/>
    <x v="7"/>
    <x v="7"/>
    <n v="99999"/>
    <s v="USA"/>
    <x v="6"/>
    <x v="1"/>
    <m/>
    <s v="Shipping Company A"/>
    <s v="Roland Wacker"/>
    <s v="123 10th Street"/>
    <x v="7"/>
    <s v="IL"/>
    <n v="99999"/>
    <x v="0"/>
    <m/>
    <x v="1"/>
    <x v="1"/>
    <n v="3.5"/>
    <n v="53"/>
    <x v="304"/>
    <n v="17.622499999999999"/>
  </r>
  <r>
    <n v="1420"/>
    <x v="144"/>
    <n v="11"/>
    <x v="10"/>
    <s v="123 11th Street"/>
    <x v="9"/>
    <x v="9"/>
    <n v="99999"/>
    <s v="USA"/>
    <x v="5"/>
    <x v="3"/>
    <m/>
    <s v="Shipping Company C"/>
    <s v="Peter Krschne"/>
    <s v="123 11th Street"/>
    <x v="9"/>
    <s v="FL"/>
    <n v="99999"/>
    <x v="0"/>
    <m/>
    <x v="9"/>
    <x v="5"/>
    <n v="40"/>
    <n v="61"/>
    <x v="305"/>
    <n v="248.88"/>
  </r>
  <r>
    <n v="1421"/>
    <x v="145"/>
    <n v="1"/>
    <x v="11"/>
    <s v="123 1st Street"/>
    <x v="10"/>
    <x v="10"/>
    <n v="99999"/>
    <s v="USA"/>
    <x v="2"/>
    <x v="2"/>
    <m/>
    <s v="Shipping Company C"/>
    <s v="Anna Bedecs"/>
    <s v="123 1st Street"/>
    <x v="10"/>
    <s v="WA"/>
    <n v="99999"/>
    <x v="0"/>
    <m/>
    <x v="13"/>
    <x v="8"/>
    <n v="18.399999999999999"/>
    <n v="45"/>
    <x v="306"/>
    <n v="81.143999999999991"/>
  </r>
  <r>
    <n v="1422"/>
    <x v="141"/>
    <n v="28"/>
    <x v="7"/>
    <s v="789 28th Street"/>
    <x v="6"/>
    <x v="6"/>
    <n v="99999"/>
    <s v="USA"/>
    <x v="5"/>
    <x v="3"/>
    <d v="2014-12-30T00:00:00"/>
    <s v="Shipping Company C"/>
    <s v="Amritansh Raghav"/>
    <s v="789 28th Street"/>
    <x v="6"/>
    <s v="TN"/>
    <n v="99999"/>
    <x v="0"/>
    <s v="Credit Card"/>
    <x v="5"/>
    <x v="0"/>
    <n v="46"/>
    <n v="43"/>
    <x v="307"/>
    <n v="197.8"/>
  </r>
  <r>
    <n v="1423"/>
    <x v="146"/>
    <n v="9"/>
    <x v="12"/>
    <s v="123 9th Street"/>
    <x v="11"/>
    <x v="11"/>
    <n v="99999"/>
    <s v="USA"/>
    <x v="7"/>
    <x v="0"/>
    <d v="2014-12-11T00:00:00"/>
    <s v="Shipping Company A"/>
    <s v="Sven Mortensen"/>
    <s v="123 9th Street"/>
    <x v="11"/>
    <s v="UT"/>
    <n v="99999"/>
    <x v="0"/>
    <s v="Check"/>
    <x v="8"/>
    <x v="4"/>
    <n v="9.65"/>
    <n v="18"/>
    <x v="308"/>
    <n v="16.5015"/>
  </r>
  <r>
    <n v="1424"/>
    <x v="140"/>
    <n v="6"/>
    <x v="6"/>
    <s v="123 6th Street"/>
    <x v="5"/>
    <x v="5"/>
    <n v="99999"/>
    <s v="USA"/>
    <x v="4"/>
    <x v="2"/>
    <d v="2014-12-08T00:00:00"/>
    <s v="Shipping Company B"/>
    <s v="Francisco Pérez-Olaeta"/>
    <s v="123 6th Street"/>
    <x v="5"/>
    <s v="WI"/>
    <n v="99999"/>
    <x v="0"/>
    <s v="Credit Card"/>
    <x v="7"/>
    <x v="3"/>
    <n v="12.75"/>
    <n v="41"/>
    <x v="87"/>
    <n v="50.706750000000007"/>
  </r>
  <r>
    <n v="1425"/>
    <x v="137"/>
    <n v="8"/>
    <x v="3"/>
    <s v="123 8th Street"/>
    <x v="2"/>
    <x v="2"/>
    <n v="99999"/>
    <s v="USA"/>
    <x v="2"/>
    <x v="2"/>
    <n v="41983"/>
    <s v="Shipping Company B"/>
    <s v="Elizabeth Andersen"/>
    <s v="123 8th Street"/>
    <x v="2"/>
    <s v="OR"/>
    <n v="99999"/>
    <x v="0"/>
    <s v="Check"/>
    <x v="7"/>
    <x v="3"/>
    <n v="12.75"/>
    <n v="19"/>
    <x v="109"/>
    <n v="23.982750000000003"/>
  </r>
  <r>
    <n v="1426"/>
    <x v="147"/>
    <n v="25"/>
    <x v="13"/>
    <s v="789 25th Street"/>
    <x v="7"/>
    <x v="7"/>
    <n v="99999"/>
    <s v="USA"/>
    <x v="6"/>
    <x v="1"/>
    <n v="42000"/>
    <s v="Shipping Company A"/>
    <s v="John Rodman"/>
    <s v="789 25th Street"/>
    <x v="7"/>
    <s v="IL"/>
    <n v="99999"/>
    <x v="0"/>
    <s v="Cash"/>
    <x v="12"/>
    <x v="7"/>
    <n v="22"/>
    <n v="65"/>
    <x v="309"/>
    <n v="138.71"/>
  </r>
  <r>
    <n v="1427"/>
    <x v="148"/>
    <n v="26"/>
    <x v="14"/>
    <s v="789 26th Street"/>
    <x v="9"/>
    <x v="9"/>
    <n v="99999"/>
    <s v="USA"/>
    <x v="5"/>
    <x v="3"/>
    <n v="42001"/>
    <s v="Shipping Company C"/>
    <s v="Run Liu"/>
    <s v="789 26th Street"/>
    <x v="9"/>
    <s v="FL"/>
    <n v="99999"/>
    <x v="0"/>
    <s v="Credit Card"/>
    <x v="11"/>
    <x v="6"/>
    <n v="25"/>
    <n v="13"/>
    <x v="310"/>
    <n v="32.174999999999997"/>
  </r>
  <r>
    <n v="1428"/>
    <x v="138"/>
    <n v="29"/>
    <x v="4"/>
    <s v="789 29th Street"/>
    <x v="3"/>
    <x v="3"/>
    <n v="99999"/>
    <s v="USA"/>
    <x v="3"/>
    <x v="0"/>
    <n v="42004"/>
    <s v="Shipping Company B"/>
    <s v="Soo Jung Lee"/>
    <s v="789 29th Street"/>
    <x v="3"/>
    <s v="CO"/>
    <n v="99999"/>
    <x v="0"/>
    <s v="Check"/>
    <x v="19"/>
    <x v="12"/>
    <n v="39"/>
    <n v="54"/>
    <x v="311"/>
    <n v="214.81200000000004"/>
  </r>
  <r>
    <n v="1429"/>
    <x v="140"/>
    <n v="6"/>
    <x v="6"/>
    <s v="123 6th Street"/>
    <x v="5"/>
    <x v="5"/>
    <n v="99999"/>
    <s v="USA"/>
    <x v="4"/>
    <x v="2"/>
    <d v="2014-12-08T00:00:00"/>
    <s v="Shipping Company C"/>
    <s v="Francisco Pérez-Olaeta"/>
    <s v="123 6th Street"/>
    <x v="5"/>
    <s v="WI"/>
    <n v="99999"/>
    <x v="0"/>
    <s v="Check"/>
    <x v="2"/>
    <x v="1"/>
    <n v="30"/>
    <n v="33"/>
    <x v="82"/>
    <n v="95.039999999999992"/>
  </r>
  <r>
    <n v="1430"/>
    <x v="140"/>
    <n v="6"/>
    <x v="6"/>
    <s v="123 6th Street"/>
    <x v="5"/>
    <x v="5"/>
    <n v="99999"/>
    <s v="USA"/>
    <x v="4"/>
    <x v="2"/>
    <d v="2014-12-08T00:00:00"/>
    <s v="Shipping Company C"/>
    <s v="Francisco Pérez-Olaeta"/>
    <s v="123 6th Street"/>
    <x v="5"/>
    <s v="WI"/>
    <n v="99999"/>
    <x v="0"/>
    <s v="Check"/>
    <x v="3"/>
    <x v="1"/>
    <n v="53"/>
    <n v="34"/>
    <x v="312"/>
    <n v="185.60600000000002"/>
  </r>
  <r>
    <n v="1431"/>
    <x v="135"/>
    <n v="4"/>
    <x v="1"/>
    <s v="123 4th Street"/>
    <x v="1"/>
    <x v="1"/>
    <n v="99999"/>
    <s v="USA"/>
    <x v="1"/>
    <x v="1"/>
    <m/>
    <m/>
    <s v="Christina Lee"/>
    <s v="123 4th Street"/>
    <x v="1"/>
    <s v="NY"/>
    <n v="99999"/>
    <x v="0"/>
    <m/>
    <x v="20"/>
    <x v="9"/>
    <n v="38"/>
    <n v="59"/>
    <x v="313"/>
    <n v="226.44200000000001"/>
  </r>
  <r>
    <n v="1432"/>
    <x v="139"/>
    <n v="3"/>
    <x v="5"/>
    <s v="123 3rd Street"/>
    <x v="4"/>
    <x v="4"/>
    <n v="99999"/>
    <s v="USA"/>
    <x v="0"/>
    <x v="0"/>
    <m/>
    <m/>
    <s v="Thomas Axerr"/>
    <s v="123 3rd Street"/>
    <x v="4"/>
    <s v="CA"/>
    <n v="99999"/>
    <x v="0"/>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3">
  <location ref="A3:B12"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9">
    <i>
      <x v="6"/>
    </i>
    <i>
      <x v="1"/>
    </i>
    <i>
      <x/>
    </i>
    <i>
      <x v="4"/>
    </i>
    <i>
      <x v="3"/>
    </i>
    <i>
      <x v="5"/>
    </i>
    <i>
      <x v="7"/>
    </i>
    <i>
      <x v="2"/>
    </i>
    <i t="grand">
      <x/>
    </i>
  </rowItems>
  <colItems count="1">
    <i/>
  </colItems>
  <dataFields count="1">
    <dataField name="Sum of Revenue" fld="24" baseField="0" baseItem="0" numFmtId="165"/>
  </dataFields>
  <formats count="1">
    <format dxfId="14">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9" count="1" selected="0">
            <x v="6"/>
          </reference>
        </references>
      </pivotArea>
    </chartFormat>
    <chartFormat chart="5" format="20">
      <pivotArea type="data" outline="0" fieldPosition="0">
        <references count="2">
          <reference field="4294967294" count="1" selected="0">
            <x v="0"/>
          </reference>
          <reference field="9" count="1" selected="0">
            <x v="1"/>
          </reference>
        </references>
      </pivotArea>
    </chartFormat>
    <chartFormat chart="5" format="21">
      <pivotArea type="data" outline="0" fieldPosition="0">
        <references count="2">
          <reference field="4294967294" count="1" selected="0">
            <x v="0"/>
          </reference>
          <reference field="9" count="1" selected="0">
            <x v="0"/>
          </reference>
        </references>
      </pivotArea>
    </chartFormat>
    <chartFormat chart="5" format="22">
      <pivotArea type="data" outline="0" fieldPosition="0">
        <references count="2">
          <reference field="4294967294" count="1" selected="0">
            <x v="0"/>
          </reference>
          <reference field="9" count="1" selected="0">
            <x v="4"/>
          </reference>
        </references>
      </pivotArea>
    </chartFormat>
    <chartFormat chart="5" format="23">
      <pivotArea type="data" outline="0" fieldPosition="0">
        <references count="2">
          <reference field="4294967294" count="1" selected="0">
            <x v="0"/>
          </reference>
          <reference field="9" count="1" selected="0">
            <x v="3"/>
          </reference>
        </references>
      </pivotArea>
    </chartFormat>
    <chartFormat chart="5" format="24">
      <pivotArea type="data" outline="0" fieldPosition="0">
        <references count="2">
          <reference field="4294967294" count="1" selected="0">
            <x v="0"/>
          </reference>
          <reference field="9" count="1" selected="0">
            <x v="5"/>
          </reference>
        </references>
      </pivotArea>
    </chartFormat>
    <chartFormat chart="5" format="25">
      <pivotArea type="data" outline="0" fieldPosition="0">
        <references count="2">
          <reference field="4294967294" count="1" selected="0">
            <x v="0"/>
          </reference>
          <reference field="9" count="1" selected="0">
            <x v="7"/>
          </reference>
        </references>
      </pivotArea>
    </chartFormat>
    <chartFormat chart="5" format="26">
      <pivotArea type="data" outline="0" fieldPosition="0">
        <references count="2">
          <reference field="4294967294" count="1" selected="0">
            <x v="0"/>
          </reference>
          <reference field="9"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9" count="1" selected="0">
            <x v="6"/>
          </reference>
        </references>
      </pivotArea>
    </chartFormat>
    <chartFormat chart="8" format="20">
      <pivotArea type="data" outline="0" fieldPosition="0">
        <references count="2">
          <reference field="4294967294" count="1" selected="0">
            <x v="0"/>
          </reference>
          <reference field="9" count="1" selected="0">
            <x v="1"/>
          </reference>
        </references>
      </pivotArea>
    </chartFormat>
    <chartFormat chart="8" format="21">
      <pivotArea type="data" outline="0" fieldPosition="0">
        <references count="2">
          <reference field="4294967294" count="1" selected="0">
            <x v="0"/>
          </reference>
          <reference field="9" count="1" selected="0">
            <x v="0"/>
          </reference>
        </references>
      </pivotArea>
    </chartFormat>
    <chartFormat chart="8" format="22">
      <pivotArea type="data" outline="0" fieldPosition="0">
        <references count="2">
          <reference field="4294967294" count="1" selected="0">
            <x v="0"/>
          </reference>
          <reference field="9" count="1" selected="0">
            <x v="4"/>
          </reference>
        </references>
      </pivotArea>
    </chartFormat>
    <chartFormat chart="8" format="23">
      <pivotArea type="data" outline="0" fieldPosition="0">
        <references count="2">
          <reference field="4294967294" count="1" selected="0">
            <x v="0"/>
          </reference>
          <reference field="9" count="1" selected="0">
            <x v="3"/>
          </reference>
        </references>
      </pivotArea>
    </chartFormat>
    <chartFormat chart="8" format="24">
      <pivotArea type="data" outline="0" fieldPosition="0">
        <references count="2">
          <reference field="4294967294" count="1" selected="0">
            <x v="0"/>
          </reference>
          <reference field="9" count="1" selected="0">
            <x v="5"/>
          </reference>
        </references>
      </pivotArea>
    </chartFormat>
    <chartFormat chart="8" format="25">
      <pivotArea type="data" outline="0" fieldPosition="0">
        <references count="2">
          <reference field="4294967294" count="1" selected="0">
            <x v="0"/>
          </reference>
          <reference field="9" count="1" selected="0">
            <x v="7"/>
          </reference>
        </references>
      </pivotArea>
    </chartFormat>
    <chartFormat chart="8" format="2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79EA5-BBD5-4335-81C6-2000EB8E2864}"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4">
    <i>
      <x v="6"/>
    </i>
    <i>
      <x v="1"/>
    </i>
    <i>
      <x/>
    </i>
    <i t="grand">
      <x/>
    </i>
  </rowItems>
  <colItems count="1">
    <i/>
  </colItems>
  <dataFields count="1">
    <dataField name="Sum of Revenue" fld="24" baseField="0" baseItem="0" numFmtId="165"/>
  </dataFields>
  <formats count="1">
    <format dxfId="13">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9" count="1" selected="0">
            <x v="6"/>
          </reference>
        </references>
      </pivotArea>
    </chartFormat>
    <chartFormat chart="5" format="20">
      <pivotArea type="data" outline="0" fieldPosition="0">
        <references count="2">
          <reference field="4294967294" count="1" selected="0">
            <x v="0"/>
          </reference>
          <reference field="9" count="1" selected="0">
            <x v="1"/>
          </reference>
        </references>
      </pivotArea>
    </chartFormat>
    <chartFormat chart="5" format="21">
      <pivotArea type="data" outline="0" fieldPosition="0">
        <references count="2">
          <reference field="4294967294" count="1" selected="0">
            <x v="0"/>
          </reference>
          <reference field="9" count="1" selected="0">
            <x v="0"/>
          </reference>
        </references>
      </pivotArea>
    </chartFormat>
    <chartFormat chart="5" format="22">
      <pivotArea type="data" outline="0" fieldPosition="0">
        <references count="2">
          <reference field="4294967294" count="1" selected="0">
            <x v="0"/>
          </reference>
          <reference field="9" count="1" selected="0">
            <x v="4"/>
          </reference>
        </references>
      </pivotArea>
    </chartFormat>
    <chartFormat chart="5" format="23">
      <pivotArea type="data" outline="0" fieldPosition="0">
        <references count="2">
          <reference field="4294967294" count="1" selected="0">
            <x v="0"/>
          </reference>
          <reference field="9" count="1" selected="0">
            <x v="3"/>
          </reference>
        </references>
      </pivotArea>
    </chartFormat>
    <chartFormat chart="5" format="24">
      <pivotArea type="data" outline="0" fieldPosition="0">
        <references count="2">
          <reference field="4294967294" count="1" selected="0">
            <x v="0"/>
          </reference>
          <reference field="9" count="1" selected="0">
            <x v="5"/>
          </reference>
        </references>
      </pivotArea>
    </chartFormat>
    <chartFormat chart="5" format="25">
      <pivotArea type="data" outline="0" fieldPosition="0">
        <references count="2">
          <reference field="4294967294" count="1" selected="0">
            <x v="0"/>
          </reference>
          <reference field="9" count="1" selected="0">
            <x v="7"/>
          </reference>
        </references>
      </pivotArea>
    </chartFormat>
    <chartFormat chart="5" format="26">
      <pivotArea type="data" outline="0" fieldPosition="0">
        <references count="2">
          <reference field="4294967294" count="1" selected="0">
            <x v="0"/>
          </reference>
          <reference field="9"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9" count="1" selected="0">
            <x v="6"/>
          </reference>
        </references>
      </pivotArea>
    </chartFormat>
    <chartFormat chart="8" format="20">
      <pivotArea type="data" outline="0" fieldPosition="0">
        <references count="2">
          <reference field="4294967294" count="1" selected="0">
            <x v="0"/>
          </reference>
          <reference field="9" count="1" selected="0">
            <x v="1"/>
          </reference>
        </references>
      </pivotArea>
    </chartFormat>
    <chartFormat chart="8" format="21">
      <pivotArea type="data" outline="0" fieldPosition="0">
        <references count="2">
          <reference field="4294967294" count="1" selected="0">
            <x v="0"/>
          </reference>
          <reference field="9" count="1" selected="0">
            <x v="0"/>
          </reference>
        </references>
      </pivotArea>
    </chartFormat>
    <chartFormat chart="8" format="22">
      <pivotArea type="data" outline="0" fieldPosition="0">
        <references count="2">
          <reference field="4294967294" count="1" selected="0">
            <x v="0"/>
          </reference>
          <reference field="9" count="1" selected="0">
            <x v="4"/>
          </reference>
        </references>
      </pivotArea>
    </chartFormat>
    <chartFormat chart="8" format="23">
      <pivotArea type="data" outline="0" fieldPosition="0">
        <references count="2">
          <reference field="4294967294" count="1" selected="0">
            <x v="0"/>
          </reference>
          <reference field="9" count="1" selected="0">
            <x v="3"/>
          </reference>
        </references>
      </pivotArea>
    </chartFormat>
    <chartFormat chart="8" format="24">
      <pivotArea type="data" outline="0" fieldPosition="0">
        <references count="2">
          <reference field="4294967294" count="1" selected="0">
            <x v="0"/>
          </reference>
          <reference field="9" count="1" selected="0">
            <x v="5"/>
          </reference>
        </references>
      </pivotArea>
    </chartFormat>
    <chartFormat chart="8" format="25">
      <pivotArea type="data" outline="0" fieldPosition="0">
        <references count="2">
          <reference field="4294967294" count="1" selected="0">
            <x v="0"/>
          </reference>
          <reference field="9" count="1" selected="0">
            <x v="7"/>
          </reference>
        </references>
      </pivotArea>
    </chartFormat>
    <chartFormat chart="8" format="26">
      <pivotArea type="data" outline="0" fieldPosition="0">
        <references count="2">
          <reference field="4294967294" count="1" selected="0">
            <x v="0"/>
          </reference>
          <reference field="9"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9" count="1" selected="0">
            <x v="6"/>
          </reference>
        </references>
      </pivotArea>
    </chartFormat>
    <chartFormat chart="12" format="11">
      <pivotArea type="data" outline="0" fieldPosition="0">
        <references count="2">
          <reference field="4294967294" count="1" selected="0">
            <x v="0"/>
          </reference>
          <reference field="9" count="1" selected="0">
            <x v="1"/>
          </reference>
        </references>
      </pivotArea>
    </chartFormat>
    <chartFormat chart="12" format="12">
      <pivotArea type="data" outline="0" fieldPosition="0">
        <references count="2">
          <reference field="4294967294" count="1" selected="0">
            <x v="0"/>
          </reference>
          <reference field="9" count="1" selected="0">
            <x v="0"/>
          </reference>
        </references>
      </pivotArea>
    </chartFormat>
    <chartFormat chart="12" format="13">
      <pivotArea type="data" outline="0" fieldPosition="0">
        <references count="2">
          <reference field="4294967294" count="1" selected="0">
            <x v="0"/>
          </reference>
          <reference field="9" count="1" selected="0">
            <x v="4"/>
          </reference>
        </references>
      </pivotArea>
    </chartFormat>
    <chartFormat chart="12" format="14">
      <pivotArea type="data" outline="0" fieldPosition="0">
        <references count="2">
          <reference field="4294967294" count="1" selected="0">
            <x v="0"/>
          </reference>
          <reference field="9" count="1" selected="0">
            <x v="3"/>
          </reference>
        </references>
      </pivotArea>
    </chartFormat>
    <chartFormat chart="12" format="15">
      <pivotArea type="data" outline="0" fieldPosition="0">
        <references count="2">
          <reference field="4294967294" count="1" selected="0">
            <x v="0"/>
          </reference>
          <reference field="9" count="1" selected="0">
            <x v="5"/>
          </reference>
        </references>
      </pivotArea>
    </chartFormat>
    <chartFormat chart="12" format="16">
      <pivotArea type="data" outline="0" fieldPosition="0">
        <references count="2">
          <reference field="4294967294" count="1" selected="0">
            <x v="0"/>
          </reference>
          <reference field="9" count="1" selected="0">
            <x v="7"/>
          </reference>
        </references>
      </pivotArea>
    </chartFormat>
    <chartFormat chart="12" format="1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3D190-2C02-4E83-AB15-4F0A80890FF3}"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4">
  <location ref="A3:B8"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0"/>
  </rowFields>
  <rowItems count="5">
    <i>
      <x v="1"/>
    </i>
    <i>
      <x/>
    </i>
    <i>
      <x v="2"/>
    </i>
    <i>
      <x v="3"/>
    </i>
    <i t="grand">
      <x/>
    </i>
  </rowItems>
  <colItems count="1">
    <i/>
  </colItems>
  <dataFields count="1">
    <dataField name="Sum of Revenue" fld="24" baseField="0" baseItem="0" numFmtId="165"/>
  </dataFields>
  <formats count="1">
    <format dxfId="12">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0"/>
          </reference>
        </references>
      </pivotArea>
    </chartFormat>
    <chartFormat chart="17" format="18" series="1">
      <pivotArea type="data" outline="0" fieldPosition="0">
        <references count="1">
          <reference field="4294967294" count="1" selected="0">
            <x v="0"/>
          </reference>
        </references>
      </pivotArea>
    </chartFormat>
    <chartFormat chart="17" format="22">
      <pivotArea type="data" outline="0" fieldPosition="0">
        <references count="2">
          <reference field="4294967294" count="1" selected="0">
            <x v="0"/>
          </reference>
          <reference field="10" count="1" selected="0">
            <x v="3"/>
          </reference>
        </references>
      </pivotArea>
    </chartFormat>
    <chartFormat chart="17" format="23">
      <pivotArea type="data" outline="0" fieldPosition="0">
        <references count="2">
          <reference field="4294967294" count="1" selected="0">
            <x v="0"/>
          </reference>
          <reference field="10" count="1" selected="0">
            <x v="1"/>
          </reference>
        </references>
      </pivotArea>
    </chartFormat>
    <chartFormat chart="17" format="24">
      <pivotArea type="data" outline="0" fieldPosition="0">
        <references count="2">
          <reference field="4294967294" count="1" selected="0">
            <x v="0"/>
          </reference>
          <reference field="10" count="1" selected="0">
            <x v="0"/>
          </reference>
        </references>
      </pivotArea>
    </chartFormat>
    <chartFormat chart="17" format="25">
      <pivotArea type="data" outline="0" fieldPosition="0">
        <references count="2">
          <reference field="4294967294" count="1" selected="0">
            <x v="0"/>
          </reference>
          <reference field="10" count="1" selected="0">
            <x v="2"/>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10" count="1" selected="0">
            <x v="1"/>
          </reference>
        </references>
      </pivotArea>
    </chartFormat>
    <chartFormat chart="19" format="28">
      <pivotArea type="data" outline="0" fieldPosition="0">
        <references count="2">
          <reference field="4294967294" count="1" selected="0">
            <x v="0"/>
          </reference>
          <reference field="10" count="1" selected="0">
            <x v="0"/>
          </reference>
        </references>
      </pivotArea>
    </chartFormat>
    <chartFormat chart="19" format="29">
      <pivotArea type="data" outline="0" fieldPosition="0">
        <references count="2">
          <reference field="4294967294" count="1" selected="0">
            <x v="0"/>
          </reference>
          <reference field="10" count="1" selected="0">
            <x v="2"/>
          </reference>
        </references>
      </pivotArea>
    </chartFormat>
    <chartFormat chart="19" format="3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1">
  <location ref="A3:B14"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5"/>
  </dataFields>
  <formats count="1">
    <format dxfId="11">
      <pivotArea outline="0" collapsedLevelsAreSubtotals="1" fieldPosition="0"/>
    </format>
  </formats>
  <chartFormats count="34">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3" count="1" selected="0">
            <x v="5"/>
          </reference>
        </references>
      </pivotArea>
    </chartFormat>
    <chartFormat chart="2" format="23">
      <pivotArea type="data" outline="0" fieldPosition="0">
        <references count="2">
          <reference field="4294967294" count="1" selected="0">
            <x v="0"/>
          </reference>
          <reference field="3" count="1" selected="0">
            <x v="8"/>
          </reference>
        </references>
      </pivotArea>
    </chartFormat>
    <chartFormat chart="2" format="24">
      <pivotArea type="data" outline="0" fieldPosition="0">
        <references count="2">
          <reference field="4294967294" count="1" selected="0">
            <x v="0"/>
          </reference>
          <reference field="3" count="1" selected="0">
            <x v="2"/>
          </reference>
        </references>
      </pivotArea>
    </chartFormat>
    <chartFormat chart="2" format="25">
      <pivotArea type="data" outline="0" fieldPosition="0">
        <references count="2">
          <reference field="4294967294" count="1" selected="0">
            <x v="0"/>
          </reference>
          <reference field="3" count="1" selected="0">
            <x v="6"/>
          </reference>
        </references>
      </pivotArea>
    </chartFormat>
    <chartFormat chart="2" format="26">
      <pivotArea type="data" outline="0" fieldPosition="0">
        <references count="2">
          <reference field="4294967294" count="1" selected="0">
            <x v="0"/>
          </reference>
          <reference field="3" count="1" selected="0">
            <x v="0"/>
          </reference>
        </references>
      </pivotArea>
    </chartFormat>
    <chartFormat chart="2" format="27">
      <pivotArea type="data" outline="0" fieldPosition="0">
        <references count="2">
          <reference field="4294967294" count="1" selected="0">
            <x v="0"/>
          </reference>
          <reference field="3" count="1" selected="0">
            <x v="9"/>
          </reference>
        </references>
      </pivotArea>
    </chartFormat>
    <chartFormat chart="2" format="28">
      <pivotArea type="data" outline="0" fieldPosition="0">
        <references count="2">
          <reference field="4294967294" count="1" selected="0">
            <x v="0"/>
          </reference>
          <reference field="3" count="1" selected="0">
            <x v="10"/>
          </reference>
        </references>
      </pivotArea>
    </chartFormat>
    <chartFormat chart="2" format="29">
      <pivotArea type="data" outline="0" fieldPosition="0">
        <references count="2">
          <reference field="4294967294" count="1" selected="0">
            <x v="0"/>
          </reference>
          <reference field="3" count="1" selected="0">
            <x v="14"/>
          </reference>
        </references>
      </pivotArea>
    </chartFormat>
    <chartFormat chart="2" format="30">
      <pivotArea type="data" outline="0" fieldPosition="0">
        <references count="2">
          <reference field="4294967294" count="1" selected="0">
            <x v="0"/>
          </reference>
          <reference field="3" count="1" selected="0">
            <x v="3"/>
          </reference>
        </references>
      </pivotArea>
    </chartFormat>
    <chartFormat chart="2" format="31">
      <pivotArea type="data" outline="0" fieldPosition="0">
        <references count="2">
          <reference field="4294967294" count="1" selected="0">
            <x v="0"/>
          </reference>
          <reference field="3" count="1" selected="0">
            <x v="11"/>
          </reference>
        </references>
      </pivotArea>
    </chartFormat>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3" count="1" selected="0">
            <x v="5"/>
          </reference>
        </references>
      </pivotArea>
    </chartFormat>
    <chartFormat chart="9" format="34">
      <pivotArea type="data" outline="0" fieldPosition="0">
        <references count="2">
          <reference field="4294967294" count="1" selected="0">
            <x v="0"/>
          </reference>
          <reference field="3" count="1" selected="0">
            <x v="8"/>
          </reference>
        </references>
      </pivotArea>
    </chartFormat>
    <chartFormat chart="9" format="35">
      <pivotArea type="data" outline="0" fieldPosition="0">
        <references count="2">
          <reference field="4294967294" count="1" selected="0">
            <x v="0"/>
          </reference>
          <reference field="3" count="1" selected="0">
            <x v="2"/>
          </reference>
        </references>
      </pivotArea>
    </chartFormat>
    <chartFormat chart="9" format="36">
      <pivotArea type="data" outline="0" fieldPosition="0">
        <references count="2">
          <reference field="4294967294" count="1" selected="0">
            <x v="0"/>
          </reference>
          <reference field="3" count="1" selected="0">
            <x v="6"/>
          </reference>
        </references>
      </pivotArea>
    </chartFormat>
    <chartFormat chart="9" format="37">
      <pivotArea type="data" outline="0" fieldPosition="0">
        <references count="2">
          <reference field="4294967294" count="1" selected="0">
            <x v="0"/>
          </reference>
          <reference field="3" count="1" selected="0">
            <x v="0"/>
          </reference>
        </references>
      </pivotArea>
    </chartFormat>
    <chartFormat chart="9" format="38">
      <pivotArea type="data" outline="0" fieldPosition="0">
        <references count="2">
          <reference field="4294967294" count="1" selected="0">
            <x v="0"/>
          </reference>
          <reference field="3" count="1" selected="0">
            <x v="9"/>
          </reference>
        </references>
      </pivotArea>
    </chartFormat>
    <chartFormat chart="9" format="39">
      <pivotArea type="data" outline="0" fieldPosition="0">
        <references count="2">
          <reference field="4294967294" count="1" selected="0">
            <x v="0"/>
          </reference>
          <reference field="3" count="1" selected="0">
            <x v="10"/>
          </reference>
        </references>
      </pivotArea>
    </chartFormat>
    <chartFormat chart="9" format="40">
      <pivotArea type="data" outline="0" fieldPosition="0">
        <references count="2">
          <reference field="4294967294" count="1" selected="0">
            <x v="0"/>
          </reference>
          <reference field="3" count="1" selected="0">
            <x v="14"/>
          </reference>
        </references>
      </pivotArea>
    </chartFormat>
    <chartFormat chart="9" format="41">
      <pivotArea type="data" outline="0" fieldPosition="0">
        <references count="2">
          <reference field="4294967294" count="1" selected="0">
            <x v="0"/>
          </reference>
          <reference field="3" count="1" selected="0">
            <x v="3"/>
          </reference>
        </references>
      </pivotArea>
    </chartFormat>
    <chartFormat chart="9" format="42">
      <pivotArea type="data" outline="0" fieldPosition="0">
        <references count="2">
          <reference field="4294967294" count="1" selected="0">
            <x v="0"/>
          </reference>
          <reference field="3" count="1" selected="0">
            <x v="11"/>
          </reference>
        </references>
      </pivotArea>
    </chartFormat>
    <chartFormat chart="10" format="43" series="1">
      <pivotArea type="data" outline="0" fieldPosition="0">
        <references count="1">
          <reference field="4294967294" count="1" selected="0">
            <x v="0"/>
          </reference>
        </references>
      </pivotArea>
    </chartFormat>
    <chartFormat chart="10" format="44">
      <pivotArea type="data" outline="0" fieldPosition="0">
        <references count="2">
          <reference field="4294967294" count="1" selected="0">
            <x v="0"/>
          </reference>
          <reference field="3" count="1" selected="0">
            <x v="5"/>
          </reference>
        </references>
      </pivotArea>
    </chartFormat>
    <chartFormat chart="10" format="45">
      <pivotArea type="data" outline="0" fieldPosition="0">
        <references count="2">
          <reference field="4294967294" count="1" selected="0">
            <x v="0"/>
          </reference>
          <reference field="3" count="1" selected="0">
            <x v="8"/>
          </reference>
        </references>
      </pivotArea>
    </chartFormat>
    <chartFormat chart="10" format="46">
      <pivotArea type="data" outline="0" fieldPosition="0">
        <references count="2">
          <reference field="4294967294" count="1" selected="0">
            <x v="0"/>
          </reference>
          <reference field="3" count="1" selected="0">
            <x v="2"/>
          </reference>
        </references>
      </pivotArea>
    </chartFormat>
    <chartFormat chart="10" format="47">
      <pivotArea type="data" outline="0" fieldPosition="0">
        <references count="2">
          <reference field="4294967294" count="1" selected="0">
            <x v="0"/>
          </reference>
          <reference field="3" count="1" selected="0">
            <x v="6"/>
          </reference>
        </references>
      </pivotArea>
    </chartFormat>
    <chartFormat chart="10" format="48">
      <pivotArea type="data" outline="0" fieldPosition="0">
        <references count="2">
          <reference field="4294967294" count="1" selected="0">
            <x v="0"/>
          </reference>
          <reference field="3" count="1" selected="0">
            <x v="0"/>
          </reference>
        </references>
      </pivotArea>
    </chartFormat>
    <chartFormat chart="10" format="49">
      <pivotArea type="data" outline="0" fieldPosition="0">
        <references count="2">
          <reference field="4294967294" count="1" selected="0">
            <x v="0"/>
          </reference>
          <reference field="3" count="1" selected="0">
            <x v="9"/>
          </reference>
        </references>
      </pivotArea>
    </chartFormat>
    <chartFormat chart="10" format="50">
      <pivotArea type="data" outline="0" fieldPosition="0">
        <references count="2">
          <reference field="4294967294" count="1" selected="0">
            <x v="0"/>
          </reference>
          <reference field="3" count="1" selected="0">
            <x v="10"/>
          </reference>
        </references>
      </pivotArea>
    </chartFormat>
    <chartFormat chart="10" format="51">
      <pivotArea type="data" outline="0" fieldPosition="0">
        <references count="2">
          <reference field="4294967294" count="1" selected="0">
            <x v="0"/>
          </reference>
          <reference field="3" count="1" selected="0">
            <x v="14"/>
          </reference>
        </references>
      </pivotArea>
    </chartFormat>
    <chartFormat chart="10" format="52">
      <pivotArea type="data" outline="0" fieldPosition="0">
        <references count="2">
          <reference field="4294967294" count="1" selected="0">
            <x v="0"/>
          </reference>
          <reference field="3" count="1" selected="0">
            <x v="3"/>
          </reference>
        </references>
      </pivotArea>
    </chartFormat>
    <chartFormat chart="10" format="53">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3">
  <location ref="A3:B16"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formats count="1">
    <format dxfId="10">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2" format="30" series="1">
      <pivotArea type="data" outline="0" fieldPosition="0">
        <references count="1">
          <reference field="4294967294" count="1" selected="0">
            <x v="0"/>
          </reference>
        </references>
      </pivotArea>
    </chartFormat>
    <chartFormat chart="12" format="31">
      <pivotArea type="data" outline="0" fieldPosition="0">
        <references count="2">
          <reference field="4294967294" count="1" selected="0">
            <x v="0"/>
          </reference>
          <reference field="1" count="1" selected="0">
            <x v="1"/>
          </reference>
        </references>
      </pivotArea>
    </chartFormat>
    <chartFormat chart="12" format="32">
      <pivotArea type="data" outline="0" fieldPosition="0">
        <references count="2">
          <reference field="4294967294" count="1" selected="0">
            <x v="0"/>
          </reference>
          <reference field="1" count="1" selected="0">
            <x v="2"/>
          </reference>
        </references>
      </pivotArea>
    </chartFormat>
    <chartFormat chart="12" format="33">
      <pivotArea type="data" outline="0" fieldPosition="0">
        <references count="2">
          <reference field="4294967294" count="1" selected="0">
            <x v="0"/>
          </reference>
          <reference field="1" count="1" selected="0">
            <x v="3"/>
          </reference>
        </references>
      </pivotArea>
    </chartFormat>
    <chartFormat chart="12" format="34">
      <pivotArea type="data" outline="0" fieldPosition="0">
        <references count="2">
          <reference field="4294967294" count="1" selected="0">
            <x v="0"/>
          </reference>
          <reference field="1" count="1" selected="0">
            <x v="4"/>
          </reference>
        </references>
      </pivotArea>
    </chartFormat>
    <chartFormat chart="12" format="35">
      <pivotArea type="data" outline="0" fieldPosition="0">
        <references count="2">
          <reference field="4294967294" count="1" selected="0">
            <x v="0"/>
          </reference>
          <reference field="1" count="1" selected="0">
            <x v="5"/>
          </reference>
        </references>
      </pivotArea>
    </chartFormat>
    <chartFormat chart="12" format="36">
      <pivotArea type="data" outline="0" fieldPosition="0">
        <references count="2">
          <reference field="4294967294" count="1" selected="0">
            <x v="0"/>
          </reference>
          <reference field="1" count="1" selected="0">
            <x v="7"/>
          </reference>
        </references>
      </pivotArea>
    </chartFormat>
    <chartFormat chart="12" format="37">
      <pivotArea type="data" outline="0" fieldPosition="0">
        <references count="2">
          <reference field="4294967294" count="1" selected="0">
            <x v="0"/>
          </reference>
          <reference field="1" count="1" selected="0">
            <x v="8"/>
          </reference>
        </references>
      </pivotArea>
    </chartFormat>
    <chartFormat chart="12" format="38">
      <pivotArea type="data" outline="0" fieldPosition="0">
        <references count="2">
          <reference field="4294967294" count="1" selected="0">
            <x v="0"/>
          </reference>
          <reference field="1" count="1" selected="0">
            <x v="9"/>
          </reference>
        </references>
      </pivotArea>
    </chartFormat>
    <chartFormat chart="12" format="39">
      <pivotArea type="data" outline="0" fieldPosition="0">
        <references count="2">
          <reference field="4294967294" count="1" selected="0">
            <x v="0"/>
          </reference>
          <reference field="1" count="1" selected="0">
            <x v="10"/>
          </reference>
        </references>
      </pivotArea>
    </chartFormat>
    <chartFormat chart="12" format="40">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6">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7">
    <i>
      <x v="1"/>
    </i>
    <i>
      <x v="12"/>
    </i>
    <i>
      <x v="9"/>
    </i>
    <i>
      <x v="5"/>
    </i>
    <i>
      <x v="6"/>
    </i>
    <i>
      <x v="3"/>
    </i>
    <i t="grand">
      <x/>
    </i>
  </rowItems>
  <colItems count="1">
    <i/>
  </colItems>
  <dataFields count="1">
    <dataField name="Sum of Revenue" fld="24" baseField="0" baseItem="0"/>
  </dataFields>
  <formats count="1">
    <format dxfId="9">
      <pivotArea outline="0" collapsedLevelsAreSubtotals="1" fieldPosition="0"/>
    </format>
  </formats>
  <chartFormats count="14">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21" count="1" selected="0">
            <x v="1"/>
          </reference>
        </references>
      </pivotArea>
    </chartFormat>
    <chartFormat chart="10" format="34">
      <pivotArea type="data" outline="0" fieldPosition="0">
        <references count="2">
          <reference field="4294967294" count="1" selected="0">
            <x v="0"/>
          </reference>
          <reference field="21" count="1" selected="0">
            <x v="12"/>
          </reference>
        </references>
      </pivotArea>
    </chartFormat>
    <chartFormat chart="10" format="35">
      <pivotArea type="data" outline="0" fieldPosition="0">
        <references count="2">
          <reference field="4294967294" count="1" selected="0">
            <x v="0"/>
          </reference>
          <reference field="21" count="1" selected="0">
            <x v="9"/>
          </reference>
        </references>
      </pivotArea>
    </chartFormat>
    <chartFormat chart="10" format="36">
      <pivotArea type="data" outline="0" fieldPosition="0">
        <references count="2">
          <reference field="4294967294" count="1" selected="0">
            <x v="0"/>
          </reference>
          <reference field="21" count="1" selected="0">
            <x v="5"/>
          </reference>
        </references>
      </pivotArea>
    </chartFormat>
    <chartFormat chart="10" format="37">
      <pivotArea type="data" outline="0" fieldPosition="0">
        <references count="2">
          <reference field="4294967294" count="1" selected="0">
            <x v="0"/>
          </reference>
          <reference field="21" count="1" selected="0">
            <x v="6"/>
          </reference>
        </references>
      </pivotArea>
    </chartFormat>
    <chartFormat chart="10" format="38">
      <pivotArea type="data" outline="0" fieldPosition="0">
        <references count="2">
          <reference field="4294967294" count="1" selected="0">
            <x v="0"/>
          </reference>
          <reference field="21" count="1" selected="0">
            <x v="3"/>
          </reference>
        </references>
      </pivotArea>
    </chartFormat>
    <chartFormat chart="21" format="46" series="1">
      <pivotArea type="data" outline="0" fieldPosition="0">
        <references count="1">
          <reference field="4294967294" count="1" selected="0">
            <x v="0"/>
          </reference>
        </references>
      </pivotArea>
    </chartFormat>
    <chartFormat chart="21" format="47">
      <pivotArea type="data" outline="0" fieldPosition="0">
        <references count="2">
          <reference field="4294967294" count="1" selected="0">
            <x v="0"/>
          </reference>
          <reference field="21" count="1" selected="0">
            <x v="1"/>
          </reference>
        </references>
      </pivotArea>
    </chartFormat>
    <chartFormat chart="21" format="48">
      <pivotArea type="data" outline="0" fieldPosition="0">
        <references count="2">
          <reference field="4294967294" count="1" selected="0">
            <x v="0"/>
          </reference>
          <reference field="21" count="1" selected="0">
            <x v="12"/>
          </reference>
        </references>
      </pivotArea>
    </chartFormat>
    <chartFormat chart="21" format="49">
      <pivotArea type="data" outline="0" fieldPosition="0">
        <references count="2">
          <reference field="4294967294" count="1" selected="0">
            <x v="0"/>
          </reference>
          <reference field="21" count="1" selected="0">
            <x v="9"/>
          </reference>
        </references>
      </pivotArea>
    </chartFormat>
    <chartFormat chart="21" format="50">
      <pivotArea type="data" outline="0" fieldPosition="0">
        <references count="2">
          <reference field="4294967294" count="1" selected="0">
            <x v="0"/>
          </reference>
          <reference field="21" count="1" selected="0">
            <x v="5"/>
          </reference>
        </references>
      </pivotArea>
    </chartFormat>
    <chartFormat chart="21" format="51">
      <pivotArea type="data" outline="0" fieldPosition="0">
        <references count="2">
          <reference field="4294967294" count="1" selected="0">
            <x v="0"/>
          </reference>
          <reference field="21" count="1" selected="0">
            <x v="6"/>
          </reference>
        </references>
      </pivotArea>
    </chartFormat>
    <chartFormat chart="21" format="52">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A81C8E-BDC0-4843-8A9A-033EF2499583}"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0">
  <location ref="A3:B7"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4">
    <i>
      <x v="1"/>
    </i>
    <i>
      <x v="12"/>
    </i>
    <i>
      <x v="9"/>
    </i>
    <i t="grand">
      <x/>
    </i>
  </rowItems>
  <colItems count="1">
    <i/>
  </colItems>
  <dataFields count="1">
    <dataField name="Sum of Revenue" fld="24" showDataAs="percentOfTotal" baseField="0"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18">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21" count="1" selected="0">
            <x v="1"/>
          </reference>
        </references>
      </pivotArea>
    </chartFormat>
    <chartFormat chart="10" format="34">
      <pivotArea type="data" outline="0" fieldPosition="0">
        <references count="2">
          <reference field="4294967294" count="1" selected="0">
            <x v="0"/>
          </reference>
          <reference field="21" count="1" selected="0">
            <x v="12"/>
          </reference>
        </references>
      </pivotArea>
    </chartFormat>
    <chartFormat chart="10" format="35">
      <pivotArea type="data" outline="0" fieldPosition="0">
        <references count="2">
          <reference field="4294967294" count="1" selected="0">
            <x v="0"/>
          </reference>
          <reference field="21" count="1" selected="0">
            <x v="9"/>
          </reference>
        </references>
      </pivotArea>
    </chartFormat>
    <chartFormat chart="10" format="36">
      <pivotArea type="data" outline="0" fieldPosition="0">
        <references count="2">
          <reference field="4294967294" count="1" selected="0">
            <x v="0"/>
          </reference>
          <reference field="21" count="1" selected="0">
            <x v="5"/>
          </reference>
        </references>
      </pivotArea>
    </chartFormat>
    <chartFormat chart="10" format="37">
      <pivotArea type="data" outline="0" fieldPosition="0">
        <references count="2">
          <reference field="4294967294" count="1" selected="0">
            <x v="0"/>
          </reference>
          <reference field="21" count="1" selected="0">
            <x v="6"/>
          </reference>
        </references>
      </pivotArea>
    </chartFormat>
    <chartFormat chart="10" format="38">
      <pivotArea type="data" outline="0" fieldPosition="0">
        <references count="2">
          <reference field="4294967294" count="1" selected="0">
            <x v="0"/>
          </reference>
          <reference field="21" count="1" selected="0">
            <x v="3"/>
          </reference>
        </references>
      </pivotArea>
    </chartFormat>
    <chartFormat chart="21" format="46" series="1">
      <pivotArea type="data" outline="0" fieldPosition="0">
        <references count="1">
          <reference field="4294967294" count="1" selected="0">
            <x v="0"/>
          </reference>
        </references>
      </pivotArea>
    </chartFormat>
    <chartFormat chart="21" format="47">
      <pivotArea type="data" outline="0" fieldPosition="0">
        <references count="2">
          <reference field="4294967294" count="1" selected="0">
            <x v="0"/>
          </reference>
          <reference field="21" count="1" selected="0">
            <x v="1"/>
          </reference>
        </references>
      </pivotArea>
    </chartFormat>
    <chartFormat chart="21" format="48">
      <pivotArea type="data" outline="0" fieldPosition="0">
        <references count="2">
          <reference field="4294967294" count="1" selected="0">
            <x v="0"/>
          </reference>
          <reference field="21" count="1" selected="0">
            <x v="12"/>
          </reference>
        </references>
      </pivotArea>
    </chartFormat>
    <chartFormat chart="21" format="49">
      <pivotArea type="data" outline="0" fieldPosition="0">
        <references count="2">
          <reference field="4294967294" count="1" selected="0">
            <x v="0"/>
          </reference>
          <reference field="21" count="1" selected="0">
            <x v="9"/>
          </reference>
        </references>
      </pivotArea>
    </chartFormat>
    <chartFormat chart="21" format="50">
      <pivotArea type="data" outline="0" fieldPosition="0">
        <references count="2">
          <reference field="4294967294" count="1" selected="0">
            <x v="0"/>
          </reference>
          <reference field="21" count="1" selected="0">
            <x v="5"/>
          </reference>
        </references>
      </pivotArea>
    </chartFormat>
    <chartFormat chart="21" format="51">
      <pivotArea type="data" outline="0" fieldPosition="0">
        <references count="2">
          <reference field="4294967294" count="1" selected="0">
            <x v="0"/>
          </reference>
          <reference field="21" count="1" selected="0">
            <x v="6"/>
          </reference>
        </references>
      </pivotArea>
    </chartFormat>
    <chartFormat chart="21" format="52">
      <pivotArea type="data" outline="0" fieldPosition="0">
        <references count="2">
          <reference field="4294967294" count="1" selected="0">
            <x v="0"/>
          </reference>
          <reference field="21" count="1" selected="0">
            <x v="3"/>
          </reference>
        </references>
      </pivotArea>
    </chartFormat>
    <chartFormat chart="25" format="39" series="1">
      <pivotArea type="data" outline="0" fieldPosition="0">
        <references count="1">
          <reference field="4294967294" count="1" selected="0">
            <x v="0"/>
          </reference>
        </references>
      </pivotArea>
    </chartFormat>
    <chartFormat chart="25" format="40">
      <pivotArea type="data" outline="0" fieldPosition="0">
        <references count="2">
          <reference field="4294967294" count="1" selected="0">
            <x v="0"/>
          </reference>
          <reference field="21" count="1" selected="0">
            <x v="1"/>
          </reference>
        </references>
      </pivotArea>
    </chartFormat>
    <chartFormat chart="25" format="41">
      <pivotArea type="data" outline="0" fieldPosition="0">
        <references count="2">
          <reference field="4294967294" count="1" selected="0">
            <x v="0"/>
          </reference>
          <reference field="21" count="1" selected="0">
            <x v="12"/>
          </reference>
        </references>
      </pivotArea>
    </chartFormat>
    <chartFormat chart="25" format="42">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filters count="1">
    <filter fld="2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4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16">
        <item x="2"/>
        <item x="0"/>
        <item x="3"/>
        <item x="8"/>
        <item x="7"/>
        <item x="10"/>
        <item x="1"/>
        <item x="12"/>
        <item x="14"/>
        <item x="6"/>
        <item x="13"/>
        <item x="9"/>
        <item x="5"/>
        <item x="11"/>
        <item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CD99C3-928C-4915-A1FB-87BAD10854DD}"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16">
        <item x="2"/>
        <item x="0"/>
        <item x="3"/>
        <item x="8"/>
        <item x="7"/>
        <item x="10"/>
        <item x="1"/>
        <item x="12"/>
        <item x="14"/>
        <item x="6"/>
        <item x="13"/>
        <item x="9"/>
        <item x="5"/>
        <item x="11"/>
        <item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4">
  <location ref="A3:B11"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0" numFmtId="1"/>
  </dataFields>
  <formats count="1">
    <format dxfId="4">
      <pivotArea outline="0" collapsedLevelsAreSubtotals="1" fieldPosition="0"/>
    </format>
  </formats>
  <chartFormats count="17">
    <chartFormat chart="10" format="32" series="1">
      <pivotArea type="data" outline="0" fieldPosition="0">
        <references count="1">
          <reference field="4294967294" count="1" selected="0">
            <x v="0"/>
          </reference>
        </references>
      </pivotArea>
    </chartFormat>
    <chartFormat chart="19" format="39"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24" count="1" selected="0">
            <x v="1"/>
          </reference>
        </references>
      </pivotArea>
    </chartFormat>
    <chartFormat chart="19" format="47">
      <pivotArea type="data" outline="0" fieldPosition="0">
        <references count="2">
          <reference field="4294967294" count="1" selected="0">
            <x v="0"/>
          </reference>
          <reference field="24" count="1" selected="0">
            <x v="2"/>
          </reference>
        </references>
      </pivotArea>
    </chartFormat>
    <chartFormat chart="19" format="48">
      <pivotArea type="data" outline="0" fieldPosition="0">
        <references count="2">
          <reference field="4294967294" count="1" selected="0">
            <x v="0"/>
          </reference>
          <reference field="24" count="1" selected="0">
            <x v="3"/>
          </reference>
        </references>
      </pivotArea>
    </chartFormat>
    <chartFormat chart="19" format="49">
      <pivotArea type="data" outline="0" fieldPosition="0">
        <references count="2">
          <reference field="4294967294" count="1" selected="0">
            <x v="0"/>
          </reference>
          <reference field="24" count="1" selected="0">
            <x v="4"/>
          </reference>
        </references>
      </pivotArea>
    </chartFormat>
    <chartFormat chart="19" format="50">
      <pivotArea type="data" outline="0" fieldPosition="0">
        <references count="2">
          <reference field="4294967294" count="1" selected="0">
            <x v="0"/>
          </reference>
          <reference field="24" count="1" selected="0">
            <x v="5"/>
          </reference>
        </references>
      </pivotArea>
    </chartFormat>
    <chartFormat chart="19" format="51">
      <pivotArea type="data" outline="0" fieldPosition="0">
        <references count="2">
          <reference field="4294967294" count="1" selected="0">
            <x v="0"/>
          </reference>
          <reference field="24" count="1" selected="0">
            <x v="7"/>
          </reference>
        </references>
      </pivotArea>
    </chartFormat>
    <chartFormat chart="19" format="52">
      <pivotArea type="data" outline="0" fieldPosition="0">
        <references count="2">
          <reference field="4294967294" count="1" selected="0">
            <x v="0"/>
          </reference>
          <reference field="24" count="1" selected="0">
            <x v="8"/>
          </reference>
        </references>
      </pivotArea>
    </chartFormat>
    <chartFormat chart="29" format="61" series="1">
      <pivotArea type="data" outline="0" fieldPosition="0">
        <references count="1">
          <reference field="4294967294" count="1" selected="0">
            <x v="0"/>
          </reference>
        </references>
      </pivotArea>
    </chartFormat>
    <chartFormat chart="29" format="62">
      <pivotArea type="data" outline="0" fieldPosition="0">
        <references count="2">
          <reference field="4294967294" count="1" selected="0">
            <x v="0"/>
          </reference>
          <reference field="24" count="1" selected="0">
            <x v="1"/>
          </reference>
        </references>
      </pivotArea>
    </chartFormat>
    <chartFormat chart="29" format="63">
      <pivotArea type="data" outline="0" fieldPosition="0">
        <references count="2">
          <reference field="4294967294" count="1" selected="0">
            <x v="0"/>
          </reference>
          <reference field="24" count="1" selected="0">
            <x v="2"/>
          </reference>
        </references>
      </pivotArea>
    </chartFormat>
    <chartFormat chart="29" format="64">
      <pivotArea type="data" outline="0" fieldPosition="0">
        <references count="2">
          <reference field="4294967294" count="1" selected="0">
            <x v="0"/>
          </reference>
          <reference field="24" count="1" selected="0">
            <x v="3"/>
          </reference>
        </references>
      </pivotArea>
    </chartFormat>
    <chartFormat chart="29" format="65">
      <pivotArea type="data" outline="0" fieldPosition="0">
        <references count="2">
          <reference field="4294967294" count="1" selected="0">
            <x v="0"/>
          </reference>
          <reference field="24" count="1" selected="0">
            <x v="4"/>
          </reference>
        </references>
      </pivotArea>
    </chartFormat>
    <chartFormat chart="29" format="66">
      <pivotArea type="data" outline="0" fieldPosition="0">
        <references count="2">
          <reference field="4294967294" count="1" selected="0">
            <x v="0"/>
          </reference>
          <reference field="24" count="1" selected="0">
            <x v="5"/>
          </reference>
        </references>
      </pivotArea>
    </chartFormat>
    <chartFormat chart="29" format="67">
      <pivotArea type="data" outline="0" fieldPosition="0">
        <references count="2">
          <reference field="4294967294" count="1" selected="0">
            <x v="0"/>
          </reference>
          <reference field="24" count="1" selected="0">
            <x v="7"/>
          </reference>
        </references>
      </pivotArea>
    </chartFormat>
    <chartFormat chart="29" format="68">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E00-000006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2">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
        <item x="0"/>
        <item t="default"/>
      </items>
    </pivotField>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5"/>
  </rowFields>
  <rowItems count="6">
    <i>
      <x v="8"/>
    </i>
    <i>
      <x v="9"/>
    </i>
    <i>
      <x v="6"/>
    </i>
    <i>
      <x v="5"/>
    </i>
    <i>
      <x v="1"/>
    </i>
    <i t="grand">
      <x/>
    </i>
  </rowItems>
  <colItems count="1">
    <i/>
  </colItems>
  <dataFields count="1">
    <dataField name="Sum of Revenue" fld="24" baseField="0" baseItem="0" numFmtId="165"/>
  </dataFields>
  <formats count="1">
    <format dxfId="3">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5" count="1" selected="0">
            <x v="9"/>
          </reference>
        </references>
      </pivotArea>
    </chartFormat>
    <chartFormat chart="11" format="29">
      <pivotArea type="data" outline="0" fieldPosition="0">
        <references count="2">
          <reference field="4294967294" count="1" selected="0">
            <x v="0"/>
          </reference>
          <reference field="5" count="1" selected="0">
            <x v="6"/>
          </reference>
        </references>
      </pivotArea>
    </chartFormat>
    <chartFormat chart="11" format="30">
      <pivotArea type="data" outline="0" fieldPosition="0">
        <references count="2">
          <reference field="4294967294" count="1" selected="0">
            <x v="0"/>
          </reference>
          <reference field="5" count="1" selected="0">
            <x v="5"/>
          </reference>
        </references>
      </pivotArea>
    </chartFormat>
    <chartFormat chart="11" format="31">
      <pivotArea type="data" outline="0" fieldPosition="0">
        <references count="2">
          <reference field="4294967294" count="1" selected="0">
            <x v="0"/>
          </reference>
          <reference field="5" count="1" selected="0">
            <x v="1"/>
          </reference>
        </references>
      </pivotArea>
    </chartFormat>
    <chartFormat chart="16" format="38" series="1">
      <pivotArea type="data" outline="0" fieldPosition="0">
        <references count="1">
          <reference field="4294967294" count="1" selected="0">
            <x v="0"/>
          </reference>
        </references>
      </pivotArea>
    </chartFormat>
    <chartFormat chart="16" format="39">
      <pivotArea type="data" outline="0" fieldPosition="0">
        <references count="2">
          <reference field="4294967294" count="1" selected="0">
            <x v="0"/>
          </reference>
          <reference field="5" count="1" selected="0">
            <x v="8"/>
          </reference>
        </references>
      </pivotArea>
    </chartFormat>
    <chartFormat chart="16" format="40">
      <pivotArea type="data" outline="0" fieldPosition="0">
        <references count="2">
          <reference field="4294967294" count="1" selected="0">
            <x v="0"/>
          </reference>
          <reference field="5" count="1" selected="0">
            <x v="9"/>
          </reference>
        </references>
      </pivotArea>
    </chartFormat>
    <chartFormat chart="16" format="41">
      <pivotArea type="data" outline="0" fieldPosition="0">
        <references count="2">
          <reference field="4294967294" count="1" selected="0">
            <x v="0"/>
          </reference>
          <reference field="5" count="1" selected="0">
            <x v="6"/>
          </reference>
        </references>
      </pivotArea>
    </chartFormat>
    <chartFormat chart="16" format="42">
      <pivotArea type="data" outline="0" fieldPosition="0">
        <references count="2">
          <reference field="4294967294" count="1" selected="0">
            <x v="0"/>
          </reference>
          <reference field="5" count="1" selected="0">
            <x v="5"/>
          </reference>
        </references>
      </pivotArea>
    </chartFormat>
    <chartFormat chart="16" format="43">
      <pivotArea type="data" outline="0" fieldPosition="0">
        <references count="2">
          <reference field="4294967294" count="1" selected="0">
            <x v="0"/>
          </reference>
          <reference field="5" count="1" selected="0">
            <x v="1"/>
          </reference>
        </references>
      </pivotArea>
    </chartFormat>
    <chartFormat chart="11" format="33">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592405-0506-41BF-9905-D22DB11BCEF8}"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5"/>
  </rowFields>
  <rowItems count="7">
    <i>
      <x v="8"/>
    </i>
    <i>
      <x v="9"/>
    </i>
    <i>
      <x v="6"/>
    </i>
    <i>
      <x v="5"/>
    </i>
    <i>
      <x v="1"/>
    </i>
    <i>
      <x v="7"/>
    </i>
    <i t="grand">
      <x/>
    </i>
  </rowItems>
  <colItems count="1">
    <i/>
  </colItems>
  <dataFields count="1">
    <dataField name="Sum of Revenue" fld="24" baseField="0" baseItem="0" numFmtId="165"/>
  </dataFields>
  <formats count="1">
    <format dxfId="0">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15" count="1" selected="0">
            <x v="8"/>
          </reference>
        </references>
      </pivotArea>
    </chartFormat>
    <chartFormat chart="11" format="29">
      <pivotArea type="data" outline="0" fieldPosition="0">
        <references count="2">
          <reference field="4294967294" count="1" selected="0">
            <x v="0"/>
          </reference>
          <reference field="15" count="1" selected="0">
            <x v="9"/>
          </reference>
        </references>
      </pivotArea>
    </chartFormat>
    <chartFormat chart="11" format="30">
      <pivotArea type="data" outline="0" fieldPosition="0">
        <references count="2">
          <reference field="4294967294" count="1" selected="0">
            <x v="0"/>
          </reference>
          <reference field="15" count="1" selected="0">
            <x v="6"/>
          </reference>
        </references>
      </pivotArea>
    </chartFormat>
    <chartFormat chart="11" format="31">
      <pivotArea type="data" outline="0" fieldPosition="0">
        <references count="2">
          <reference field="4294967294" count="1" selected="0">
            <x v="0"/>
          </reference>
          <reference field="15" count="1" selected="0">
            <x v="5"/>
          </reference>
        </references>
      </pivotArea>
    </chartFormat>
    <chartFormat chart="11" format="32">
      <pivotArea type="data" outline="0" fieldPosition="0">
        <references count="2">
          <reference field="4294967294" count="1" selected="0">
            <x v="0"/>
          </reference>
          <reference field="15" count="1" selected="0">
            <x v="1"/>
          </reference>
        </references>
      </pivotArea>
    </chartFormat>
    <chartFormat chart="11" format="33">
      <pivotArea type="data" outline="0" fieldPosition="0">
        <references count="2">
          <reference field="4294967294" count="1" selected="0">
            <x v="0"/>
          </reference>
          <reference field="15" count="1" selected="0">
            <x v="7"/>
          </reference>
        </references>
      </pivotArea>
    </chartFormat>
    <chartFormat chart="14" format="41" series="1">
      <pivotArea type="data" outline="0" fieldPosition="0">
        <references count="1">
          <reference field="4294967294" count="1" selected="0">
            <x v="0"/>
          </reference>
        </references>
      </pivotArea>
    </chartFormat>
    <chartFormat chart="14" format="42">
      <pivotArea type="data" outline="0" fieldPosition="0">
        <references count="2">
          <reference field="4294967294" count="1" selected="0">
            <x v="0"/>
          </reference>
          <reference field="15" count="1" selected="0">
            <x v="8"/>
          </reference>
        </references>
      </pivotArea>
    </chartFormat>
    <chartFormat chart="14" format="43">
      <pivotArea type="data" outline="0" fieldPosition="0">
        <references count="2">
          <reference field="4294967294" count="1" selected="0">
            <x v="0"/>
          </reference>
          <reference field="15" count="1" selected="0">
            <x v="9"/>
          </reference>
        </references>
      </pivotArea>
    </chartFormat>
    <chartFormat chart="14" format="44">
      <pivotArea type="data" outline="0" fieldPosition="0">
        <references count="2">
          <reference field="4294967294" count="1" selected="0">
            <x v="0"/>
          </reference>
          <reference field="15" count="1" selected="0">
            <x v="6"/>
          </reference>
        </references>
      </pivotArea>
    </chartFormat>
    <chartFormat chart="14" format="45">
      <pivotArea type="data" outline="0" fieldPosition="0">
        <references count="2">
          <reference field="4294967294" count="1" selected="0">
            <x v="0"/>
          </reference>
          <reference field="15" count="1" selected="0">
            <x v="5"/>
          </reference>
        </references>
      </pivotArea>
    </chartFormat>
    <chartFormat chart="14" format="46">
      <pivotArea type="data" outline="0" fieldPosition="0">
        <references count="2">
          <reference field="4294967294" count="1" selected="0">
            <x v="0"/>
          </reference>
          <reference field="15" count="1" selected="0">
            <x v="1"/>
          </reference>
        </references>
      </pivotArea>
    </chartFormat>
    <chartFormat chart="14" format="47">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9D30EAB-23E2-46B8-AD6D-5D68BB4AEB12}" sourceName="Customer Name">
  <pivotTables>
    <pivotTable tabId="26" name="PivotTable1"/>
    <pivotTable tabId="25" name="PivotTable1"/>
    <pivotTable tabId="30" name="PivotTable1"/>
    <pivotTable tabId="29" name="PivotTable1"/>
    <pivotTable tabId="19" name="PivotTable1"/>
    <pivotTable tabId="22" name="PivotTable1"/>
    <pivotTable tabId="27" name="PivotTable1"/>
    <pivotTable tabId="28" name="PivotTable1"/>
    <pivotTable tabId="36" name="PivotTable1"/>
    <pivotTable tabId="39" name="PivotTable1"/>
    <pivotTable tabId="40" name="PivotTable1"/>
    <pivotTable tabId="41" name="PivotTable1"/>
  </pivotTables>
  <data>
    <tabular pivotCacheId="188605326">
      <items count="15">
        <i x="11" s="1"/>
        <i x="0" s="1"/>
        <i x="7" s="1"/>
        <i x="5" s="1"/>
        <i x="4" s="1"/>
        <i x="1" s="1"/>
        <i x="6" s="1"/>
        <i x="9" s="1"/>
        <i x="3" s="1"/>
        <i x="12" s="1"/>
        <i x="8" s="1"/>
        <i x="10" s="1"/>
        <i x="2" s="1"/>
        <i x="1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25A09BD-5417-43E6-8C44-B1D72AA92861}" sourceName="Salesperson">
  <pivotTables>
    <pivotTable tabId="19" name="PivotTable1"/>
    <pivotTable tabId="30" name="PivotTable1"/>
    <pivotTable tabId="29" name="PivotTable1"/>
    <pivotTable tabId="26" name="PivotTable1"/>
    <pivotTable tabId="25" name="PivotTable1"/>
    <pivotTable tabId="22" name="PivotTable1"/>
    <pivotTable tabId="27" name="PivotTable1"/>
    <pivotTable tabId="28" name="PivotTable1"/>
    <pivotTable tabId="36" name="PivotTable1"/>
    <pivotTable tabId="39" name="PivotTable1"/>
    <pivotTable tabId="40" name="PivotTable1"/>
    <pivotTable tabId="41" name="PivotTable1"/>
  </pivotTables>
  <data>
    <tabular pivotCacheId="188605326">
      <items count="8">
        <i x="1" s="1"/>
        <i x="5" s="1"/>
        <i x="3" s="1"/>
        <i x="6" s="1"/>
        <i x="0" s="1"/>
        <i x="4"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8A618AF-EC06-4FDE-A50D-FBC037D4D990}" sourceName="City">
  <pivotTables>
    <pivotTable tabId="22" name="PivotTable1"/>
    <pivotTable tabId="30" name="PivotTable1"/>
    <pivotTable tabId="29" name="PivotTable1"/>
    <pivotTable tabId="19" name="PivotTable1"/>
    <pivotTable tabId="26" name="PivotTable1"/>
    <pivotTable tabId="25" name="PivotTable1"/>
    <pivotTable tabId="27" name="PivotTable1"/>
    <pivotTable tabId="28" name="PivotTable1"/>
    <pivotTable tabId="36" name="PivotTable1"/>
    <pivotTable tabId="39" name="PivotTable1"/>
    <pivotTable tabId="40" name="PivotTable1"/>
    <pivotTable tabId="41" name="PivotTable1"/>
  </pivotTables>
  <data>
    <tabular pivotCacheId="188605326">
      <items count="12">
        <i x="8" s="1"/>
        <i x="7" s="1"/>
        <i x="3" s="1"/>
        <i x="0" s="1"/>
        <i x="4" s="1"/>
        <i x="6" s="1"/>
        <i x="9" s="1"/>
        <i x="5" s="1"/>
        <i x="1" s="1"/>
        <i x="2" s="1"/>
        <i x="1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CB3450-8BA5-4ADD-8B83-397EF2D2B30C}" sourceName="Region">
  <pivotTables>
    <pivotTable tabId="25" name="PivotTable1"/>
  </pivotTables>
  <data>
    <tabular pivotCacheId="188605326">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C1FB135-BA95-496D-BE7C-348F326878C3}" sourceName="Product Name">
  <pivotTables>
    <pivotTable tabId="27" name="PivotTable1"/>
  </pivotTables>
  <data>
    <tabular pivotCacheId="188605326">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76733405-60C5-4662-8BF5-B79FA7CE1DEB}" cache="Slicer_Customer_Name" caption="Customer Name" startItem="8" style="SlicerStyleDark5" rowHeight="241300"/>
  <slicer name="Salesperson" xr10:uid="{E575E54E-32CE-43AF-B73C-5365036377C6}" cache="Slicer_Salesperson" caption="Salesperson" startItem="2" style="SlicerStyleDark5" rowHeight="241300"/>
  <slicer name="City" xr10:uid="{43D4AB8A-BDDD-479D-8841-AD2A3D540A65}" cache="Slicer_City" caption="City" startItem="7" style="SlicerStyleDark5" rowHeight="241300"/>
  <slicer name="Region" xr10:uid="{12515565-1CD9-4537-8490-1839700B7A72}" cache="Slicer_Region" caption="Region" style="SlicerStyleDark5" rowHeight="241300"/>
  <slicer name="Product Name" xr10:uid="{94446DEF-7CBB-4244-BE7A-ED3A7E08AA58}" cache="Slicer_Product_Name" caption="Product Nam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2B953-FCBA-4608-92A1-9E64133CCA69}" name="Table1" displayName="Table1" ref="A1:Z33" totalsRowShown="0">
  <autoFilter ref="A1:Z33" xr:uid="{7B22B953-FCBA-4608-92A1-9E64133CCA69}"/>
  <tableColumns count="26">
    <tableColumn id="1" xr3:uid="{F816A4D0-54FE-4A2B-A40F-536C4C0C7317}" name="Order ID"/>
    <tableColumn id="2" xr3:uid="{6EE5409C-2813-41D0-84D9-7675C13AE0D5}" name="Order Date" dataDxfId="2"/>
    <tableColumn id="3" xr3:uid="{471C7DA2-D6A7-4ED8-91ED-F7B6EA8A8752}" name="Customer ID"/>
    <tableColumn id="4" xr3:uid="{EC40F951-43A0-438A-B9F1-FEE22D41EC95}" name="Customer Name"/>
    <tableColumn id="5" xr3:uid="{60D79D2D-A37B-4504-BCF9-D032BD86F330}" name="Address"/>
    <tableColumn id="6" xr3:uid="{9ED1AC17-5E16-4F73-AEBC-8AF7823D7049}" name="City"/>
    <tableColumn id="7" xr3:uid="{9B0F1FCC-5B87-49D4-8967-16DA9B568707}" name="State"/>
    <tableColumn id="8" xr3:uid="{AD64DED4-9F3C-43CB-964A-D17E8044E560}" name="ZIP/Postal Code"/>
    <tableColumn id="9" xr3:uid="{AB46380C-8A9D-4527-9B7B-6DA1F3829D0F}" name="Country/Region"/>
    <tableColumn id="10" xr3:uid="{7CD5475F-65DB-4069-87C7-F385AC645286}" name="Salesperson"/>
    <tableColumn id="11" xr3:uid="{4EA7F1B6-9C2E-43BE-AD62-71DCB8EFD2DF}" name="Region"/>
    <tableColumn id="12" xr3:uid="{69E6647F-3B8C-4DF8-8EDF-0DD918ACA58B}" name="Shipped Date" dataDxfId="1"/>
    <tableColumn id="13" xr3:uid="{62A8AA3E-2FF5-42AA-83FB-3E490F4F9F31}" name="Shipper Name"/>
    <tableColumn id="14" xr3:uid="{2B25280C-7901-4AD8-BE42-FBCF9A844945}" name="Ship Name"/>
    <tableColumn id="15" xr3:uid="{AAC1E2C4-BFFE-4C2D-928C-B24E6CA57224}" name="Ship Address"/>
    <tableColumn id="16" xr3:uid="{9A536AF7-E0EC-4A6A-8EE5-C025D555F82B}" name="Ship City"/>
    <tableColumn id="17" xr3:uid="{2FA05C20-A261-4A8C-A1E4-BC2A97A73CD7}" name="Ship State"/>
    <tableColumn id="18" xr3:uid="{7587ED8E-E68B-471C-A49D-F78C89B62E48}" name="Ship ZIP/Postal Code"/>
    <tableColumn id="19" xr3:uid="{246973D3-665D-42E9-94C9-37F17CB5A8C4}" name="Ship Country/Region"/>
    <tableColumn id="20" xr3:uid="{ED9A7FE8-3685-41A4-8891-BEB3F3ACD587}" name="Payment Type"/>
    <tableColumn id="21" xr3:uid="{DD799714-C189-467F-9A44-50EDE413C147}" name="Product Name"/>
    <tableColumn id="22" xr3:uid="{48F520A2-FD26-462C-AAB8-0A8E1899783E}" name="Category"/>
    <tableColumn id="23" xr3:uid="{D8ED4479-1DC6-4534-8F23-311835E4D270}" name="Unit Price"/>
    <tableColumn id="24" xr3:uid="{A3D455C0-BDAE-4BB9-90C2-47BBF2091F51}" name="Quantity"/>
    <tableColumn id="25" xr3:uid="{C8CC53B8-32ED-4584-964C-6DF572CCA8A1}" name="Revenue"/>
    <tableColumn id="26" xr3:uid="{F017111C-259E-44CE-890B-C67E517472B0}" name="Shipping Fe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3.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www.excelcampus.com/pivot-tables/pivot-tables-work/"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1"/>
  <sheetViews>
    <sheetView workbookViewId="0">
      <selection activeCell="A16" sqref="A16"/>
    </sheetView>
  </sheetViews>
  <sheetFormatPr defaultRowHeight="15" x14ac:dyDescent="0.25"/>
  <cols>
    <col min="1" max="1" width="66.42578125" customWidth="1"/>
    <col min="3" max="3" width="9.140625" customWidth="1"/>
  </cols>
  <sheetData>
    <row r="2" spans="1:1" ht="21" x14ac:dyDescent="0.35">
      <c r="A2" s="7" t="s">
        <v>161</v>
      </c>
    </row>
    <row r="3" spans="1:1" ht="68.25" customHeight="1" x14ac:dyDescent="0.25">
      <c r="A3" s="9" t="s">
        <v>162</v>
      </c>
    </row>
    <row r="4" spans="1:1" ht="21" x14ac:dyDescent="0.35">
      <c r="A4" s="8" t="s">
        <v>156</v>
      </c>
    </row>
    <row r="5" spans="1:1" ht="21" x14ac:dyDescent="0.35">
      <c r="A5" s="8" t="s">
        <v>157</v>
      </c>
    </row>
    <row r="6" spans="1:1" ht="21" x14ac:dyDescent="0.35">
      <c r="A6" s="8" t="s">
        <v>158</v>
      </c>
    </row>
    <row r="7" spans="1:1" ht="21" x14ac:dyDescent="0.35">
      <c r="A7" s="8" t="s">
        <v>159</v>
      </c>
    </row>
    <row r="8" spans="1:1" ht="21" x14ac:dyDescent="0.35">
      <c r="A8" s="8" t="s">
        <v>160</v>
      </c>
    </row>
    <row r="9" spans="1:1" ht="21" x14ac:dyDescent="0.35">
      <c r="A9" s="8" t="s">
        <v>164</v>
      </c>
    </row>
    <row r="10" spans="1:1" ht="21" x14ac:dyDescent="0.35">
      <c r="A10" s="8" t="s">
        <v>165</v>
      </c>
    </row>
    <row r="11" spans="1:1" ht="21" x14ac:dyDescent="0.35">
      <c r="A11"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3:O16"/>
  <sheetViews>
    <sheetView zoomScale="90" zoomScaleNormal="90" workbookViewId="0">
      <selection activeCell="A8" sqref="A8:B8"/>
      <pivotSelection pane="bottomRight" showHeader="1" extendable="1" axis="axisRow" start="4" max="9" activeRow="7" previousRow="7" click="1" r:id="rId1">
        <pivotArea dataOnly="0" fieldPosition="0">
          <references count="1">
            <reference field="9" count="1">
              <x v="3"/>
            </reference>
          </references>
        </pivotArea>
      </pivotSelection>
    </sheetView>
  </sheetViews>
  <sheetFormatPr defaultRowHeight="15" x14ac:dyDescent="0.25"/>
  <cols>
    <col min="1" max="1" width="15.5703125" bestFit="1" customWidth="1"/>
    <col min="2" max="2" width="14.5703125" bestFit="1" customWidth="1"/>
  </cols>
  <sheetData>
    <row r="3" spans="1:15" x14ac:dyDescent="0.25">
      <c r="A3" s="10" t="s">
        <v>167</v>
      </c>
      <c r="B3" t="s">
        <v>169</v>
      </c>
    </row>
    <row r="4" spans="1:15" x14ac:dyDescent="0.25">
      <c r="A4" s="11" t="s">
        <v>60</v>
      </c>
      <c r="B4" s="3">
        <v>104252.33999999997</v>
      </c>
    </row>
    <row r="5" spans="1:15" x14ac:dyDescent="0.25">
      <c r="A5" s="11" t="s">
        <v>94</v>
      </c>
      <c r="B5" s="3">
        <v>93858.329999999987</v>
      </c>
    </row>
    <row r="6" spans="1:15" x14ac:dyDescent="0.25">
      <c r="A6" s="11" t="s">
        <v>44</v>
      </c>
      <c r="B6" s="3">
        <v>67180.5</v>
      </c>
    </row>
    <row r="7" spans="1:15" x14ac:dyDescent="0.25">
      <c r="A7" s="11" t="s">
        <v>31</v>
      </c>
      <c r="B7" s="3">
        <v>42370.880000000005</v>
      </c>
    </row>
    <row r="8" spans="1:15" x14ac:dyDescent="0.25">
      <c r="A8" s="11" t="s">
        <v>101</v>
      </c>
      <c r="B8" s="3">
        <v>41095.01</v>
      </c>
    </row>
    <row r="9" spans="1:15" x14ac:dyDescent="0.25">
      <c r="A9" s="11" t="s">
        <v>86</v>
      </c>
      <c r="B9" s="3">
        <v>37428</v>
      </c>
    </row>
    <row r="10" spans="1:15" x14ac:dyDescent="0.25">
      <c r="A10" s="11" t="s">
        <v>129</v>
      </c>
      <c r="B10" s="3">
        <v>32530.6</v>
      </c>
    </row>
    <row r="11" spans="1:15" x14ac:dyDescent="0.25">
      <c r="A11" s="11" t="s">
        <v>70</v>
      </c>
      <c r="B11" s="3">
        <v>16350.5</v>
      </c>
    </row>
    <row r="12" spans="1:15" x14ac:dyDescent="0.25">
      <c r="A12" s="11" t="s">
        <v>168</v>
      </c>
      <c r="B12" s="3">
        <v>435066.15999999992</v>
      </c>
    </row>
    <row r="16" spans="1:15" x14ac:dyDescent="0.25">
      <c r="O16" t="s">
        <v>192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9F8A-0916-494D-A26D-0E0BABF3E0EE}">
  <sheetPr>
    <tabColor theme="8"/>
  </sheetPr>
  <dimension ref="A3:O16"/>
  <sheetViews>
    <sheetView zoomScale="90" zoomScaleNormal="90" workbookViewId="0">
      <selection activeCell="F26" sqref="F26"/>
    </sheetView>
  </sheetViews>
  <sheetFormatPr defaultRowHeight="15" x14ac:dyDescent="0.25"/>
  <cols>
    <col min="1" max="1" width="14.7109375" bestFit="1" customWidth="1"/>
    <col min="2" max="2" width="14.5703125" bestFit="1" customWidth="1"/>
  </cols>
  <sheetData>
    <row r="3" spans="1:15" x14ac:dyDescent="0.25">
      <c r="A3" s="10" t="s">
        <v>167</v>
      </c>
      <c r="B3" t="s">
        <v>169</v>
      </c>
    </row>
    <row r="4" spans="1:15" x14ac:dyDescent="0.25">
      <c r="A4" s="11" t="s">
        <v>60</v>
      </c>
      <c r="B4" s="3">
        <v>104252.33999999997</v>
      </c>
    </row>
    <row r="5" spans="1:15" x14ac:dyDescent="0.25">
      <c r="A5" s="11" t="s">
        <v>94</v>
      </c>
      <c r="B5" s="3">
        <v>93858.329999999987</v>
      </c>
    </row>
    <row r="6" spans="1:15" x14ac:dyDescent="0.25">
      <c r="A6" s="11" t="s">
        <v>44</v>
      </c>
      <c r="B6" s="3">
        <v>67180.5</v>
      </c>
    </row>
    <row r="7" spans="1:15" x14ac:dyDescent="0.25">
      <c r="A7" s="11" t="s">
        <v>168</v>
      </c>
      <c r="B7" s="3">
        <v>265291.16999999993</v>
      </c>
    </row>
    <row r="16" spans="1:15" x14ac:dyDescent="0.25">
      <c r="O16" t="s">
        <v>192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EBB5-1B84-40B8-8EDA-AFA9D68290B8}">
  <sheetPr>
    <tabColor theme="8"/>
  </sheetPr>
  <dimension ref="A3:O16"/>
  <sheetViews>
    <sheetView zoomScale="90" zoomScaleNormal="90" workbookViewId="0">
      <selection activeCell="O9" sqref="O9"/>
    </sheetView>
  </sheetViews>
  <sheetFormatPr defaultRowHeight="15" x14ac:dyDescent="0.25"/>
  <cols>
    <col min="1" max="1" width="12.85546875" bestFit="1" customWidth="1"/>
    <col min="2" max="2" width="14.5703125" bestFit="1" customWidth="1"/>
  </cols>
  <sheetData>
    <row r="3" spans="1:15" x14ac:dyDescent="0.25">
      <c r="A3" s="10" t="s">
        <v>167</v>
      </c>
      <c r="B3" t="s">
        <v>169</v>
      </c>
    </row>
    <row r="4" spans="1:15" x14ac:dyDescent="0.25">
      <c r="A4" s="11" t="s">
        <v>61</v>
      </c>
      <c r="B4" s="3">
        <v>141680.33999999997</v>
      </c>
    </row>
    <row r="5" spans="1:15" x14ac:dyDescent="0.25">
      <c r="A5" s="11" t="s">
        <v>45</v>
      </c>
      <c r="B5" s="3">
        <v>108275.51</v>
      </c>
    </row>
    <row r="6" spans="1:15" x14ac:dyDescent="0.25">
      <c r="A6" s="11" t="s">
        <v>95</v>
      </c>
      <c r="B6" s="3">
        <v>93858.329999999987</v>
      </c>
    </row>
    <row r="7" spans="1:15" x14ac:dyDescent="0.25">
      <c r="A7" s="11" t="s">
        <v>32</v>
      </c>
      <c r="B7" s="3">
        <v>91251.979999999981</v>
      </c>
    </row>
    <row r="8" spans="1:15" x14ac:dyDescent="0.25">
      <c r="A8" s="11" t="s">
        <v>168</v>
      </c>
      <c r="B8" s="3">
        <v>435066.15999999992</v>
      </c>
    </row>
    <row r="16" spans="1:15" x14ac:dyDescent="0.25">
      <c r="O16" t="s">
        <v>192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3:B14"/>
  <sheetViews>
    <sheetView zoomScale="90" zoomScaleNormal="90" workbookViewId="0">
      <selection activeCell="Q18" sqref="Q18"/>
    </sheetView>
  </sheetViews>
  <sheetFormatPr defaultRowHeight="15" x14ac:dyDescent="0.25"/>
  <cols>
    <col min="1" max="1" width="12.85546875" bestFit="1" customWidth="1"/>
    <col min="2" max="2" width="14.5703125" bestFit="1" customWidth="1"/>
  </cols>
  <sheetData>
    <row r="3" spans="1:2" x14ac:dyDescent="0.25">
      <c r="A3" s="10" t="s">
        <v>167</v>
      </c>
      <c r="B3" t="s">
        <v>169</v>
      </c>
    </row>
    <row r="4" spans="1:2" x14ac:dyDescent="0.25">
      <c r="A4" s="11" t="s">
        <v>40</v>
      </c>
      <c r="B4" s="3">
        <v>67180.5</v>
      </c>
    </row>
    <row r="5" spans="1:2" x14ac:dyDescent="0.25">
      <c r="A5" s="11" t="s">
        <v>56</v>
      </c>
      <c r="B5" s="3">
        <v>50208.35</v>
      </c>
    </row>
    <row r="6" spans="1:2" x14ac:dyDescent="0.25">
      <c r="A6" s="11" t="s">
        <v>90</v>
      </c>
      <c r="B6" s="3">
        <v>43713</v>
      </c>
    </row>
    <row r="7" spans="1:2" x14ac:dyDescent="0.25">
      <c r="A7" s="11" t="s">
        <v>82</v>
      </c>
      <c r="B7" s="3">
        <v>37428</v>
      </c>
    </row>
    <row r="8" spans="1:2" x14ac:dyDescent="0.25">
      <c r="A8" s="11" t="s">
        <v>118</v>
      </c>
      <c r="B8" s="3">
        <v>36839.990000000005</v>
      </c>
    </row>
    <row r="9" spans="1:2" x14ac:dyDescent="0.25">
      <c r="A9" s="11" t="s">
        <v>125</v>
      </c>
      <c r="B9" s="3">
        <v>32530.6</v>
      </c>
    </row>
    <row r="10" spans="1:2" x14ac:dyDescent="0.25">
      <c r="A10" s="11" t="s">
        <v>97</v>
      </c>
      <c r="B10" s="3">
        <v>29133.009999999995</v>
      </c>
    </row>
    <row r="11" spans="1:2" x14ac:dyDescent="0.25">
      <c r="A11" s="11" t="s">
        <v>140</v>
      </c>
      <c r="B11" s="3">
        <v>28208.250000000007</v>
      </c>
    </row>
    <row r="12" spans="1:2" x14ac:dyDescent="0.25">
      <c r="A12" s="11" t="s">
        <v>74</v>
      </c>
      <c r="B12" s="3">
        <v>27005.38</v>
      </c>
    </row>
    <row r="13" spans="1:2" x14ac:dyDescent="0.25">
      <c r="A13" s="11" t="s">
        <v>113</v>
      </c>
      <c r="B13" s="3">
        <v>21937.08</v>
      </c>
    </row>
    <row r="14" spans="1:2" x14ac:dyDescent="0.25">
      <c r="A14" s="11" t="s">
        <v>168</v>
      </c>
      <c r="B14" s="3">
        <v>374184.16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3:B16"/>
  <sheetViews>
    <sheetView zoomScale="90" zoomScaleNormal="90" workbookViewId="0">
      <selection activeCell="A8" sqref="A8"/>
    </sheetView>
  </sheetViews>
  <sheetFormatPr defaultRowHeight="15" x14ac:dyDescent="0.25"/>
  <cols>
    <col min="1" max="1" width="12.85546875" bestFit="1" customWidth="1"/>
    <col min="2" max="2" width="14.5703125" bestFit="1" customWidth="1"/>
  </cols>
  <sheetData>
    <row r="3" spans="1:2" x14ac:dyDescent="0.25">
      <c r="A3" s="10" t="s">
        <v>167</v>
      </c>
      <c r="B3" t="s">
        <v>169</v>
      </c>
    </row>
    <row r="4" spans="1:2" x14ac:dyDescent="0.25">
      <c r="A4" s="12" t="s">
        <v>170</v>
      </c>
      <c r="B4" s="3">
        <v>32907.839999999997</v>
      </c>
    </row>
    <row r="5" spans="1:2" x14ac:dyDescent="0.25">
      <c r="A5" s="12" t="s">
        <v>171</v>
      </c>
      <c r="B5" s="3">
        <v>19985.5</v>
      </c>
    </row>
    <row r="6" spans="1:2" x14ac:dyDescent="0.25">
      <c r="A6" s="12" t="s">
        <v>172</v>
      </c>
      <c r="B6" s="3">
        <v>30852.6</v>
      </c>
    </row>
    <row r="7" spans="1:2" x14ac:dyDescent="0.25">
      <c r="A7" s="12" t="s">
        <v>173</v>
      </c>
      <c r="B7" s="3">
        <v>20771.789999999997</v>
      </c>
    </row>
    <row r="8" spans="1:2" x14ac:dyDescent="0.25">
      <c r="A8" s="12" t="s">
        <v>174</v>
      </c>
      <c r="B8" s="3">
        <v>34307.049999999996</v>
      </c>
    </row>
    <row r="9" spans="1:2" x14ac:dyDescent="0.25">
      <c r="A9" s="12" t="s">
        <v>175</v>
      </c>
      <c r="B9" s="3">
        <v>55601.61</v>
      </c>
    </row>
    <row r="10" spans="1:2" x14ac:dyDescent="0.25">
      <c r="A10" s="12" t="s">
        <v>176</v>
      </c>
      <c r="B10" s="3">
        <v>27318.539999999997</v>
      </c>
    </row>
    <row r="11" spans="1:2" x14ac:dyDescent="0.25">
      <c r="A11" s="12" t="s">
        <v>177</v>
      </c>
      <c r="B11" s="3">
        <v>29921.459999999995</v>
      </c>
    </row>
    <row r="12" spans="1:2" x14ac:dyDescent="0.25">
      <c r="A12" s="12" t="s">
        <v>178</v>
      </c>
      <c r="B12" s="3">
        <v>31949.97</v>
      </c>
    </row>
    <row r="13" spans="1:2" x14ac:dyDescent="0.25">
      <c r="A13" s="12" t="s">
        <v>179</v>
      </c>
      <c r="B13" s="3">
        <v>53033.59</v>
      </c>
    </row>
    <row r="14" spans="1:2" x14ac:dyDescent="0.25">
      <c r="A14" s="12" t="s">
        <v>180</v>
      </c>
      <c r="B14" s="3">
        <v>31773.429999999997</v>
      </c>
    </row>
    <row r="15" spans="1:2" x14ac:dyDescent="0.25">
      <c r="A15" s="12" t="s">
        <v>181</v>
      </c>
      <c r="B15" s="3">
        <v>66642.78</v>
      </c>
    </row>
    <row r="16" spans="1:2" x14ac:dyDescent="0.25">
      <c r="A16" s="12" t="s">
        <v>168</v>
      </c>
      <c r="B16" s="3">
        <v>435066.15999999992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3:B10"/>
  <sheetViews>
    <sheetView zoomScale="90" zoomScaleNormal="90" workbookViewId="0">
      <selection activeCell="A6" sqref="A6"/>
    </sheetView>
  </sheetViews>
  <sheetFormatPr defaultRowHeight="15" x14ac:dyDescent="0.25"/>
  <cols>
    <col min="1" max="1" width="16.42578125" bestFit="1" customWidth="1"/>
    <col min="2" max="2" width="14.5703125" bestFit="1" customWidth="1"/>
  </cols>
  <sheetData>
    <row r="3" spans="1:2" x14ac:dyDescent="0.25">
      <c r="A3" s="10" t="s">
        <v>167</v>
      </c>
      <c r="B3" t="s">
        <v>169</v>
      </c>
    </row>
    <row r="4" spans="1:2" x14ac:dyDescent="0.25">
      <c r="A4" s="11" t="s">
        <v>37</v>
      </c>
      <c r="B4" s="3">
        <v>110577.10999999999</v>
      </c>
    </row>
    <row r="5" spans="1:2" x14ac:dyDescent="0.25">
      <c r="A5" s="11" t="s">
        <v>89</v>
      </c>
      <c r="B5" s="3">
        <v>69000</v>
      </c>
    </row>
    <row r="6" spans="1:2" x14ac:dyDescent="0.25">
      <c r="A6" s="11" t="s">
        <v>110</v>
      </c>
      <c r="B6" s="3">
        <v>51541</v>
      </c>
    </row>
    <row r="7" spans="1:2" x14ac:dyDescent="0.25">
      <c r="A7" s="11" t="s">
        <v>134</v>
      </c>
      <c r="B7" s="3">
        <v>33129.600000000006</v>
      </c>
    </row>
    <row r="8" spans="1:2" x14ac:dyDescent="0.25">
      <c r="A8" s="11" t="s">
        <v>39</v>
      </c>
      <c r="B8" s="3">
        <v>27999.5</v>
      </c>
    </row>
    <row r="9" spans="1:2" x14ac:dyDescent="0.25">
      <c r="A9" s="11" t="s">
        <v>124</v>
      </c>
      <c r="B9" s="3">
        <v>25465.599999999999</v>
      </c>
    </row>
    <row r="10" spans="1:2" x14ac:dyDescent="0.25">
      <c r="A10" s="11" t="s">
        <v>168</v>
      </c>
      <c r="B10" s="3">
        <v>317712.81</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689B-1CAC-41E1-82BD-9F7571A49DB8}">
  <sheetPr>
    <tabColor theme="5" tint="0.59999389629810485"/>
  </sheetPr>
  <dimension ref="A3:B7"/>
  <sheetViews>
    <sheetView zoomScale="90" zoomScaleNormal="90" workbookViewId="0">
      <selection activeCell="B5" sqref="B5"/>
    </sheetView>
  </sheetViews>
  <sheetFormatPr defaultRowHeight="15" x14ac:dyDescent="0.25"/>
  <cols>
    <col min="1" max="1" width="14" bestFit="1" customWidth="1"/>
    <col min="2" max="2" width="14.5703125" bestFit="1" customWidth="1"/>
  </cols>
  <sheetData>
    <row r="3" spans="1:2" x14ac:dyDescent="0.25">
      <c r="A3" s="10" t="s">
        <v>167</v>
      </c>
      <c r="B3" t="s">
        <v>169</v>
      </c>
    </row>
    <row r="4" spans="1:2" x14ac:dyDescent="0.25">
      <c r="A4" s="11" t="s">
        <v>37</v>
      </c>
      <c r="B4" s="18">
        <v>0.47844416000113532</v>
      </c>
    </row>
    <row r="5" spans="1:2" x14ac:dyDescent="0.25">
      <c r="A5" s="11" t="s">
        <v>89</v>
      </c>
      <c r="B5" s="18">
        <v>0.29854865116368423</v>
      </c>
    </row>
    <row r="6" spans="1:2" x14ac:dyDescent="0.25">
      <c r="A6" s="11" t="s">
        <v>110</v>
      </c>
      <c r="B6" s="18">
        <v>0.22300718883518042</v>
      </c>
    </row>
    <row r="7" spans="1:2" x14ac:dyDescent="0.25">
      <c r="A7" s="11" t="s">
        <v>168</v>
      </c>
      <c r="B7" s="18">
        <v>1</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3:E16"/>
  <sheetViews>
    <sheetView zoomScale="90" zoomScaleNormal="90" workbookViewId="0">
      <selection activeCell="E9" sqref="E9"/>
    </sheetView>
  </sheetViews>
  <sheetFormatPr defaultRowHeight="15" x14ac:dyDescent="0.25"/>
  <cols>
    <col min="1" max="1" width="12.85546875" bestFit="1" customWidth="1"/>
    <col min="2" max="2" width="14.5703125" bestFit="1" customWidth="1"/>
    <col min="5" max="5" width="13.5703125" customWidth="1"/>
  </cols>
  <sheetData>
    <row r="3" spans="1:5" x14ac:dyDescent="0.25">
      <c r="A3" s="10" t="s">
        <v>167</v>
      </c>
      <c r="B3" t="s">
        <v>169</v>
      </c>
      <c r="D3" s="15" t="s">
        <v>190</v>
      </c>
      <c r="E3" s="15" t="s">
        <v>191</v>
      </c>
    </row>
    <row r="4" spans="1:5" x14ac:dyDescent="0.25">
      <c r="A4" s="11" t="s">
        <v>43</v>
      </c>
      <c r="B4" s="3">
        <v>67180.5</v>
      </c>
      <c r="D4" s="11" t="s">
        <v>43</v>
      </c>
      <c r="E4" s="3">
        <v>67180.5</v>
      </c>
    </row>
    <row r="5" spans="1:5" x14ac:dyDescent="0.25">
      <c r="A5" s="11" t="s">
        <v>59</v>
      </c>
      <c r="B5" s="3">
        <v>50208.35</v>
      </c>
      <c r="D5" s="11" t="s">
        <v>59</v>
      </c>
      <c r="E5" s="3">
        <v>50208.35</v>
      </c>
    </row>
    <row r="6" spans="1:5" x14ac:dyDescent="0.25">
      <c r="A6" s="11" t="s">
        <v>116</v>
      </c>
      <c r="B6" s="3">
        <v>50145.330000000009</v>
      </c>
      <c r="D6" s="11" t="s">
        <v>116</v>
      </c>
      <c r="E6" s="3">
        <v>50145.330000000009</v>
      </c>
    </row>
    <row r="7" spans="1:5" x14ac:dyDescent="0.25">
      <c r="A7" s="11" t="s">
        <v>93</v>
      </c>
      <c r="B7" s="3">
        <v>43713</v>
      </c>
      <c r="D7" s="11" t="s">
        <v>93</v>
      </c>
      <c r="E7" s="3">
        <v>43713</v>
      </c>
    </row>
    <row r="8" spans="1:5" x14ac:dyDescent="0.25">
      <c r="A8" s="11" t="s">
        <v>100</v>
      </c>
      <c r="B8" s="3">
        <v>41095.01</v>
      </c>
      <c r="D8" s="11" t="s">
        <v>100</v>
      </c>
      <c r="E8" s="3">
        <v>41095.01</v>
      </c>
    </row>
    <row r="9" spans="1:5" x14ac:dyDescent="0.25">
      <c r="A9" s="11" t="s">
        <v>85</v>
      </c>
      <c r="B9" s="3">
        <v>37428</v>
      </c>
      <c r="D9" s="11" t="s">
        <v>85</v>
      </c>
      <c r="E9" s="3">
        <v>37428</v>
      </c>
    </row>
    <row r="10" spans="1:5" x14ac:dyDescent="0.25">
      <c r="A10" s="11" t="s">
        <v>121</v>
      </c>
      <c r="B10" s="3">
        <v>36839.990000000005</v>
      </c>
      <c r="D10" s="11" t="s">
        <v>121</v>
      </c>
      <c r="E10" s="3">
        <v>36839.990000000005</v>
      </c>
    </row>
    <row r="11" spans="1:5" x14ac:dyDescent="0.25">
      <c r="A11" s="11" t="s">
        <v>128</v>
      </c>
      <c r="B11" s="3">
        <v>32530.6</v>
      </c>
      <c r="D11" s="11" t="s">
        <v>128</v>
      </c>
      <c r="E11" s="3">
        <v>32530.6</v>
      </c>
    </row>
    <row r="12" spans="1:5" x14ac:dyDescent="0.25">
      <c r="A12" s="11" t="s">
        <v>77</v>
      </c>
      <c r="B12" s="3">
        <v>27005.38</v>
      </c>
      <c r="D12" s="11" t="s">
        <v>77</v>
      </c>
      <c r="E12" s="3">
        <v>27005.38</v>
      </c>
    </row>
    <row r="13" spans="1:5" x14ac:dyDescent="0.25">
      <c r="A13" s="11" t="s">
        <v>107</v>
      </c>
      <c r="B13" s="3">
        <v>17204</v>
      </c>
      <c r="D13" s="11" t="s">
        <v>107</v>
      </c>
      <c r="E13" s="3">
        <v>17204</v>
      </c>
    </row>
    <row r="14" spans="1:5" x14ac:dyDescent="0.25">
      <c r="A14" s="11" t="s">
        <v>69</v>
      </c>
      <c r="B14" s="3">
        <v>16350.5</v>
      </c>
      <c r="D14" s="11" t="s">
        <v>69</v>
      </c>
      <c r="E14" s="3">
        <v>16350.5</v>
      </c>
    </row>
    <row r="15" spans="1:5" x14ac:dyDescent="0.25">
      <c r="A15" s="11" t="s">
        <v>29</v>
      </c>
      <c r="B15" s="3">
        <v>15365.5</v>
      </c>
      <c r="D15" s="11" t="s">
        <v>29</v>
      </c>
      <c r="E15" s="3">
        <v>15365.5</v>
      </c>
    </row>
    <row r="16" spans="1:5" x14ac:dyDescent="0.25">
      <c r="A16" s="11" t="s">
        <v>168</v>
      </c>
      <c r="B16" s="3">
        <v>435066.16</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0587-2AD4-4A9A-A2EE-841D4AA5B3BE}">
  <sheetPr>
    <tabColor theme="5" tint="0.59999389629810485"/>
  </sheetPr>
  <dimension ref="A3:E16"/>
  <sheetViews>
    <sheetView zoomScale="90" zoomScaleNormal="90" workbookViewId="0">
      <selection activeCell="O19" sqref="O19"/>
    </sheetView>
  </sheetViews>
  <sheetFormatPr defaultRowHeight="15" x14ac:dyDescent="0.25"/>
  <cols>
    <col min="1" max="1" width="12.85546875" bestFit="1" customWidth="1"/>
    <col min="2" max="2" width="14.5703125" bestFit="1" customWidth="1"/>
    <col min="5" max="5" width="13.5703125" customWidth="1"/>
  </cols>
  <sheetData>
    <row r="3" spans="1:5" x14ac:dyDescent="0.25">
      <c r="A3" s="10" t="s">
        <v>167</v>
      </c>
      <c r="B3" t="s">
        <v>169</v>
      </c>
    </row>
    <row r="4" spans="1:5" x14ac:dyDescent="0.25">
      <c r="A4" s="11" t="s">
        <v>43</v>
      </c>
      <c r="B4" s="3">
        <v>67180.5</v>
      </c>
      <c r="D4" s="15" t="s">
        <v>190</v>
      </c>
      <c r="E4" s="15" t="s">
        <v>191</v>
      </c>
    </row>
    <row r="5" spans="1:5" x14ac:dyDescent="0.25">
      <c r="A5" s="11" t="s">
        <v>59</v>
      </c>
      <c r="B5" s="3">
        <v>50208.35</v>
      </c>
      <c r="D5" s="11" t="s">
        <v>43</v>
      </c>
      <c r="E5" s="3">
        <v>67180.5</v>
      </c>
    </row>
    <row r="6" spans="1:5" x14ac:dyDescent="0.25">
      <c r="A6" s="11" t="s">
        <v>116</v>
      </c>
      <c r="B6" s="3">
        <v>50145.330000000009</v>
      </c>
      <c r="D6" s="11" t="s">
        <v>59</v>
      </c>
      <c r="E6" s="3">
        <v>50208.35</v>
      </c>
    </row>
    <row r="7" spans="1:5" x14ac:dyDescent="0.25">
      <c r="A7" s="11" t="s">
        <v>93</v>
      </c>
      <c r="B7" s="3">
        <v>43713</v>
      </c>
      <c r="D7" s="11" t="s">
        <v>116</v>
      </c>
      <c r="E7" s="3">
        <v>50145.330000000009</v>
      </c>
    </row>
    <row r="8" spans="1:5" x14ac:dyDescent="0.25">
      <c r="A8" s="11" t="s">
        <v>100</v>
      </c>
      <c r="B8" s="3">
        <v>41095.01</v>
      </c>
      <c r="D8" s="11" t="s">
        <v>93</v>
      </c>
      <c r="E8" s="3">
        <v>43713</v>
      </c>
    </row>
    <row r="9" spans="1:5" x14ac:dyDescent="0.25">
      <c r="A9" s="11" t="s">
        <v>85</v>
      </c>
      <c r="B9" s="3">
        <v>37428</v>
      </c>
      <c r="D9" s="11" t="s">
        <v>100</v>
      </c>
      <c r="E9" s="3">
        <v>41095.01</v>
      </c>
    </row>
    <row r="10" spans="1:5" x14ac:dyDescent="0.25">
      <c r="A10" s="11" t="s">
        <v>121</v>
      </c>
      <c r="B10" s="3">
        <v>36839.990000000005</v>
      </c>
      <c r="D10" s="11" t="s">
        <v>85</v>
      </c>
      <c r="E10" s="3">
        <v>37428</v>
      </c>
    </row>
    <row r="11" spans="1:5" x14ac:dyDescent="0.25">
      <c r="A11" s="11" t="s">
        <v>128</v>
      </c>
      <c r="B11" s="3">
        <v>32530.6</v>
      </c>
      <c r="D11" s="11" t="s">
        <v>121</v>
      </c>
      <c r="E11" s="3">
        <v>36839.990000000005</v>
      </c>
    </row>
    <row r="12" spans="1:5" x14ac:dyDescent="0.25">
      <c r="A12" s="11" t="s">
        <v>77</v>
      </c>
      <c r="B12" s="3">
        <v>27005.38</v>
      </c>
      <c r="D12" s="11" t="s">
        <v>128</v>
      </c>
      <c r="E12" s="3">
        <v>32530.6</v>
      </c>
    </row>
    <row r="13" spans="1:5" x14ac:dyDescent="0.25">
      <c r="A13" s="11" t="s">
        <v>107</v>
      </c>
      <c r="B13" s="3">
        <v>17204</v>
      </c>
      <c r="D13" s="11" t="s">
        <v>77</v>
      </c>
      <c r="E13" s="3">
        <v>27005.38</v>
      </c>
    </row>
    <row r="14" spans="1:5" x14ac:dyDescent="0.25">
      <c r="A14" s="11" t="s">
        <v>69</v>
      </c>
      <c r="B14" s="3">
        <v>16350.5</v>
      </c>
      <c r="D14" s="11" t="s">
        <v>107</v>
      </c>
      <c r="E14" s="3">
        <v>17204</v>
      </c>
    </row>
    <row r="15" spans="1:5" x14ac:dyDescent="0.25">
      <c r="A15" s="11" t="s">
        <v>29</v>
      </c>
      <c r="B15" s="3">
        <v>15365.5</v>
      </c>
      <c r="D15" s="11" t="s">
        <v>69</v>
      </c>
      <c r="E15" s="3">
        <v>16350.5</v>
      </c>
    </row>
    <row r="16" spans="1:5" x14ac:dyDescent="0.25">
      <c r="A16" s="11" t="s">
        <v>168</v>
      </c>
      <c r="B16" s="3">
        <v>435066.16</v>
      </c>
      <c r="D16" s="11" t="s">
        <v>29</v>
      </c>
      <c r="E16" s="3">
        <v>15365.5</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3:B11"/>
  <sheetViews>
    <sheetView zoomScaleNormal="100" workbookViewId="0">
      <selection activeCell="M17" sqref="M17"/>
    </sheetView>
  </sheetViews>
  <sheetFormatPr defaultRowHeight="15" x14ac:dyDescent="0.25"/>
  <cols>
    <col min="1" max="1" width="12.42578125" bestFit="1" customWidth="1"/>
    <col min="2" max="2" width="15.85546875" bestFit="1" customWidth="1"/>
  </cols>
  <sheetData>
    <row r="3" spans="1:2" x14ac:dyDescent="0.25">
      <c r="A3" s="10" t="s">
        <v>167</v>
      </c>
      <c r="B3" t="s">
        <v>189</v>
      </c>
    </row>
    <row r="4" spans="1:2" x14ac:dyDescent="0.25">
      <c r="A4" s="13" t="s">
        <v>182</v>
      </c>
      <c r="B4" s="14">
        <v>221</v>
      </c>
    </row>
    <row r="5" spans="1:2" x14ac:dyDescent="0.25">
      <c r="A5" s="13" t="s">
        <v>183</v>
      </c>
      <c r="B5" s="14">
        <v>82</v>
      </c>
    </row>
    <row r="6" spans="1:2" x14ac:dyDescent="0.25">
      <c r="A6" s="13" t="s">
        <v>184</v>
      </c>
      <c r="B6" s="14">
        <v>32</v>
      </c>
    </row>
    <row r="7" spans="1:2" x14ac:dyDescent="0.25">
      <c r="A7" s="13" t="s">
        <v>185</v>
      </c>
      <c r="B7" s="14">
        <v>23</v>
      </c>
    </row>
    <row r="8" spans="1:2" x14ac:dyDescent="0.25">
      <c r="A8" s="13" t="s">
        <v>186</v>
      </c>
      <c r="B8" s="14">
        <v>8</v>
      </c>
    </row>
    <row r="9" spans="1:2" x14ac:dyDescent="0.25">
      <c r="A9" s="13" t="s">
        <v>187</v>
      </c>
      <c r="B9" s="14">
        <v>2</v>
      </c>
    </row>
    <row r="10" spans="1:2" x14ac:dyDescent="0.25">
      <c r="A10" s="13" t="s">
        <v>188</v>
      </c>
      <c r="B10" s="14">
        <v>1</v>
      </c>
    </row>
    <row r="11" spans="1:2" x14ac:dyDescent="0.25">
      <c r="A11" s="13" t="s">
        <v>168</v>
      </c>
      <c r="B11" s="14">
        <v>369</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98D2C-05DD-4A77-B9EA-09275F2DFE43}">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3:B9"/>
  <sheetViews>
    <sheetView zoomScale="90" zoomScaleNormal="90" workbookViewId="0">
      <selection activeCell="R5" sqref="R5"/>
    </sheetView>
  </sheetViews>
  <sheetFormatPr defaultRowHeight="15" x14ac:dyDescent="0.25"/>
  <cols>
    <col min="1" max="1" width="12.85546875" bestFit="1" customWidth="1"/>
    <col min="2" max="2" width="14.5703125" bestFit="1" customWidth="1"/>
  </cols>
  <sheetData>
    <row r="3" spans="1:2" x14ac:dyDescent="0.25">
      <c r="A3" s="10" t="s">
        <v>167</v>
      </c>
      <c r="B3" t="s">
        <v>169</v>
      </c>
    </row>
    <row r="4" spans="1:2" x14ac:dyDescent="0.25">
      <c r="A4" s="11" t="s">
        <v>42</v>
      </c>
      <c r="B4" s="3">
        <v>67180.5</v>
      </c>
    </row>
    <row r="5" spans="1:2" x14ac:dyDescent="0.25">
      <c r="A5" s="11" t="s">
        <v>58</v>
      </c>
      <c r="B5" s="3">
        <v>50208.35</v>
      </c>
    </row>
    <row r="6" spans="1:2" x14ac:dyDescent="0.25">
      <c r="A6" s="11" t="s">
        <v>115</v>
      </c>
      <c r="B6" s="3">
        <v>50145.330000000009</v>
      </c>
    </row>
    <row r="7" spans="1:2" x14ac:dyDescent="0.25">
      <c r="A7" s="11" t="s">
        <v>92</v>
      </c>
      <c r="B7" s="3">
        <v>43713</v>
      </c>
    </row>
    <row r="8" spans="1:2" x14ac:dyDescent="0.25">
      <c r="A8" s="11" t="s">
        <v>99</v>
      </c>
      <c r="B8" s="3">
        <v>41095.01</v>
      </c>
    </row>
    <row r="9" spans="1:2" x14ac:dyDescent="0.25">
      <c r="A9" s="11" t="s">
        <v>168</v>
      </c>
      <c r="B9" s="3">
        <v>252342.19000000003</v>
      </c>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240C-74D3-4F9F-B4C5-D44B988E6EA7}">
  <sheetPr>
    <tabColor theme="8"/>
  </sheetPr>
  <dimension ref="A1:Z33"/>
  <sheetViews>
    <sheetView workbookViewId="0">
      <selection sqref="A1:Z33"/>
    </sheetView>
  </sheetViews>
  <sheetFormatPr defaultRowHeight="15" x14ac:dyDescent="0.25"/>
  <cols>
    <col min="1" max="1" width="10" customWidth="1"/>
    <col min="2" max="2" width="12.140625" customWidth="1"/>
    <col min="3" max="3" width="13.28515625" customWidth="1"/>
    <col min="4" max="4" width="16.42578125" customWidth="1"/>
    <col min="5" max="5" width="9.5703125" customWidth="1"/>
    <col min="8" max="8" width="16.140625" customWidth="1"/>
    <col min="9" max="9" width="16" customWidth="1"/>
    <col min="10" max="10" width="12.85546875" customWidth="1"/>
    <col min="12" max="12" width="14" customWidth="1"/>
    <col min="13" max="13" width="14.5703125" customWidth="1"/>
    <col min="14" max="14" width="11.7109375" customWidth="1"/>
    <col min="15" max="15" width="13.5703125" customWidth="1"/>
    <col min="16" max="16" width="10" customWidth="1"/>
    <col min="17" max="17" width="11.140625" customWidth="1"/>
    <col min="18" max="18" width="20.140625" customWidth="1"/>
    <col min="19" max="19" width="20" customWidth="1"/>
    <col min="20" max="20" width="14.7109375" customWidth="1"/>
    <col min="21" max="21" width="14.85546875" customWidth="1"/>
    <col min="22" max="22" width="10.28515625" customWidth="1"/>
    <col min="23" max="23" width="10.85546875" customWidth="1"/>
    <col min="24" max="24" width="10.140625" customWidth="1"/>
    <col min="25" max="25" width="10" customWidth="1"/>
    <col min="26" max="26" width="13.285156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1422</v>
      </c>
      <c r="B2" s="16">
        <v>42001</v>
      </c>
      <c r="C2">
        <v>28</v>
      </c>
      <c r="D2" t="s">
        <v>90</v>
      </c>
      <c r="E2" t="s">
        <v>91</v>
      </c>
      <c r="F2" t="s">
        <v>92</v>
      </c>
      <c r="G2" t="s">
        <v>93</v>
      </c>
      <c r="H2">
        <v>99999</v>
      </c>
      <c r="I2" t="s">
        <v>30</v>
      </c>
      <c r="J2" t="s">
        <v>94</v>
      </c>
      <c r="K2" t="s">
        <v>95</v>
      </c>
      <c r="L2" s="16">
        <v>42003</v>
      </c>
      <c r="M2" t="s">
        <v>62</v>
      </c>
      <c r="N2" t="s">
        <v>96</v>
      </c>
      <c r="O2" t="s">
        <v>91</v>
      </c>
      <c r="P2" t="s">
        <v>92</v>
      </c>
      <c r="Q2" t="s">
        <v>93</v>
      </c>
      <c r="R2">
        <v>99999</v>
      </c>
      <c r="S2" t="s">
        <v>30</v>
      </c>
      <c r="T2" t="s">
        <v>48</v>
      </c>
      <c r="U2" t="s">
        <v>55</v>
      </c>
      <c r="V2" t="s">
        <v>37</v>
      </c>
      <c r="W2">
        <v>46</v>
      </c>
      <c r="X2">
        <v>43</v>
      </c>
      <c r="Y2">
        <v>1978</v>
      </c>
      <c r="Z2">
        <v>197.8</v>
      </c>
    </row>
    <row r="3" spans="1:26" x14ac:dyDescent="0.25">
      <c r="A3">
        <v>1393</v>
      </c>
      <c r="B3" s="16">
        <v>42001</v>
      </c>
      <c r="C3">
        <v>28</v>
      </c>
      <c r="D3" t="s">
        <v>90</v>
      </c>
      <c r="E3" t="s">
        <v>91</v>
      </c>
      <c r="F3" t="s">
        <v>92</v>
      </c>
      <c r="G3" t="s">
        <v>93</v>
      </c>
      <c r="H3">
        <v>99999</v>
      </c>
      <c r="I3" t="s">
        <v>30</v>
      </c>
      <c r="J3" t="s">
        <v>94</v>
      </c>
      <c r="K3" t="s">
        <v>95</v>
      </c>
      <c r="L3" s="16">
        <v>42003</v>
      </c>
      <c r="M3" t="s">
        <v>62</v>
      </c>
      <c r="N3" t="s">
        <v>96</v>
      </c>
      <c r="O3" t="s">
        <v>91</v>
      </c>
      <c r="P3" t="s">
        <v>92</v>
      </c>
      <c r="Q3" t="s">
        <v>93</v>
      </c>
      <c r="R3">
        <v>99999</v>
      </c>
      <c r="S3" t="s">
        <v>30</v>
      </c>
      <c r="T3" t="s">
        <v>48</v>
      </c>
      <c r="U3" t="s">
        <v>123</v>
      </c>
      <c r="V3" t="s">
        <v>124</v>
      </c>
      <c r="W3">
        <v>18.399999999999999</v>
      </c>
      <c r="X3">
        <v>86</v>
      </c>
      <c r="Y3">
        <v>1582.3999999999999</v>
      </c>
      <c r="Z3">
        <v>155.0752</v>
      </c>
    </row>
    <row r="4" spans="1:26" x14ac:dyDescent="0.25">
      <c r="A4">
        <v>1392</v>
      </c>
      <c r="B4" s="16">
        <v>42001</v>
      </c>
      <c r="C4">
        <v>28</v>
      </c>
      <c r="D4" t="s">
        <v>90</v>
      </c>
      <c r="E4" t="s">
        <v>91</v>
      </c>
      <c r="F4" t="s">
        <v>92</v>
      </c>
      <c r="G4" t="s">
        <v>93</v>
      </c>
      <c r="H4">
        <v>99999</v>
      </c>
      <c r="I4" t="s">
        <v>30</v>
      </c>
      <c r="J4" t="s">
        <v>94</v>
      </c>
      <c r="K4" t="s">
        <v>95</v>
      </c>
      <c r="L4" s="16">
        <v>42003</v>
      </c>
      <c r="M4" t="s">
        <v>62</v>
      </c>
      <c r="N4" t="s">
        <v>96</v>
      </c>
      <c r="O4" t="s">
        <v>91</v>
      </c>
      <c r="P4" t="s">
        <v>92</v>
      </c>
      <c r="Q4" t="s">
        <v>93</v>
      </c>
      <c r="R4">
        <v>99999</v>
      </c>
      <c r="S4" t="s">
        <v>30</v>
      </c>
      <c r="T4" t="s">
        <v>48</v>
      </c>
      <c r="U4" t="s">
        <v>80</v>
      </c>
      <c r="V4" t="s">
        <v>81</v>
      </c>
      <c r="W4">
        <v>9.65</v>
      </c>
      <c r="X4">
        <v>98</v>
      </c>
      <c r="Y4">
        <v>945.7</v>
      </c>
      <c r="Z4">
        <v>96.461400000000012</v>
      </c>
    </row>
    <row r="5" spans="1:26" x14ac:dyDescent="0.25">
      <c r="A5">
        <v>1380</v>
      </c>
      <c r="B5" s="16">
        <v>42001</v>
      </c>
      <c r="C5">
        <v>28</v>
      </c>
      <c r="D5" t="s">
        <v>90</v>
      </c>
      <c r="E5" t="s">
        <v>91</v>
      </c>
      <c r="F5" t="s">
        <v>92</v>
      </c>
      <c r="G5" t="s">
        <v>93</v>
      </c>
      <c r="H5">
        <v>99999</v>
      </c>
      <c r="I5" t="s">
        <v>30</v>
      </c>
      <c r="J5" t="s">
        <v>94</v>
      </c>
      <c r="K5" t="s">
        <v>95</v>
      </c>
      <c r="L5" s="16">
        <v>42003</v>
      </c>
      <c r="M5" t="s">
        <v>62</v>
      </c>
      <c r="N5" t="s">
        <v>96</v>
      </c>
      <c r="O5" t="s">
        <v>91</v>
      </c>
      <c r="P5" t="s">
        <v>92</v>
      </c>
      <c r="Q5" t="s">
        <v>93</v>
      </c>
      <c r="R5">
        <v>99999</v>
      </c>
      <c r="S5" t="s">
        <v>30</v>
      </c>
      <c r="T5" t="s">
        <v>35</v>
      </c>
      <c r="U5" t="s">
        <v>55</v>
      </c>
      <c r="V5" t="s">
        <v>37</v>
      </c>
      <c r="W5">
        <v>46</v>
      </c>
      <c r="X5">
        <v>16</v>
      </c>
      <c r="Y5">
        <v>736</v>
      </c>
      <c r="Z5">
        <v>73.600000000000009</v>
      </c>
    </row>
    <row r="6" spans="1:26" x14ac:dyDescent="0.25">
      <c r="A6">
        <v>1366</v>
      </c>
      <c r="B6" s="16">
        <v>41971</v>
      </c>
      <c r="C6">
        <v>28</v>
      </c>
      <c r="D6" t="s">
        <v>90</v>
      </c>
      <c r="E6" t="s">
        <v>91</v>
      </c>
      <c r="F6" t="s">
        <v>92</v>
      </c>
      <c r="G6" t="s">
        <v>93</v>
      </c>
      <c r="H6">
        <v>99999</v>
      </c>
      <c r="I6" t="s">
        <v>30</v>
      </c>
      <c r="J6" t="s">
        <v>94</v>
      </c>
      <c r="K6" t="s">
        <v>95</v>
      </c>
      <c r="L6" s="16">
        <v>41973</v>
      </c>
      <c r="M6" t="s">
        <v>62</v>
      </c>
      <c r="N6" t="s">
        <v>96</v>
      </c>
      <c r="O6" t="s">
        <v>91</v>
      </c>
      <c r="P6" t="s">
        <v>92</v>
      </c>
      <c r="Q6" t="s">
        <v>93</v>
      </c>
      <c r="R6">
        <v>99999</v>
      </c>
      <c r="S6" t="s">
        <v>30</v>
      </c>
      <c r="T6" t="s">
        <v>48</v>
      </c>
      <c r="U6" t="s">
        <v>55</v>
      </c>
      <c r="V6" t="s">
        <v>37</v>
      </c>
      <c r="W6">
        <v>46</v>
      </c>
      <c r="X6">
        <v>57</v>
      </c>
      <c r="Y6">
        <v>2622</v>
      </c>
      <c r="Z6">
        <v>272.68799999999999</v>
      </c>
    </row>
    <row r="7" spans="1:26" x14ac:dyDescent="0.25">
      <c r="A7">
        <v>1337</v>
      </c>
      <c r="B7" s="16">
        <v>41971</v>
      </c>
      <c r="C7">
        <v>28</v>
      </c>
      <c r="D7" t="s">
        <v>90</v>
      </c>
      <c r="E7" t="s">
        <v>91</v>
      </c>
      <c r="F7" t="s">
        <v>92</v>
      </c>
      <c r="G7" t="s">
        <v>93</v>
      </c>
      <c r="H7">
        <v>99999</v>
      </c>
      <c r="I7" t="s">
        <v>30</v>
      </c>
      <c r="J7" t="s">
        <v>94</v>
      </c>
      <c r="K7" t="s">
        <v>95</v>
      </c>
      <c r="L7">
        <v>41973</v>
      </c>
      <c r="M7" t="s">
        <v>62</v>
      </c>
      <c r="N7" t="s">
        <v>96</v>
      </c>
      <c r="O7" t="s">
        <v>91</v>
      </c>
      <c r="P7" t="s">
        <v>92</v>
      </c>
      <c r="Q7" t="s">
        <v>93</v>
      </c>
      <c r="R7">
        <v>99999</v>
      </c>
      <c r="S7" t="s">
        <v>30</v>
      </c>
      <c r="T7" t="s">
        <v>48</v>
      </c>
      <c r="U7" t="s">
        <v>123</v>
      </c>
      <c r="V7" t="s">
        <v>124</v>
      </c>
      <c r="W7">
        <v>18.399999999999999</v>
      </c>
      <c r="X7">
        <v>100</v>
      </c>
      <c r="Y7">
        <v>1839.9999999999998</v>
      </c>
      <c r="Z7">
        <v>184</v>
      </c>
    </row>
    <row r="8" spans="1:26" x14ac:dyDescent="0.25">
      <c r="A8">
        <v>1336</v>
      </c>
      <c r="B8" s="16">
        <v>41971</v>
      </c>
      <c r="C8">
        <v>28</v>
      </c>
      <c r="D8" t="s">
        <v>90</v>
      </c>
      <c r="E8" t="s">
        <v>91</v>
      </c>
      <c r="F8" t="s">
        <v>92</v>
      </c>
      <c r="G8" t="s">
        <v>93</v>
      </c>
      <c r="H8">
        <v>99999</v>
      </c>
      <c r="I8" t="s">
        <v>30</v>
      </c>
      <c r="J8" t="s">
        <v>94</v>
      </c>
      <c r="K8" t="s">
        <v>95</v>
      </c>
      <c r="L8" s="16">
        <v>41973</v>
      </c>
      <c r="M8" t="s">
        <v>62</v>
      </c>
      <c r="N8" t="s">
        <v>96</v>
      </c>
      <c r="O8" t="s">
        <v>91</v>
      </c>
      <c r="P8" t="s">
        <v>92</v>
      </c>
      <c r="Q8" t="s">
        <v>93</v>
      </c>
      <c r="R8">
        <v>99999</v>
      </c>
      <c r="S8" t="s">
        <v>30</v>
      </c>
      <c r="T8" t="s">
        <v>48</v>
      </c>
      <c r="U8" t="s">
        <v>80</v>
      </c>
      <c r="V8" t="s">
        <v>81</v>
      </c>
      <c r="W8">
        <v>9.65</v>
      </c>
      <c r="X8">
        <v>46</v>
      </c>
      <c r="Y8">
        <v>443.90000000000003</v>
      </c>
      <c r="Z8">
        <v>45.721700000000006</v>
      </c>
    </row>
    <row r="9" spans="1:26" x14ac:dyDescent="0.25">
      <c r="A9">
        <v>1325</v>
      </c>
      <c r="B9" s="16">
        <v>41940</v>
      </c>
      <c r="C9">
        <v>28</v>
      </c>
      <c r="D9" t="s">
        <v>90</v>
      </c>
      <c r="E9" t="s">
        <v>91</v>
      </c>
      <c r="F9" t="s">
        <v>92</v>
      </c>
      <c r="G9" t="s">
        <v>93</v>
      </c>
      <c r="H9">
        <v>99999</v>
      </c>
      <c r="I9" t="s">
        <v>30</v>
      </c>
      <c r="J9" t="s">
        <v>94</v>
      </c>
      <c r="K9" t="s">
        <v>95</v>
      </c>
      <c r="L9" s="16">
        <v>41942</v>
      </c>
      <c r="M9" t="s">
        <v>62</v>
      </c>
      <c r="N9" t="s">
        <v>96</v>
      </c>
      <c r="O9" t="s">
        <v>91</v>
      </c>
      <c r="P9" t="s">
        <v>92</v>
      </c>
      <c r="Q9" t="s">
        <v>93</v>
      </c>
      <c r="R9">
        <v>99999</v>
      </c>
      <c r="S9" t="s">
        <v>30</v>
      </c>
      <c r="T9" t="s">
        <v>48</v>
      </c>
      <c r="U9" t="s">
        <v>55</v>
      </c>
      <c r="V9" t="s">
        <v>37</v>
      </c>
      <c r="W9">
        <v>46</v>
      </c>
      <c r="X9">
        <v>34</v>
      </c>
      <c r="Y9">
        <v>1564</v>
      </c>
      <c r="Z9">
        <v>157.964</v>
      </c>
    </row>
    <row r="10" spans="1:26" x14ac:dyDescent="0.25">
      <c r="A10">
        <v>1296</v>
      </c>
      <c r="B10" s="16">
        <v>41940</v>
      </c>
      <c r="C10">
        <v>28</v>
      </c>
      <c r="D10" t="s">
        <v>90</v>
      </c>
      <c r="E10" t="s">
        <v>91</v>
      </c>
      <c r="F10" t="s">
        <v>92</v>
      </c>
      <c r="G10" t="s">
        <v>93</v>
      </c>
      <c r="H10">
        <v>99999</v>
      </c>
      <c r="I10" t="s">
        <v>30</v>
      </c>
      <c r="J10" t="s">
        <v>94</v>
      </c>
      <c r="K10" t="s">
        <v>95</v>
      </c>
      <c r="L10" s="16">
        <v>41942</v>
      </c>
      <c r="M10" t="s">
        <v>62</v>
      </c>
      <c r="N10" t="s">
        <v>96</v>
      </c>
      <c r="O10" t="s">
        <v>91</v>
      </c>
      <c r="P10" t="s">
        <v>92</v>
      </c>
      <c r="Q10" t="s">
        <v>93</v>
      </c>
      <c r="R10">
        <v>99999</v>
      </c>
      <c r="S10" t="s">
        <v>30</v>
      </c>
      <c r="T10" t="s">
        <v>48</v>
      </c>
      <c r="U10" t="s">
        <v>123</v>
      </c>
      <c r="V10" t="s">
        <v>124</v>
      </c>
      <c r="W10">
        <v>18.399999999999999</v>
      </c>
      <c r="X10">
        <v>24</v>
      </c>
      <c r="Y10">
        <v>441.59999999999997</v>
      </c>
      <c r="Z10">
        <v>42.835199999999993</v>
      </c>
    </row>
    <row r="11" spans="1:26" x14ac:dyDescent="0.25">
      <c r="A11">
        <v>1295</v>
      </c>
      <c r="B11" s="16">
        <v>41940</v>
      </c>
      <c r="C11">
        <v>28</v>
      </c>
      <c r="D11" t="s">
        <v>90</v>
      </c>
      <c r="E11" t="s">
        <v>91</v>
      </c>
      <c r="F11" t="s">
        <v>92</v>
      </c>
      <c r="G11" t="s">
        <v>93</v>
      </c>
      <c r="H11">
        <v>99999</v>
      </c>
      <c r="I11" t="s">
        <v>30</v>
      </c>
      <c r="J11" t="s">
        <v>94</v>
      </c>
      <c r="K11" t="s">
        <v>95</v>
      </c>
      <c r="L11" s="16">
        <v>41942</v>
      </c>
      <c r="M11" t="s">
        <v>62</v>
      </c>
      <c r="N11" t="s">
        <v>96</v>
      </c>
      <c r="O11" t="s">
        <v>91</v>
      </c>
      <c r="P11" t="s">
        <v>92</v>
      </c>
      <c r="Q11" t="s">
        <v>93</v>
      </c>
      <c r="R11">
        <v>99999</v>
      </c>
      <c r="S11" t="s">
        <v>30</v>
      </c>
      <c r="T11" t="s">
        <v>48</v>
      </c>
      <c r="U11" t="s">
        <v>80</v>
      </c>
      <c r="V11" t="s">
        <v>81</v>
      </c>
      <c r="W11">
        <v>9.65</v>
      </c>
      <c r="X11">
        <v>44</v>
      </c>
      <c r="Y11">
        <v>424.6</v>
      </c>
      <c r="Z11">
        <v>44.158400000000007</v>
      </c>
    </row>
    <row r="12" spans="1:26" x14ac:dyDescent="0.25">
      <c r="A12">
        <v>1283</v>
      </c>
      <c r="B12" s="16">
        <v>41940</v>
      </c>
      <c r="C12">
        <v>28</v>
      </c>
      <c r="D12" t="s">
        <v>90</v>
      </c>
      <c r="E12" t="s">
        <v>91</v>
      </c>
      <c r="F12" t="s">
        <v>92</v>
      </c>
      <c r="G12" t="s">
        <v>93</v>
      </c>
      <c r="H12">
        <v>99999</v>
      </c>
      <c r="I12" t="s">
        <v>30</v>
      </c>
      <c r="J12" t="s">
        <v>94</v>
      </c>
      <c r="K12" t="s">
        <v>95</v>
      </c>
      <c r="L12" s="16">
        <v>41942</v>
      </c>
      <c r="M12" t="s">
        <v>62</v>
      </c>
      <c r="N12" t="s">
        <v>96</v>
      </c>
      <c r="O12" t="s">
        <v>91</v>
      </c>
      <c r="P12" t="s">
        <v>92</v>
      </c>
      <c r="Q12" t="s">
        <v>93</v>
      </c>
      <c r="R12">
        <v>99999</v>
      </c>
      <c r="S12" t="s">
        <v>30</v>
      </c>
      <c r="T12" t="s">
        <v>35</v>
      </c>
      <c r="U12" t="s">
        <v>55</v>
      </c>
      <c r="V12" t="s">
        <v>37</v>
      </c>
      <c r="W12">
        <v>46</v>
      </c>
      <c r="X12">
        <v>86</v>
      </c>
      <c r="Y12">
        <v>3956</v>
      </c>
      <c r="Z12">
        <v>379.77600000000001</v>
      </c>
    </row>
    <row r="13" spans="1:26" x14ac:dyDescent="0.25">
      <c r="A13">
        <v>1257</v>
      </c>
      <c r="B13" s="16">
        <v>41910</v>
      </c>
      <c r="C13">
        <v>28</v>
      </c>
      <c r="D13" t="s">
        <v>90</v>
      </c>
      <c r="E13" t="s">
        <v>91</v>
      </c>
      <c r="F13" t="s">
        <v>92</v>
      </c>
      <c r="G13" t="s">
        <v>93</v>
      </c>
      <c r="H13">
        <v>99999</v>
      </c>
      <c r="I13" t="s">
        <v>30</v>
      </c>
      <c r="J13" t="s">
        <v>94</v>
      </c>
      <c r="K13" t="s">
        <v>95</v>
      </c>
      <c r="L13">
        <v>41912</v>
      </c>
      <c r="M13" t="s">
        <v>62</v>
      </c>
      <c r="N13" t="s">
        <v>96</v>
      </c>
      <c r="O13" t="s">
        <v>91</v>
      </c>
      <c r="P13" t="s">
        <v>92</v>
      </c>
      <c r="Q13" t="s">
        <v>93</v>
      </c>
      <c r="R13">
        <v>99999</v>
      </c>
      <c r="S13" t="s">
        <v>30</v>
      </c>
      <c r="T13" t="s">
        <v>48</v>
      </c>
      <c r="U13" t="s">
        <v>123</v>
      </c>
      <c r="V13" t="s">
        <v>124</v>
      </c>
      <c r="W13">
        <v>18.399999999999999</v>
      </c>
      <c r="X13">
        <v>32</v>
      </c>
      <c r="Y13">
        <v>588.79999999999995</v>
      </c>
      <c r="Z13">
        <v>58.879999999999995</v>
      </c>
    </row>
    <row r="14" spans="1:26" x14ac:dyDescent="0.25">
      <c r="A14">
        <v>1013</v>
      </c>
      <c r="B14" s="16">
        <v>41667</v>
      </c>
      <c r="C14">
        <v>28</v>
      </c>
      <c r="D14" t="s">
        <v>90</v>
      </c>
      <c r="E14" t="s">
        <v>91</v>
      </c>
      <c r="F14" t="s">
        <v>92</v>
      </c>
      <c r="G14" t="s">
        <v>93</v>
      </c>
      <c r="H14">
        <v>99999</v>
      </c>
      <c r="I14" t="s">
        <v>30</v>
      </c>
      <c r="J14" t="s">
        <v>94</v>
      </c>
      <c r="K14" t="s">
        <v>95</v>
      </c>
      <c r="L14" s="16">
        <v>41669</v>
      </c>
      <c r="M14" t="s">
        <v>62</v>
      </c>
      <c r="N14" t="s">
        <v>96</v>
      </c>
      <c r="O14" t="s">
        <v>91</v>
      </c>
      <c r="P14" t="s">
        <v>92</v>
      </c>
      <c r="Q14" t="s">
        <v>93</v>
      </c>
      <c r="R14">
        <v>99999</v>
      </c>
      <c r="S14" t="s">
        <v>30</v>
      </c>
      <c r="T14" t="s">
        <v>35</v>
      </c>
      <c r="U14" t="s">
        <v>55</v>
      </c>
      <c r="V14" t="s">
        <v>37</v>
      </c>
      <c r="W14">
        <v>46</v>
      </c>
      <c r="X14">
        <v>55</v>
      </c>
      <c r="Y14">
        <v>2530</v>
      </c>
      <c r="Z14">
        <v>253</v>
      </c>
    </row>
    <row r="15" spans="1:26" x14ac:dyDescent="0.25">
      <c r="A15">
        <v>1256</v>
      </c>
      <c r="B15" s="16">
        <v>41910</v>
      </c>
      <c r="C15">
        <v>28</v>
      </c>
      <c r="D15" t="s">
        <v>90</v>
      </c>
      <c r="E15" t="s">
        <v>91</v>
      </c>
      <c r="F15" t="s">
        <v>92</v>
      </c>
      <c r="G15" t="s">
        <v>93</v>
      </c>
      <c r="H15">
        <v>99999</v>
      </c>
      <c r="I15" t="s">
        <v>30</v>
      </c>
      <c r="J15" t="s">
        <v>94</v>
      </c>
      <c r="K15" t="s">
        <v>95</v>
      </c>
      <c r="L15" s="16">
        <v>41912</v>
      </c>
      <c r="M15" t="s">
        <v>62</v>
      </c>
      <c r="N15" t="s">
        <v>96</v>
      </c>
      <c r="O15" t="s">
        <v>91</v>
      </c>
      <c r="P15" t="s">
        <v>92</v>
      </c>
      <c r="Q15" t="s">
        <v>93</v>
      </c>
      <c r="R15">
        <v>99999</v>
      </c>
      <c r="S15" t="s">
        <v>30</v>
      </c>
      <c r="T15" t="s">
        <v>48</v>
      </c>
      <c r="U15" t="s">
        <v>80</v>
      </c>
      <c r="V15" t="s">
        <v>81</v>
      </c>
      <c r="W15">
        <v>9.65</v>
      </c>
      <c r="X15">
        <v>68</v>
      </c>
      <c r="Y15">
        <v>656.2</v>
      </c>
      <c r="Z15">
        <v>64.307600000000008</v>
      </c>
    </row>
    <row r="16" spans="1:26" x14ac:dyDescent="0.25">
      <c r="A16">
        <v>1235</v>
      </c>
      <c r="B16" s="16">
        <v>41879</v>
      </c>
      <c r="C16">
        <v>28</v>
      </c>
      <c r="D16" t="s">
        <v>90</v>
      </c>
      <c r="E16" t="s">
        <v>91</v>
      </c>
      <c r="F16" t="s">
        <v>92</v>
      </c>
      <c r="G16" t="s">
        <v>93</v>
      </c>
      <c r="H16">
        <v>99999</v>
      </c>
      <c r="I16" t="s">
        <v>30</v>
      </c>
      <c r="J16" t="s">
        <v>94</v>
      </c>
      <c r="K16" t="s">
        <v>95</v>
      </c>
      <c r="L16" s="16">
        <v>41881</v>
      </c>
      <c r="M16" t="s">
        <v>62</v>
      </c>
      <c r="N16" t="s">
        <v>96</v>
      </c>
      <c r="O16" t="s">
        <v>91</v>
      </c>
      <c r="P16" t="s">
        <v>92</v>
      </c>
      <c r="Q16" t="s">
        <v>93</v>
      </c>
      <c r="R16">
        <v>99999</v>
      </c>
      <c r="S16" t="s">
        <v>30</v>
      </c>
      <c r="T16" t="s">
        <v>48</v>
      </c>
      <c r="U16" t="s">
        <v>123</v>
      </c>
      <c r="V16" t="s">
        <v>124</v>
      </c>
      <c r="W16">
        <v>18.399999999999999</v>
      </c>
      <c r="X16">
        <v>80</v>
      </c>
      <c r="Y16">
        <v>1472</v>
      </c>
      <c r="Z16">
        <v>150.14400000000003</v>
      </c>
    </row>
    <row r="17" spans="1:26" x14ac:dyDescent="0.25">
      <c r="A17">
        <v>1234</v>
      </c>
      <c r="B17" s="16">
        <v>41879</v>
      </c>
      <c r="C17">
        <v>28</v>
      </c>
      <c r="D17" t="s">
        <v>90</v>
      </c>
      <c r="E17" t="s">
        <v>91</v>
      </c>
      <c r="F17" t="s">
        <v>92</v>
      </c>
      <c r="G17" t="s">
        <v>93</v>
      </c>
      <c r="H17">
        <v>99999</v>
      </c>
      <c r="I17" t="s">
        <v>30</v>
      </c>
      <c r="J17" t="s">
        <v>94</v>
      </c>
      <c r="K17" t="s">
        <v>95</v>
      </c>
      <c r="L17" s="16">
        <v>41881</v>
      </c>
      <c r="M17" t="s">
        <v>62</v>
      </c>
      <c r="N17" t="s">
        <v>96</v>
      </c>
      <c r="O17" t="s">
        <v>91</v>
      </c>
      <c r="P17" t="s">
        <v>92</v>
      </c>
      <c r="Q17" t="s">
        <v>93</v>
      </c>
      <c r="R17">
        <v>99999</v>
      </c>
      <c r="S17" t="s">
        <v>30</v>
      </c>
      <c r="T17" t="s">
        <v>48</v>
      </c>
      <c r="U17" t="s">
        <v>80</v>
      </c>
      <c r="V17" t="s">
        <v>81</v>
      </c>
      <c r="W17">
        <v>9.65</v>
      </c>
      <c r="X17">
        <v>97</v>
      </c>
      <c r="Y17">
        <v>936.05000000000007</v>
      </c>
      <c r="Z17">
        <v>95.477100000000021</v>
      </c>
    </row>
    <row r="18" spans="1:26" x14ac:dyDescent="0.25">
      <c r="A18">
        <v>1222</v>
      </c>
      <c r="B18" s="16">
        <v>41879</v>
      </c>
      <c r="C18">
        <v>28</v>
      </c>
      <c r="D18" t="s">
        <v>90</v>
      </c>
      <c r="E18" t="s">
        <v>91</v>
      </c>
      <c r="F18" t="s">
        <v>92</v>
      </c>
      <c r="G18" t="s">
        <v>93</v>
      </c>
      <c r="H18">
        <v>99999</v>
      </c>
      <c r="I18" t="s">
        <v>30</v>
      </c>
      <c r="J18" t="s">
        <v>94</v>
      </c>
      <c r="K18" t="s">
        <v>95</v>
      </c>
      <c r="L18" s="16">
        <v>41881</v>
      </c>
      <c r="M18" t="s">
        <v>62</v>
      </c>
      <c r="N18" t="s">
        <v>96</v>
      </c>
      <c r="O18" t="s">
        <v>91</v>
      </c>
      <c r="P18" t="s">
        <v>92</v>
      </c>
      <c r="Q18" t="s">
        <v>93</v>
      </c>
      <c r="R18">
        <v>99999</v>
      </c>
      <c r="S18" t="s">
        <v>30</v>
      </c>
      <c r="T18" t="s">
        <v>35</v>
      </c>
      <c r="U18" t="s">
        <v>55</v>
      </c>
      <c r="V18" t="s">
        <v>37</v>
      </c>
      <c r="W18">
        <v>46</v>
      </c>
      <c r="X18">
        <v>28</v>
      </c>
      <c r="Y18">
        <v>1288</v>
      </c>
      <c r="Z18">
        <v>133.95200000000003</v>
      </c>
    </row>
    <row r="19" spans="1:26" x14ac:dyDescent="0.25">
      <c r="A19">
        <v>1219</v>
      </c>
      <c r="B19" s="16">
        <v>41848</v>
      </c>
      <c r="C19">
        <v>28</v>
      </c>
      <c r="D19" t="s">
        <v>90</v>
      </c>
      <c r="E19" t="s">
        <v>91</v>
      </c>
      <c r="F19" t="s">
        <v>92</v>
      </c>
      <c r="G19" t="s">
        <v>93</v>
      </c>
      <c r="H19">
        <v>99999</v>
      </c>
      <c r="I19" t="s">
        <v>30</v>
      </c>
      <c r="J19" t="s">
        <v>94</v>
      </c>
      <c r="K19" t="s">
        <v>95</v>
      </c>
      <c r="L19">
        <v>41850</v>
      </c>
      <c r="M19" t="s">
        <v>62</v>
      </c>
      <c r="N19" t="s">
        <v>96</v>
      </c>
      <c r="O19" t="s">
        <v>91</v>
      </c>
      <c r="P19" t="s">
        <v>92</v>
      </c>
      <c r="Q19" t="s">
        <v>93</v>
      </c>
      <c r="R19">
        <v>99999</v>
      </c>
      <c r="S19" t="s">
        <v>30</v>
      </c>
      <c r="T19" t="s">
        <v>48</v>
      </c>
      <c r="U19" t="s">
        <v>55</v>
      </c>
      <c r="V19" t="s">
        <v>37</v>
      </c>
      <c r="W19">
        <v>46</v>
      </c>
      <c r="X19">
        <v>24</v>
      </c>
      <c r="Y19">
        <v>1104</v>
      </c>
      <c r="Z19">
        <v>105.98399999999999</v>
      </c>
    </row>
    <row r="20" spans="1:26" x14ac:dyDescent="0.25">
      <c r="A20">
        <v>1190</v>
      </c>
      <c r="B20" s="16">
        <v>41848</v>
      </c>
      <c r="C20">
        <v>28</v>
      </c>
      <c r="D20" t="s">
        <v>90</v>
      </c>
      <c r="E20" t="s">
        <v>91</v>
      </c>
      <c r="F20" t="s">
        <v>92</v>
      </c>
      <c r="G20" t="s">
        <v>93</v>
      </c>
      <c r="H20">
        <v>99999</v>
      </c>
      <c r="I20" t="s">
        <v>30</v>
      </c>
      <c r="J20" t="s">
        <v>94</v>
      </c>
      <c r="K20" t="s">
        <v>95</v>
      </c>
      <c r="L20" s="16">
        <v>41850</v>
      </c>
      <c r="M20" t="s">
        <v>62</v>
      </c>
      <c r="N20" t="s">
        <v>96</v>
      </c>
      <c r="O20" t="s">
        <v>91</v>
      </c>
      <c r="P20" t="s">
        <v>92</v>
      </c>
      <c r="Q20" t="s">
        <v>93</v>
      </c>
      <c r="R20">
        <v>99999</v>
      </c>
      <c r="S20" t="s">
        <v>30</v>
      </c>
      <c r="T20" t="s">
        <v>48</v>
      </c>
      <c r="U20" t="s">
        <v>123</v>
      </c>
      <c r="V20" t="s">
        <v>124</v>
      </c>
      <c r="W20">
        <v>18.399999999999999</v>
      </c>
      <c r="X20">
        <v>47</v>
      </c>
      <c r="Y20">
        <v>864.8</v>
      </c>
      <c r="Z20">
        <v>90.804000000000002</v>
      </c>
    </row>
    <row r="21" spans="1:26" x14ac:dyDescent="0.25">
      <c r="A21">
        <v>1189</v>
      </c>
      <c r="B21" s="16">
        <v>41848</v>
      </c>
      <c r="C21">
        <v>28</v>
      </c>
      <c r="D21" t="s">
        <v>90</v>
      </c>
      <c r="E21" t="s">
        <v>91</v>
      </c>
      <c r="F21" t="s">
        <v>92</v>
      </c>
      <c r="G21" t="s">
        <v>93</v>
      </c>
      <c r="H21">
        <v>99999</v>
      </c>
      <c r="I21" t="s">
        <v>30</v>
      </c>
      <c r="J21" t="s">
        <v>94</v>
      </c>
      <c r="K21" t="s">
        <v>95</v>
      </c>
      <c r="L21" s="16">
        <v>41850</v>
      </c>
      <c r="M21" t="s">
        <v>62</v>
      </c>
      <c r="N21" t="s">
        <v>96</v>
      </c>
      <c r="O21" t="s">
        <v>91</v>
      </c>
      <c r="P21" t="s">
        <v>92</v>
      </c>
      <c r="Q21" t="s">
        <v>93</v>
      </c>
      <c r="R21">
        <v>99999</v>
      </c>
      <c r="S21" t="s">
        <v>30</v>
      </c>
      <c r="T21" t="s">
        <v>48</v>
      </c>
      <c r="U21" t="s">
        <v>80</v>
      </c>
      <c r="V21" t="s">
        <v>81</v>
      </c>
      <c r="W21">
        <v>9.65</v>
      </c>
      <c r="X21">
        <v>33</v>
      </c>
      <c r="Y21">
        <v>318.45</v>
      </c>
      <c r="Z21">
        <v>30.252749999999999</v>
      </c>
    </row>
    <row r="22" spans="1:26" x14ac:dyDescent="0.25">
      <c r="A22">
        <v>1177</v>
      </c>
      <c r="B22" s="16">
        <v>41818</v>
      </c>
      <c r="C22">
        <v>28</v>
      </c>
      <c r="D22" t="s">
        <v>90</v>
      </c>
      <c r="E22" t="s">
        <v>91</v>
      </c>
      <c r="F22" t="s">
        <v>92</v>
      </c>
      <c r="G22" t="s">
        <v>93</v>
      </c>
      <c r="H22">
        <v>99999</v>
      </c>
      <c r="I22" t="s">
        <v>30</v>
      </c>
      <c r="J22" t="s">
        <v>94</v>
      </c>
      <c r="K22" t="s">
        <v>95</v>
      </c>
      <c r="L22" s="16">
        <v>41820</v>
      </c>
      <c r="M22" t="s">
        <v>62</v>
      </c>
      <c r="N22" t="s">
        <v>96</v>
      </c>
      <c r="O22" t="s">
        <v>91</v>
      </c>
      <c r="P22" t="s">
        <v>92</v>
      </c>
      <c r="Q22" t="s">
        <v>93</v>
      </c>
      <c r="R22">
        <v>99999</v>
      </c>
      <c r="S22" t="s">
        <v>30</v>
      </c>
      <c r="T22" t="s">
        <v>48</v>
      </c>
      <c r="U22" t="s">
        <v>55</v>
      </c>
      <c r="V22" t="s">
        <v>37</v>
      </c>
      <c r="W22">
        <v>46</v>
      </c>
      <c r="X22">
        <v>74</v>
      </c>
      <c r="Y22">
        <v>3404</v>
      </c>
      <c r="Z22">
        <v>340.40000000000003</v>
      </c>
    </row>
    <row r="23" spans="1:26" x14ac:dyDescent="0.25">
      <c r="A23">
        <v>1148</v>
      </c>
      <c r="B23" s="16">
        <v>41818</v>
      </c>
      <c r="C23">
        <v>28</v>
      </c>
      <c r="D23" t="s">
        <v>90</v>
      </c>
      <c r="E23" t="s">
        <v>91</v>
      </c>
      <c r="F23" t="s">
        <v>92</v>
      </c>
      <c r="G23" t="s">
        <v>93</v>
      </c>
      <c r="H23">
        <v>99999</v>
      </c>
      <c r="I23" t="s">
        <v>30</v>
      </c>
      <c r="J23" t="s">
        <v>94</v>
      </c>
      <c r="K23" t="s">
        <v>95</v>
      </c>
      <c r="L23" s="16">
        <v>41820</v>
      </c>
      <c r="M23" t="s">
        <v>62</v>
      </c>
      <c r="N23" t="s">
        <v>96</v>
      </c>
      <c r="O23" t="s">
        <v>91</v>
      </c>
      <c r="P23" t="s">
        <v>92</v>
      </c>
      <c r="Q23" t="s">
        <v>93</v>
      </c>
      <c r="R23">
        <v>99999</v>
      </c>
      <c r="S23" t="s">
        <v>30</v>
      </c>
      <c r="T23" t="s">
        <v>48</v>
      </c>
      <c r="U23" t="s">
        <v>123</v>
      </c>
      <c r="V23" t="s">
        <v>124</v>
      </c>
      <c r="W23">
        <v>18.399999999999999</v>
      </c>
      <c r="X23">
        <v>98</v>
      </c>
      <c r="Y23">
        <v>1803.1999999999998</v>
      </c>
      <c r="Z23">
        <v>183.9264</v>
      </c>
    </row>
    <row r="24" spans="1:26" x14ac:dyDescent="0.25">
      <c r="A24">
        <v>1147</v>
      </c>
      <c r="B24" s="16">
        <v>41818</v>
      </c>
      <c r="C24">
        <v>28</v>
      </c>
      <c r="D24" t="s">
        <v>90</v>
      </c>
      <c r="E24" t="s">
        <v>91</v>
      </c>
      <c r="F24" t="s">
        <v>92</v>
      </c>
      <c r="G24" t="s">
        <v>93</v>
      </c>
      <c r="H24">
        <v>99999</v>
      </c>
      <c r="I24" t="s">
        <v>30</v>
      </c>
      <c r="J24" t="s">
        <v>94</v>
      </c>
      <c r="K24" t="s">
        <v>95</v>
      </c>
      <c r="L24" s="16">
        <v>41820</v>
      </c>
      <c r="M24" t="s">
        <v>62</v>
      </c>
      <c r="N24" t="s">
        <v>96</v>
      </c>
      <c r="O24" t="s">
        <v>91</v>
      </c>
      <c r="P24" t="s">
        <v>92</v>
      </c>
      <c r="Q24" t="s">
        <v>93</v>
      </c>
      <c r="R24">
        <v>99999</v>
      </c>
      <c r="S24" t="s">
        <v>30</v>
      </c>
      <c r="T24" t="s">
        <v>48</v>
      </c>
      <c r="U24" t="s">
        <v>80</v>
      </c>
      <c r="V24" t="s">
        <v>81</v>
      </c>
      <c r="W24">
        <v>9.65</v>
      </c>
      <c r="X24">
        <v>60</v>
      </c>
      <c r="Y24">
        <v>579</v>
      </c>
      <c r="Z24">
        <v>57.321000000000005</v>
      </c>
    </row>
    <row r="25" spans="1:26" x14ac:dyDescent="0.25">
      <c r="A25">
        <v>1115</v>
      </c>
      <c r="B25" s="16">
        <v>41787</v>
      </c>
      <c r="C25">
        <v>28</v>
      </c>
      <c r="D25" t="s">
        <v>90</v>
      </c>
      <c r="E25" t="s">
        <v>91</v>
      </c>
      <c r="F25" t="s">
        <v>92</v>
      </c>
      <c r="G25" t="s">
        <v>93</v>
      </c>
      <c r="H25">
        <v>99999</v>
      </c>
      <c r="I25" t="s">
        <v>30</v>
      </c>
      <c r="J25" t="s">
        <v>94</v>
      </c>
      <c r="K25" t="s">
        <v>95</v>
      </c>
      <c r="L25" s="16">
        <v>41789</v>
      </c>
      <c r="M25" t="s">
        <v>62</v>
      </c>
      <c r="N25" t="s">
        <v>96</v>
      </c>
      <c r="O25" t="s">
        <v>91</v>
      </c>
      <c r="P25" t="s">
        <v>92</v>
      </c>
      <c r="Q25" t="s">
        <v>93</v>
      </c>
      <c r="R25">
        <v>99999</v>
      </c>
      <c r="S25" t="s">
        <v>30</v>
      </c>
      <c r="T25" t="s">
        <v>48</v>
      </c>
      <c r="U25" t="s">
        <v>123</v>
      </c>
      <c r="V25" t="s">
        <v>124</v>
      </c>
      <c r="W25">
        <v>18.399999999999999</v>
      </c>
      <c r="X25">
        <v>25</v>
      </c>
      <c r="Y25">
        <v>459.99999999999994</v>
      </c>
      <c r="Z25">
        <v>46.46</v>
      </c>
    </row>
    <row r="26" spans="1:26" x14ac:dyDescent="0.25">
      <c r="A26">
        <v>1025</v>
      </c>
      <c r="B26" s="16">
        <v>41667</v>
      </c>
      <c r="C26">
        <v>28</v>
      </c>
      <c r="D26" t="s">
        <v>90</v>
      </c>
      <c r="E26" t="s">
        <v>91</v>
      </c>
      <c r="F26" t="s">
        <v>92</v>
      </c>
      <c r="G26" t="s">
        <v>93</v>
      </c>
      <c r="H26">
        <v>99999</v>
      </c>
      <c r="I26" t="s">
        <v>30</v>
      </c>
      <c r="J26" t="s">
        <v>94</v>
      </c>
      <c r="K26" t="s">
        <v>95</v>
      </c>
      <c r="L26" s="16">
        <v>41669</v>
      </c>
      <c r="M26" t="s">
        <v>62</v>
      </c>
      <c r="N26" t="s">
        <v>96</v>
      </c>
      <c r="O26" t="s">
        <v>91</v>
      </c>
      <c r="P26" t="s">
        <v>92</v>
      </c>
      <c r="Q26" t="s">
        <v>93</v>
      </c>
      <c r="R26">
        <v>99999</v>
      </c>
      <c r="S26" t="s">
        <v>30</v>
      </c>
      <c r="T26" t="s">
        <v>48</v>
      </c>
      <c r="U26" t="s">
        <v>80</v>
      </c>
      <c r="V26" t="s">
        <v>81</v>
      </c>
      <c r="W26">
        <v>9.65</v>
      </c>
      <c r="X26">
        <v>100</v>
      </c>
      <c r="Y26">
        <v>965</v>
      </c>
      <c r="Z26">
        <v>93.605000000000004</v>
      </c>
    </row>
    <row r="27" spans="1:26" x14ac:dyDescent="0.25">
      <c r="A27">
        <v>1026</v>
      </c>
      <c r="B27" s="16">
        <v>41667</v>
      </c>
      <c r="C27">
        <v>28</v>
      </c>
      <c r="D27" t="s">
        <v>90</v>
      </c>
      <c r="E27" t="s">
        <v>91</v>
      </c>
      <c r="F27" t="s">
        <v>92</v>
      </c>
      <c r="G27" t="s">
        <v>93</v>
      </c>
      <c r="H27">
        <v>99999</v>
      </c>
      <c r="I27" t="s">
        <v>30</v>
      </c>
      <c r="J27" t="s">
        <v>94</v>
      </c>
      <c r="K27" t="s">
        <v>95</v>
      </c>
      <c r="L27" s="16">
        <v>41669</v>
      </c>
      <c r="M27" t="s">
        <v>62</v>
      </c>
      <c r="N27" t="s">
        <v>96</v>
      </c>
      <c r="O27" t="s">
        <v>91</v>
      </c>
      <c r="P27" t="s">
        <v>92</v>
      </c>
      <c r="Q27" t="s">
        <v>93</v>
      </c>
      <c r="R27">
        <v>99999</v>
      </c>
      <c r="S27" t="s">
        <v>30</v>
      </c>
      <c r="T27" t="s">
        <v>48</v>
      </c>
      <c r="U27" t="s">
        <v>123</v>
      </c>
      <c r="V27" t="s">
        <v>124</v>
      </c>
      <c r="W27">
        <v>18.399999999999999</v>
      </c>
      <c r="X27">
        <v>63</v>
      </c>
      <c r="Y27">
        <v>1159.1999999999998</v>
      </c>
      <c r="Z27">
        <v>114.76079999999999</v>
      </c>
    </row>
    <row r="28" spans="1:26" x14ac:dyDescent="0.25">
      <c r="A28">
        <v>1114</v>
      </c>
      <c r="B28" s="16">
        <v>41787</v>
      </c>
      <c r="C28">
        <v>28</v>
      </c>
      <c r="D28" t="s">
        <v>90</v>
      </c>
      <c r="E28" t="s">
        <v>91</v>
      </c>
      <c r="F28" t="s">
        <v>92</v>
      </c>
      <c r="G28" t="s">
        <v>93</v>
      </c>
      <c r="H28">
        <v>99999</v>
      </c>
      <c r="I28" t="s">
        <v>30</v>
      </c>
      <c r="J28" t="s">
        <v>94</v>
      </c>
      <c r="K28" t="s">
        <v>95</v>
      </c>
      <c r="L28">
        <v>41789</v>
      </c>
      <c r="M28" t="s">
        <v>62</v>
      </c>
      <c r="N28" t="s">
        <v>96</v>
      </c>
      <c r="O28" t="s">
        <v>91</v>
      </c>
      <c r="P28" t="s">
        <v>92</v>
      </c>
      <c r="Q28" t="s">
        <v>93</v>
      </c>
      <c r="R28">
        <v>99999</v>
      </c>
      <c r="S28" t="s">
        <v>30</v>
      </c>
      <c r="T28" t="s">
        <v>48</v>
      </c>
      <c r="U28" t="s">
        <v>80</v>
      </c>
      <c r="V28" t="s">
        <v>81</v>
      </c>
      <c r="W28">
        <v>9.65</v>
      </c>
      <c r="X28">
        <v>74</v>
      </c>
      <c r="Y28">
        <v>714.1</v>
      </c>
      <c r="Z28">
        <v>67.839500000000001</v>
      </c>
    </row>
    <row r="29" spans="1:26" x14ac:dyDescent="0.25">
      <c r="A29">
        <v>1102</v>
      </c>
      <c r="B29" s="16">
        <v>41787</v>
      </c>
      <c r="C29">
        <v>28</v>
      </c>
      <c r="D29" t="s">
        <v>90</v>
      </c>
      <c r="E29" t="s">
        <v>91</v>
      </c>
      <c r="F29" t="s">
        <v>92</v>
      </c>
      <c r="G29" t="s">
        <v>93</v>
      </c>
      <c r="H29">
        <v>99999</v>
      </c>
      <c r="I29" t="s">
        <v>30</v>
      </c>
      <c r="J29" t="s">
        <v>94</v>
      </c>
      <c r="K29" t="s">
        <v>95</v>
      </c>
      <c r="L29" s="16">
        <v>41789</v>
      </c>
      <c r="M29" t="s">
        <v>62</v>
      </c>
      <c r="N29" t="s">
        <v>96</v>
      </c>
      <c r="O29" t="s">
        <v>91</v>
      </c>
      <c r="P29" t="s">
        <v>92</v>
      </c>
      <c r="Q29" t="s">
        <v>93</v>
      </c>
      <c r="R29">
        <v>99999</v>
      </c>
      <c r="S29" t="s">
        <v>30</v>
      </c>
      <c r="T29" t="s">
        <v>35</v>
      </c>
      <c r="U29" t="s">
        <v>55</v>
      </c>
      <c r="V29" t="s">
        <v>37</v>
      </c>
      <c r="W29">
        <v>46</v>
      </c>
      <c r="X29">
        <v>36</v>
      </c>
      <c r="Y29">
        <v>1656</v>
      </c>
      <c r="Z29">
        <v>165.60000000000002</v>
      </c>
    </row>
    <row r="30" spans="1:26" x14ac:dyDescent="0.25">
      <c r="A30">
        <v>1089</v>
      </c>
      <c r="B30" s="16">
        <v>41757</v>
      </c>
      <c r="C30">
        <v>28</v>
      </c>
      <c r="D30" t="s">
        <v>90</v>
      </c>
      <c r="E30" t="s">
        <v>91</v>
      </c>
      <c r="F30" t="s">
        <v>92</v>
      </c>
      <c r="G30" t="s">
        <v>93</v>
      </c>
      <c r="H30">
        <v>99999</v>
      </c>
      <c r="I30" t="s">
        <v>30</v>
      </c>
      <c r="J30" t="s">
        <v>94</v>
      </c>
      <c r="K30" t="s">
        <v>95</v>
      </c>
      <c r="L30" s="16">
        <v>41759</v>
      </c>
      <c r="M30" t="s">
        <v>62</v>
      </c>
      <c r="N30" t="s">
        <v>96</v>
      </c>
      <c r="O30" t="s">
        <v>91</v>
      </c>
      <c r="P30" t="s">
        <v>92</v>
      </c>
      <c r="Q30" t="s">
        <v>93</v>
      </c>
      <c r="R30">
        <v>99999</v>
      </c>
      <c r="S30" t="s">
        <v>30</v>
      </c>
      <c r="T30" t="s">
        <v>35</v>
      </c>
      <c r="U30" t="s">
        <v>55</v>
      </c>
      <c r="V30" t="s">
        <v>37</v>
      </c>
      <c r="W30">
        <v>46</v>
      </c>
      <c r="X30">
        <v>96</v>
      </c>
      <c r="Y30">
        <v>4416</v>
      </c>
      <c r="Z30">
        <v>463.68000000000006</v>
      </c>
    </row>
    <row r="31" spans="1:26" x14ac:dyDescent="0.25">
      <c r="A31">
        <v>1080</v>
      </c>
      <c r="B31" s="16">
        <v>41726</v>
      </c>
      <c r="C31">
        <v>28</v>
      </c>
      <c r="D31" t="s">
        <v>90</v>
      </c>
      <c r="E31" t="s">
        <v>91</v>
      </c>
      <c r="F31" t="s">
        <v>92</v>
      </c>
      <c r="G31" t="s">
        <v>93</v>
      </c>
      <c r="H31">
        <v>99999</v>
      </c>
      <c r="I31" t="s">
        <v>30</v>
      </c>
      <c r="J31" t="s">
        <v>94</v>
      </c>
      <c r="K31" t="s">
        <v>95</v>
      </c>
      <c r="L31" s="16">
        <v>41728</v>
      </c>
      <c r="M31" t="s">
        <v>62</v>
      </c>
      <c r="N31" t="s">
        <v>96</v>
      </c>
      <c r="O31" t="s">
        <v>91</v>
      </c>
      <c r="P31" t="s">
        <v>92</v>
      </c>
      <c r="Q31" t="s">
        <v>93</v>
      </c>
      <c r="R31">
        <v>99999</v>
      </c>
      <c r="S31" t="s">
        <v>30</v>
      </c>
      <c r="T31" t="s">
        <v>48</v>
      </c>
      <c r="U31" t="s">
        <v>55</v>
      </c>
      <c r="V31" t="s">
        <v>37</v>
      </c>
      <c r="W31">
        <v>46</v>
      </c>
      <c r="X31">
        <v>17</v>
      </c>
      <c r="Y31">
        <v>782</v>
      </c>
      <c r="Z31">
        <v>80.546000000000006</v>
      </c>
    </row>
    <row r="32" spans="1:26" x14ac:dyDescent="0.25">
      <c r="A32">
        <v>1041</v>
      </c>
      <c r="B32" s="16">
        <v>41698</v>
      </c>
      <c r="C32">
        <v>28</v>
      </c>
      <c r="D32" t="s">
        <v>90</v>
      </c>
      <c r="E32" t="s">
        <v>91</v>
      </c>
      <c r="F32" t="s">
        <v>92</v>
      </c>
      <c r="G32" t="s">
        <v>93</v>
      </c>
      <c r="H32">
        <v>99999</v>
      </c>
      <c r="I32" t="s">
        <v>30</v>
      </c>
      <c r="J32" t="s">
        <v>94</v>
      </c>
      <c r="K32" t="s">
        <v>95</v>
      </c>
      <c r="L32">
        <v>41700</v>
      </c>
      <c r="M32" t="s">
        <v>62</v>
      </c>
      <c r="N32" t="s">
        <v>96</v>
      </c>
      <c r="O32" t="s">
        <v>91</v>
      </c>
      <c r="P32" t="s">
        <v>92</v>
      </c>
      <c r="Q32" t="s">
        <v>93</v>
      </c>
      <c r="R32">
        <v>99999</v>
      </c>
      <c r="S32" t="s">
        <v>30</v>
      </c>
      <c r="T32" t="s">
        <v>48</v>
      </c>
      <c r="U32" t="s">
        <v>55</v>
      </c>
      <c r="V32" t="s">
        <v>37</v>
      </c>
      <c r="W32">
        <v>46</v>
      </c>
      <c r="X32">
        <v>32</v>
      </c>
      <c r="Y32">
        <v>1472</v>
      </c>
      <c r="Z32">
        <v>148.67200000000003</v>
      </c>
    </row>
    <row r="33" spans="1:26" x14ac:dyDescent="0.25">
      <c r="A33">
        <v>1034</v>
      </c>
      <c r="B33" s="16">
        <v>41698</v>
      </c>
      <c r="C33">
        <v>28</v>
      </c>
      <c r="D33" t="s">
        <v>90</v>
      </c>
      <c r="E33" t="s">
        <v>91</v>
      </c>
      <c r="F33" t="s">
        <v>92</v>
      </c>
      <c r="G33" t="s">
        <v>93</v>
      </c>
      <c r="H33">
        <v>99999</v>
      </c>
      <c r="I33" t="s">
        <v>30</v>
      </c>
      <c r="J33" t="s">
        <v>94</v>
      </c>
      <c r="K33" t="s">
        <v>95</v>
      </c>
      <c r="L33" s="16">
        <v>41700</v>
      </c>
      <c r="M33" t="s">
        <v>62</v>
      </c>
      <c r="N33" t="s">
        <v>96</v>
      </c>
      <c r="O33" t="s">
        <v>91</v>
      </c>
      <c r="P33" t="s">
        <v>92</v>
      </c>
      <c r="Q33" t="s">
        <v>93</v>
      </c>
      <c r="R33">
        <v>99999</v>
      </c>
      <c r="S33" t="s">
        <v>30</v>
      </c>
      <c r="T33" t="s">
        <v>35</v>
      </c>
      <c r="V33" t="s">
        <v>163</v>
      </c>
      <c r="Y33">
        <v>10</v>
      </c>
      <c r="Z33">
        <v>31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C6A6-BA95-40FF-915C-9A1B305DDBF2}">
  <sheetPr>
    <tabColor theme="8"/>
  </sheetPr>
  <dimension ref="A3:B10"/>
  <sheetViews>
    <sheetView zoomScale="90" zoomScaleNormal="90" workbookViewId="0">
      <selection activeCell="M3" sqref="M3"/>
    </sheetView>
  </sheetViews>
  <sheetFormatPr defaultRowHeight="15" x14ac:dyDescent="0.25"/>
  <cols>
    <col min="1" max="1" width="12.85546875" bestFit="1" customWidth="1"/>
    <col min="2" max="2" width="14.5703125" bestFit="1" customWidth="1"/>
  </cols>
  <sheetData>
    <row r="3" spans="1:2" x14ac:dyDescent="0.25">
      <c r="A3" s="10" t="s">
        <v>167</v>
      </c>
      <c r="B3" t="s">
        <v>169</v>
      </c>
    </row>
    <row r="4" spans="1:2" x14ac:dyDescent="0.25">
      <c r="A4" s="11" t="s">
        <v>42</v>
      </c>
      <c r="B4" s="3">
        <v>67180.5</v>
      </c>
    </row>
    <row r="5" spans="1:2" x14ac:dyDescent="0.25">
      <c r="A5" s="11" t="s">
        <v>58</v>
      </c>
      <c r="B5" s="3">
        <v>50208.35</v>
      </c>
    </row>
    <row r="6" spans="1:2" x14ac:dyDescent="0.25">
      <c r="A6" s="11" t="s">
        <v>115</v>
      </c>
      <c r="B6" s="3">
        <v>50145.330000000009</v>
      </c>
    </row>
    <row r="7" spans="1:2" x14ac:dyDescent="0.25">
      <c r="A7" s="11" t="s">
        <v>92</v>
      </c>
      <c r="B7" s="3">
        <v>43713</v>
      </c>
    </row>
    <row r="8" spans="1:2" x14ac:dyDescent="0.25">
      <c r="A8" s="11" t="s">
        <v>99</v>
      </c>
      <c r="B8" s="3">
        <v>41095.01</v>
      </c>
    </row>
    <row r="9" spans="1:2" x14ac:dyDescent="0.25">
      <c r="A9" s="11" t="s">
        <v>84</v>
      </c>
      <c r="B9" s="3">
        <v>37428</v>
      </c>
    </row>
    <row r="10" spans="1:2" x14ac:dyDescent="0.25">
      <c r="A10" s="11" t="s">
        <v>168</v>
      </c>
      <c r="B10" s="3">
        <v>289770.19</v>
      </c>
    </row>
  </sheetData>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54F0-C91A-4052-8CE7-6D7FC9E820B4}">
  <dimension ref="A1"/>
  <sheetViews>
    <sheetView showGridLines="0" tabSelected="1" zoomScale="70" zoomScaleNormal="70" workbookViewId="0">
      <selection activeCell="L51" sqref="L51"/>
    </sheetView>
  </sheetViews>
  <sheetFormatPr defaultColWidth="8.7109375" defaultRowHeight="15" x14ac:dyDescent="0.25"/>
  <cols>
    <col min="1" max="16384" width="8.7109375" style="1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opLeftCell="H1" zoomScale="90" zoomScaleNormal="90" workbookViewId="0">
      <selection activeCell="AB16" sqref="AB16"/>
    </sheetView>
  </sheetViews>
  <sheetFormatPr defaultRowHeight="15" x14ac:dyDescent="0.25"/>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249977111117893"/>
  </sheetPr>
  <dimension ref="A1:Z370"/>
  <sheetViews>
    <sheetView topLeftCell="F1" zoomScaleNormal="100" workbookViewId="0">
      <pane ySplit="1" topLeftCell="A333" activePane="bottomLeft" state="frozen"/>
      <selection pane="bottomLeft" activeCell="T368" sqref="T368"/>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9.5703125" customWidth="1"/>
    <col min="26" max="26" width="12.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A000000}"/>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B19:C20"/>
  <sheetViews>
    <sheetView showGridLines="0" workbookViewId="0">
      <selection activeCell="M29" sqref="M29"/>
    </sheetView>
  </sheetViews>
  <sheetFormatPr defaultRowHeight="15" x14ac:dyDescent="0.25"/>
  <sheetData>
    <row r="19" spans="2:3" x14ac:dyDescent="0.25">
      <c r="B19" s="6" t="s">
        <v>153</v>
      </c>
      <c r="C19" t="s">
        <v>154</v>
      </c>
    </row>
    <row r="20" spans="2:3" x14ac:dyDescent="0.25">
      <c r="B20" s="6" t="s">
        <v>152</v>
      </c>
      <c r="C20" s="5" t="s">
        <v>155</v>
      </c>
    </row>
  </sheetData>
  <hyperlinks>
    <hyperlink ref="C20" r:id="rId1" xr:uid="{00000000-0004-0000-0B00-000000000000}"/>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zoomScale="90" zoomScaleNormal="90" workbookViewId="0">
      <selection activeCell="R15" sqref="R15"/>
    </sheetView>
  </sheetViews>
  <sheetFormatPr defaultRowHeight="15" x14ac:dyDescent="0.2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5C46-C67F-48B5-9695-3A50A0C3D257}">
  <dimension ref="A1"/>
  <sheetViews>
    <sheetView showGridLines="0" zoomScale="90" zoomScaleNormal="90" workbookViewId="0">
      <selection activeCell="R18" sqref="R18"/>
    </sheetView>
  </sheetViews>
  <sheetFormatPr defaultRowHeight="15" x14ac:dyDescent="0.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1A3-6551-4DE7-9FEA-F5D547ECEE2C}">
  <dimension ref="A1"/>
  <sheetViews>
    <sheetView showGridLines="0" zoomScale="90" zoomScaleNormal="90" workbookViewId="0">
      <selection activeCell="R18" sqref="R18"/>
    </sheetView>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6005-C426-4F44-8315-99993EF5E6F9}">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Task</vt:lpstr>
      <vt:lpstr>Sales Performance by Reps</vt:lpstr>
      <vt:lpstr>Sales Performance by Reps (2)</vt:lpstr>
      <vt:lpstr>Sales Performance by Reps (3)</vt:lpstr>
      <vt:lpstr>Top 10 Customers</vt:lpstr>
      <vt:lpstr>Sales Trend Report</vt:lpstr>
      <vt:lpstr>Sales Product by Category</vt:lpstr>
      <vt:lpstr>Sales Product by Category (2)</vt:lpstr>
      <vt:lpstr>Performance by States</vt:lpstr>
      <vt:lpstr>Performance by States (2)</vt:lpstr>
      <vt:lpstr>Transation by Amount</vt:lpstr>
      <vt:lpstr>Sheet4</vt:lpstr>
      <vt:lpstr>Top 5 cities</vt:lpstr>
      <vt:lpstr>Sheet2</vt:lpstr>
      <vt:lpstr> Top 6 Ship Cities by Revenue</vt:lpstr>
      <vt:lpstr>Dashboard</vt:lpstr>
      <vt:lpstr>In- Analysis </vt:lpstr>
      <vt:lpstr>Data (2)</vt:lpstr>
      <vt:lpstr>Pivot Table Diagram</vt:lpstr>
      <vt:lpstr>Pre Analysis Dashboard</vt:lpstr>
      <vt:lpstr>Post Analysis Observation</vt:lpstr>
      <vt:lpstr>Post Analysis  Recommendation</vt:lpstr>
      <vt:lpstr>Sheet1</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user</cp:lastModifiedBy>
  <dcterms:created xsi:type="dcterms:W3CDTF">2015-01-21T18:43:03Z</dcterms:created>
  <dcterms:modified xsi:type="dcterms:W3CDTF">2025-12-15T19:02:16Z</dcterms:modified>
</cp:coreProperties>
</file>